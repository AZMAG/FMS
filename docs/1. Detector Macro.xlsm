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900" windowWidth="11190" windowHeight="7230" activeTab="9"/>
  </bookViews>
  <sheets>
    <sheet name="2010" sheetId="23" r:id="rId1"/>
    <sheet name="2011" sheetId="24" r:id="rId2"/>
    <sheet name="2012_VOS" sheetId="26" r:id="rId3"/>
    <sheet name="2012" sheetId="28" r:id="rId4"/>
    <sheet name="2013" sheetId="31" r:id="rId5"/>
    <sheet name="2014" sheetId="32" r:id="rId6"/>
    <sheet name="2015" sheetId="33" r:id="rId7"/>
    <sheet name="2016" sheetId="27" r:id="rId8"/>
    <sheet name="2017" sheetId="35" r:id="rId9"/>
    <sheet name="panel" sheetId="34" r:id="rId10"/>
    <sheet name="instructions" sheetId="25" r:id="rId11"/>
  </sheets>
  <definedNames>
    <definedName name="_xlnm._FilterDatabase" localSheetId="0" hidden="1">'2010'!$A$1:$J$55</definedName>
    <definedName name="_xlnm._FilterDatabase" localSheetId="1" hidden="1">'2011'!$A$1:$J$55</definedName>
    <definedName name="_xlnm._FilterDatabase" localSheetId="3" hidden="1">'2012'!$A$1:$J$55</definedName>
    <definedName name="_xlnm._FilterDatabase" localSheetId="2" hidden="1">'2012_VOS'!$A$1:$J$55</definedName>
    <definedName name="_xlnm._FilterDatabase" localSheetId="4" hidden="1">'2013'!$A$1:$J$55</definedName>
    <definedName name="_xlnm._FilterDatabase" localSheetId="5" hidden="1">'2014'!$A$1:$J$55</definedName>
    <definedName name="_xlnm._FilterDatabase" localSheetId="6" hidden="1">'2015'!$A$1:$J$55</definedName>
    <definedName name="_xlnm._FilterDatabase" localSheetId="7" hidden="1">'2016'!$A$1:$J$55</definedName>
    <definedName name="_xlnm._FilterDatabase" localSheetId="8" hidden="1">'2017'!$A$1:$J$55</definedName>
    <definedName name="_xlnm._FilterDatabase" localSheetId="9" hidden="1">panel!$A$1:$J$55</definedName>
  </definedNames>
  <calcPr calcId="162913"/>
</workbook>
</file>

<file path=xl/calcChain.xml><?xml version="1.0" encoding="utf-8"?>
<calcChain xmlns="http://schemas.openxmlformats.org/spreadsheetml/2006/main">
  <c r="H363" i="35" l="1"/>
  <c r="J363" i="35" s="1"/>
  <c r="H362" i="35"/>
  <c r="J362" i="35" s="1"/>
  <c r="H361" i="35"/>
  <c r="H360" i="35"/>
  <c r="H359" i="35"/>
  <c r="H358" i="35"/>
  <c r="H357" i="35"/>
  <c r="H356" i="35"/>
  <c r="H355" i="35"/>
  <c r="I355" i="35" s="1"/>
  <c r="H354" i="35"/>
  <c r="J354" i="35" s="1"/>
  <c r="I353" i="35"/>
  <c r="H353" i="35"/>
  <c r="J353" i="35" s="1"/>
  <c r="H352" i="35"/>
  <c r="I352" i="35" s="1"/>
  <c r="H351" i="35"/>
  <c r="I351" i="35" s="1"/>
  <c r="H350" i="35"/>
  <c r="H349" i="35"/>
  <c r="H348" i="35"/>
  <c r="H347" i="35"/>
  <c r="I347" i="35" s="1"/>
  <c r="H346" i="35"/>
  <c r="J346" i="35" s="1"/>
  <c r="H345" i="35"/>
  <c r="J345" i="35" s="1"/>
  <c r="H344" i="35"/>
  <c r="I344" i="35" s="1"/>
  <c r="H343" i="35"/>
  <c r="I343" i="35" s="1"/>
  <c r="H342" i="35"/>
  <c r="H341" i="35"/>
  <c r="H340" i="35"/>
  <c r="H339" i="35"/>
  <c r="I339" i="35" s="1"/>
  <c r="H338" i="35"/>
  <c r="J338" i="35" s="1"/>
  <c r="I337" i="35"/>
  <c r="H337" i="35"/>
  <c r="J337" i="35" s="1"/>
  <c r="H336" i="35"/>
  <c r="I336" i="35" s="1"/>
  <c r="H335" i="35"/>
  <c r="I335" i="35" s="1"/>
  <c r="H334" i="35"/>
  <c r="H333" i="35"/>
  <c r="H332" i="35"/>
  <c r="H331" i="35"/>
  <c r="I331" i="35" s="1"/>
  <c r="H330" i="35"/>
  <c r="J330" i="35" s="1"/>
  <c r="I329" i="35"/>
  <c r="H329" i="35"/>
  <c r="J329" i="35" s="1"/>
  <c r="J328" i="35"/>
  <c r="H328" i="35"/>
  <c r="I328" i="35" s="1"/>
  <c r="H327" i="35"/>
  <c r="I327" i="35" s="1"/>
  <c r="H326" i="35"/>
  <c r="H325" i="35"/>
  <c r="H324" i="35"/>
  <c r="H323" i="35"/>
  <c r="I323" i="35" s="1"/>
  <c r="H322" i="35"/>
  <c r="J322" i="35" s="1"/>
  <c r="H321" i="35"/>
  <c r="J321" i="35" s="1"/>
  <c r="H320" i="35"/>
  <c r="I320" i="35" s="1"/>
  <c r="H319" i="35"/>
  <c r="I319" i="35" s="1"/>
  <c r="H318" i="35"/>
  <c r="H317" i="35"/>
  <c r="H316" i="35"/>
  <c r="J315" i="35"/>
  <c r="H315" i="35"/>
  <c r="I315" i="35" s="1"/>
  <c r="H314" i="35"/>
  <c r="J314" i="35" s="1"/>
  <c r="H313" i="35"/>
  <c r="J313" i="35" s="1"/>
  <c r="H312" i="35"/>
  <c r="I312" i="35" s="1"/>
  <c r="H311" i="35"/>
  <c r="I311" i="35" s="1"/>
  <c r="H310" i="35"/>
  <c r="H309" i="35"/>
  <c r="H308" i="35"/>
  <c r="H307" i="35"/>
  <c r="I307" i="35" s="1"/>
  <c r="H306" i="35"/>
  <c r="J306" i="35" s="1"/>
  <c r="H305" i="35"/>
  <c r="J305" i="35" s="1"/>
  <c r="J304" i="35"/>
  <c r="H304" i="35"/>
  <c r="I304" i="35" s="1"/>
  <c r="H303" i="35"/>
  <c r="I303" i="35" s="1"/>
  <c r="H302" i="35"/>
  <c r="H301" i="35"/>
  <c r="H300" i="35"/>
  <c r="H299" i="35"/>
  <c r="I299" i="35" s="1"/>
  <c r="H298" i="35"/>
  <c r="J298" i="35" s="1"/>
  <c r="H297" i="35"/>
  <c r="J297" i="35" s="1"/>
  <c r="H296" i="35"/>
  <c r="I296" i="35" s="1"/>
  <c r="H295" i="35"/>
  <c r="I295" i="35" s="1"/>
  <c r="H294" i="35"/>
  <c r="H293" i="35"/>
  <c r="H292" i="35"/>
  <c r="H291" i="35"/>
  <c r="I291" i="35" s="1"/>
  <c r="H290" i="35"/>
  <c r="J290" i="35" s="1"/>
  <c r="H289" i="35"/>
  <c r="J289" i="35" s="1"/>
  <c r="H288" i="35"/>
  <c r="I288" i="35" s="1"/>
  <c r="H287" i="35"/>
  <c r="I287" i="35" s="1"/>
  <c r="H286" i="35"/>
  <c r="H285" i="35"/>
  <c r="H284" i="35"/>
  <c r="H283" i="35"/>
  <c r="I283" i="35" s="1"/>
  <c r="H282" i="35"/>
  <c r="J282" i="35" s="1"/>
  <c r="H281" i="35"/>
  <c r="J281" i="35" s="1"/>
  <c r="H280" i="35"/>
  <c r="I280" i="35" s="1"/>
  <c r="H279" i="35"/>
  <c r="I279" i="35" s="1"/>
  <c r="H278" i="35"/>
  <c r="H277" i="35"/>
  <c r="H276" i="35"/>
  <c r="H275" i="35"/>
  <c r="I275" i="35" s="1"/>
  <c r="H274" i="35"/>
  <c r="J274" i="35" s="1"/>
  <c r="I273" i="35"/>
  <c r="H273" i="35"/>
  <c r="J273" i="35" s="1"/>
  <c r="H272" i="35"/>
  <c r="I272" i="35" s="1"/>
  <c r="H271" i="35"/>
  <c r="I271" i="35" s="1"/>
  <c r="H270" i="35"/>
  <c r="H269" i="35"/>
  <c r="J269" i="35" s="1"/>
  <c r="H268" i="35"/>
  <c r="I267" i="35"/>
  <c r="H267" i="35"/>
  <c r="J267" i="35" s="1"/>
  <c r="H266" i="35"/>
  <c r="J266" i="35" s="1"/>
  <c r="H265" i="35"/>
  <c r="H264" i="35"/>
  <c r="I263" i="35"/>
  <c r="H263" i="35"/>
  <c r="J263" i="35" s="1"/>
  <c r="J262" i="35"/>
  <c r="H262" i="35"/>
  <c r="I262" i="35" s="1"/>
  <c r="H261" i="35"/>
  <c r="J261" i="35" s="1"/>
  <c r="H260" i="35"/>
  <c r="H259" i="35"/>
  <c r="I259" i="35" s="1"/>
  <c r="H258" i="35"/>
  <c r="J258" i="35" s="1"/>
  <c r="H257" i="35"/>
  <c r="J257" i="35" s="1"/>
  <c r="H256" i="35"/>
  <c r="I256" i="35" s="1"/>
  <c r="H255" i="35"/>
  <c r="I255" i="35" s="1"/>
  <c r="H254" i="35"/>
  <c r="I254" i="35" s="1"/>
  <c r="H253" i="35"/>
  <c r="J253" i="35" s="1"/>
  <c r="H252" i="35"/>
  <c r="H251" i="35"/>
  <c r="I251" i="35" s="1"/>
  <c r="H250" i="35"/>
  <c r="J250" i="35" s="1"/>
  <c r="H249" i="35"/>
  <c r="J249" i="35" s="1"/>
  <c r="J248" i="35"/>
  <c r="H248" i="35"/>
  <c r="I248" i="35" s="1"/>
  <c r="H247" i="35"/>
  <c r="I247" i="35" s="1"/>
  <c r="H246" i="35"/>
  <c r="I246" i="35" s="1"/>
  <c r="H245" i="35"/>
  <c r="J245" i="35" s="1"/>
  <c r="H244" i="35"/>
  <c r="H243" i="35"/>
  <c r="I243" i="35" s="1"/>
  <c r="H242" i="35"/>
  <c r="J242" i="35" s="1"/>
  <c r="H241" i="35"/>
  <c r="J241" i="35" s="1"/>
  <c r="H240" i="35"/>
  <c r="I240" i="35" s="1"/>
  <c r="H239" i="35"/>
  <c r="I239" i="35" s="1"/>
  <c r="H238" i="35"/>
  <c r="H237" i="35"/>
  <c r="J237" i="35" s="1"/>
  <c r="H236" i="35"/>
  <c r="H235" i="35"/>
  <c r="J235" i="35" s="1"/>
  <c r="H234" i="35"/>
  <c r="J234" i="35" s="1"/>
  <c r="H233" i="35"/>
  <c r="H232" i="35"/>
  <c r="H231" i="35"/>
  <c r="J231" i="35" s="1"/>
  <c r="H230" i="35"/>
  <c r="I230" i="35" s="1"/>
  <c r="H229" i="35"/>
  <c r="J229" i="35" s="1"/>
  <c r="H228" i="35"/>
  <c r="H227" i="35"/>
  <c r="J227" i="35" s="1"/>
  <c r="H226" i="35"/>
  <c r="J226" i="35" s="1"/>
  <c r="H225" i="35"/>
  <c r="H224" i="35"/>
  <c r="H223" i="35"/>
  <c r="J223" i="35" s="1"/>
  <c r="H222" i="35"/>
  <c r="I222" i="35" s="1"/>
  <c r="H221" i="35"/>
  <c r="J221" i="35" s="1"/>
  <c r="H220" i="35"/>
  <c r="H219" i="35"/>
  <c r="J219" i="35" s="1"/>
  <c r="H218" i="35"/>
  <c r="J218" i="35" s="1"/>
  <c r="H217" i="35"/>
  <c r="H216" i="35"/>
  <c r="H215" i="35"/>
  <c r="J215" i="35" s="1"/>
  <c r="J214" i="35"/>
  <c r="H214" i="35"/>
  <c r="I214" i="35" s="1"/>
  <c r="H213" i="35"/>
  <c r="J213" i="35" s="1"/>
  <c r="H212" i="35"/>
  <c r="H211" i="35"/>
  <c r="J211" i="35" s="1"/>
  <c r="I210" i="35"/>
  <c r="H210" i="35"/>
  <c r="J210" i="35" s="1"/>
  <c r="H209" i="35"/>
  <c r="J209" i="35" s="1"/>
  <c r="H208" i="35"/>
  <c r="I208" i="35" s="1"/>
  <c r="H207" i="35"/>
  <c r="I207" i="35" s="1"/>
  <c r="H206" i="35"/>
  <c r="I206" i="35" s="1"/>
  <c r="H205" i="35"/>
  <c r="H204" i="35"/>
  <c r="I204" i="35" s="1"/>
  <c r="H203" i="35"/>
  <c r="I203" i="35" s="1"/>
  <c r="H202" i="35"/>
  <c r="J202" i="35" s="1"/>
  <c r="H201" i="35"/>
  <c r="J201" i="35" s="1"/>
  <c r="H200" i="35"/>
  <c r="I200" i="35" s="1"/>
  <c r="H199" i="35"/>
  <c r="I199" i="35" s="1"/>
  <c r="H198" i="35"/>
  <c r="I198" i="35" s="1"/>
  <c r="H197" i="35"/>
  <c r="H196" i="35"/>
  <c r="I196" i="35" s="1"/>
  <c r="H195" i="35"/>
  <c r="I195" i="35" s="1"/>
  <c r="H194" i="35"/>
  <c r="J194" i="35" s="1"/>
  <c r="H193" i="35"/>
  <c r="J193" i="35" s="1"/>
  <c r="H192" i="35"/>
  <c r="H191" i="35"/>
  <c r="J191" i="35" s="1"/>
  <c r="H190" i="35"/>
  <c r="I190" i="35" s="1"/>
  <c r="H189" i="35"/>
  <c r="H188" i="35"/>
  <c r="H187" i="35"/>
  <c r="J187" i="35" s="1"/>
  <c r="H186" i="35"/>
  <c r="J186" i="35" s="1"/>
  <c r="H185" i="35"/>
  <c r="J185" i="35" s="1"/>
  <c r="H184" i="35"/>
  <c r="I184" i="35" s="1"/>
  <c r="H183" i="35"/>
  <c r="I183" i="35" s="1"/>
  <c r="H182" i="35"/>
  <c r="J182" i="35" s="1"/>
  <c r="H181" i="35"/>
  <c r="H180" i="35"/>
  <c r="I180" i="35" s="1"/>
  <c r="H179" i="35"/>
  <c r="I179" i="35" s="1"/>
  <c r="H178" i="35"/>
  <c r="J178" i="35" s="1"/>
  <c r="I177" i="35"/>
  <c r="H177" i="35"/>
  <c r="J177" i="35" s="1"/>
  <c r="H176" i="35"/>
  <c r="I176" i="35" s="1"/>
  <c r="J175" i="35"/>
  <c r="H175" i="35"/>
  <c r="I175" i="35" s="1"/>
  <c r="H174" i="35"/>
  <c r="I174" i="35" s="1"/>
  <c r="H173" i="35"/>
  <c r="J172" i="35"/>
  <c r="H172" i="35"/>
  <c r="I172" i="35" s="1"/>
  <c r="H171" i="35"/>
  <c r="I171" i="35" s="1"/>
  <c r="H170" i="35"/>
  <c r="J170" i="35" s="1"/>
  <c r="H169" i="35"/>
  <c r="J169" i="35" s="1"/>
  <c r="J168" i="35"/>
  <c r="H168" i="35"/>
  <c r="I168" i="35" s="1"/>
  <c r="H167" i="35"/>
  <c r="I167" i="35" s="1"/>
  <c r="H166" i="35"/>
  <c r="J166" i="35" s="1"/>
  <c r="H165" i="35"/>
  <c r="H164" i="35"/>
  <c r="I164" i="35" s="1"/>
  <c r="H163" i="35"/>
  <c r="I163" i="35" s="1"/>
  <c r="H162" i="35"/>
  <c r="J162" i="35" s="1"/>
  <c r="H161" i="35"/>
  <c r="J161" i="35" s="1"/>
  <c r="H160" i="35"/>
  <c r="I160" i="35" s="1"/>
  <c r="H159" i="35"/>
  <c r="J159" i="35" s="1"/>
  <c r="H158" i="35"/>
  <c r="I158" i="35" s="1"/>
  <c r="H157" i="35"/>
  <c r="H156" i="35"/>
  <c r="I156" i="35" s="1"/>
  <c r="H155" i="35"/>
  <c r="J155" i="35" s="1"/>
  <c r="H154" i="35"/>
  <c r="J154" i="35" s="1"/>
  <c r="H153" i="35"/>
  <c r="J153" i="35" s="1"/>
  <c r="H152" i="35"/>
  <c r="I152" i="35" s="1"/>
  <c r="H151" i="35"/>
  <c r="I151" i="35" s="1"/>
  <c r="H150" i="35"/>
  <c r="J150" i="35" s="1"/>
  <c r="H149" i="35"/>
  <c r="H148" i="35"/>
  <c r="I148" i="35" s="1"/>
  <c r="H147" i="35"/>
  <c r="I147" i="35" s="1"/>
  <c r="H146" i="35"/>
  <c r="J146" i="35" s="1"/>
  <c r="H145" i="35"/>
  <c r="J145" i="35" s="1"/>
  <c r="H144" i="35"/>
  <c r="I144" i="35" s="1"/>
  <c r="H143" i="35"/>
  <c r="I143" i="35" s="1"/>
  <c r="H142" i="35"/>
  <c r="I142" i="35" s="1"/>
  <c r="H141" i="35"/>
  <c r="J141" i="35" s="1"/>
  <c r="H140" i="35"/>
  <c r="I140" i="35" s="1"/>
  <c r="H139" i="35"/>
  <c r="I139" i="35" s="1"/>
  <c r="H138" i="35"/>
  <c r="J138" i="35" s="1"/>
  <c r="H137" i="35"/>
  <c r="J137" i="35" s="1"/>
  <c r="H136" i="35"/>
  <c r="I136" i="35" s="1"/>
  <c r="H135" i="35"/>
  <c r="J135" i="35" s="1"/>
  <c r="H134" i="35"/>
  <c r="I134" i="35" s="1"/>
  <c r="H133" i="35"/>
  <c r="J133" i="35" s="1"/>
  <c r="H132" i="35"/>
  <c r="I132" i="35" s="1"/>
  <c r="H131" i="35"/>
  <c r="I131" i="35" s="1"/>
  <c r="H130" i="35"/>
  <c r="J130" i="35" s="1"/>
  <c r="H129" i="35"/>
  <c r="J129" i="35" s="1"/>
  <c r="H128" i="35"/>
  <c r="I128" i="35" s="1"/>
  <c r="H127" i="35"/>
  <c r="I127" i="35" s="1"/>
  <c r="H126" i="35"/>
  <c r="I126" i="35" s="1"/>
  <c r="H125" i="35"/>
  <c r="J125" i="35" s="1"/>
  <c r="H124" i="35"/>
  <c r="I124" i="35" s="1"/>
  <c r="H123" i="35"/>
  <c r="I123" i="35" s="1"/>
  <c r="H122" i="35"/>
  <c r="J122" i="35" s="1"/>
  <c r="H121" i="35"/>
  <c r="J121" i="35" s="1"/>
  <c r="H120" i="35"/>
  <c r="I120" i="35" s="1"/>
  <c r="I119" i="35"/>
  <c r="H119" i="35"/>
  <c r="J119" i="35" s="1"/>
  <c r="H118" i="35"/>
  <c r="I118" i="35" s="1"/>
  <c r="H117" i="35"/>
  <c r="J117" i="35" s="1"/>
  <c r="H116" i="35"/>
  <c r="I116" i="35" s="1"/>
  <c r="H115" i="35"/>
  <c r="I115" i="35" s="1"/>
  <c r="H114" i="35"/>
  <c r="J114" i="35" s="1"/>
  <c r="H113" i="35"/>
  <c r="J113" i="35" s="1"/>
  <c r="H112" i="35"/>
  <c r="I112" i="35" s="1"/>
  <c r="H111" i="35"/>
  <c r="J111" i="35" s="1"/>
  <c r="H110" i="35"/>
  <c r="I110" i="35" s="1"/>
  <c r="H109" i="35"/>
  <c r="J109" i="35" s="1"/>
  <c r="H108" i="35"/>
  <c r="I108" i="35" s="1"/>
  <c r="I107" i="35"/>
  <c r="H107" i="35"/>
  <c r="J107" i="35" s="1"/>
  <c r="H106" i="35"/>
  <c r="I106" i="35" s="1"/>
  <c r="H105" i="35"/>
  <c r="J105" i="35" s="1"/>
  <c r="H104" i="35"/>
  <c r="I104" i="35" s="1"/>
  <c r="H103" i="35"/>
  <c r="J103" i="35" s="1"/>
  <c r="H102" i="35"/>
  <c r="I102" i="35" s="1"/>
  <c r="H101" i="35"/>
  <c r="J101" i="35" s="1"/>
  <c r="H100" i="35"/>
  <c r="I100" i="35" s="1"/>
  <c r="H99" i="35"/>
  <c r="J99" i="35" s="1"/>
  <c r="H98" i="35"/>
  <c r="J98" i="35" s="1"/>
  <c r="H97" i="35"/>
  <c r="J97" i="35" s="1"/>
  <c r="J96" i="35"/>
  <c r="H96" i="35"/>
  <c r="I96" i="35" s="1"/>
  <c r="H95" i="35"/>
  <c r="I95" i="35" s="1"/>
  <c r="H94" i="35"/>
  <c r="I94" i="35" s="1"/>
  <c r="H93" i="35"/>
  <c r="J93" i="35" s="1"/>
  <c r="H92" i="35"/>
  <c r="I92" i="35" s="1"/>
  <c r="H91" i="35"/>
  <c r="I91" i="35" s="1"/>
  <c r="I90" i="35"/>
  <c r="H90" i="35"/>
  <c r="J90" i="35" s="1"/>
  <c r="H89" i="35"/>
  <c r="J89" i="35" s="1"/>
  <c r="H88" i="35"/>
  <c r="I88" i="35" s="1"/>
  <c r="H87" i="35"/>
  <c r="I87" i="35" s="1"/>
  <c r="H86" i="35"/>
  <c r="I86" i="35" s="1"/>
  <c r="H85" i="35"/>
  <c r="J85" i="35" s="1"/>
  <c r="H84" i="35"/>
  <c r="I84" i="35" s="1"/>
  <c r="H83" i="35"/>
  <c r="I83" i="35" s="1"/>
  <c r="H82" i="35"/>
  <c r="J82" i="35" s="1"/>
  <c r="H81" i="35"/>
  <c r="J81" i="35" s="1"/>
  <c r="H80" i="35"/>
  <c r="I80" i="35" s="1"/>
  <c r="H79" i="35"/>
  <c r="J79" i="35" s="1"/>
  <c r="H78" i="35"/>
  <c r="I78" i="35" s="1"/>
  <c r="I77" i="35"/>
  <c r="H77" i="35"/>
  <c r="J77" i="35" s="1"/>
  <c r="H76" i="35"/>
  <c r="I76" i="35" s="1"/>
  <c r="I75" i="35"/>
  <c r="H75" i="35"/>
  <c r="J75" i="35" s="1"/>
  <c r="H74" i="35"/>
  <c r="I74" i="35" s="1"/>
  <c r="H73" i="35"/>
  <c r="J73" i="35" s="1"/>
  <c r="H72" i="35"/>
  <c r="I72" i="35" s="1"/>
  <c r="H71" i="35"/>
  <c r="J71" i="35" s="1"/>
  <c r="H70" i="35"/>
  <c r="I70" i="35" s="1"/>
  <c r="H69" i="35"/>
  <c r="J69" i="35" s="1"/>
  <c r="H68" i="35"/>
  <c r="I68" i="35" s="1"/>
  <c r="H67" i="35"/>
  <c r="J67" i="35" s="1"/>
  <c r="H66" i="35"/>
  <c r="J66" i="35" s="1"/>
  <c r="H65" i="35"/>
  <c r="J65" i="35" s="1"/>
  <c r="J64" i="35"/>
  <c r="H64" i="35"/>
  <c r="I64" i="35" s="1"/>
  <c r="H63" i="35"/>
  <c r="I63" i="35" s="1"/>
  <c r="H62" i="35"/>
  <c r="I62" i="35" s="1"/>
  <c r="H61" i="35"/>
  <c r="J61" i="35" s="1"/>
  <c r="H60" i="35"/>
  <c r="I60" i="35" s="1"/>
  <c r="H59" i="35"/>
  <c r="I59" i="35" s="1"/>
  <c r="H58" i="35"/>
  <c r="J58" i="35" s="1"/>
  <c r="H57" i="35"/>
  <c r="J57" i="35" s="1"/>
  <c r="H56" i="35"/>
  <c r="I56" i="35" s="1"/>
  <c r="H55" i="35"/>
  <c r="I55" i="35" s="1"/>
  <c r="H54" i="35"/>
  <c r="I54" i="35" s="1"/>
  <c r="H53" i="35"/>
  <c r="J53" i="35" s="1"/>
  <c r="H52" i="35"/>
  <c r="I52" i="35" s="1"/>
  <c r="H51" i="35"/>
  <c r="I51" i="35" s="1"/>
  <c r="H50" i="35"/>
  <c r="J50" i="35" s="1"/>
  <c r="H49" i="35"/>
  <c r="J49" i="35" s="1"/>
  <c r="H48" i="35"/>
  <c r="I48" i="35" s="1"/>
  <c r="H47" i="35"/>
  <c r="J47" i="35" s="1"/>
  <c r="H46" i="35"/>
  <c r="I46" i="35" s="1"/>
  <c r="H45" i="35"/>
  <c r="J45" i="35" s="1"/>
  <c r="H44" i="35"/>
  <c r="I44" i="35" s="1"/>
  <c r="I43" i="35"/>
  <c r="H43" i="35"/>
  <c r="J43" i="35" s="1"/>
  <c r="H42" i="35"/>
  <c r="J42" i="35" s="1"/>
  <c r="H41" i="35"/>
  <c r="J41" i="35" s="1"/>
  <c r="H40" i="35"/>
  <c r="I40" i="35" s="1"/>
  <c r="H39" i="35"/>
  <c r="I39" i="35" s="1"/>
  <c r="H38" i="35"/>
  <c r="I38" i="35" s="1"/>
  <c r="H37" i="35"/>
  <c r="J37" i="35" s="1"/>
  <c r="H36" i="35"/>
  <c r="I36" i="35" s="1"/>
  <c r="H35" i="35"/>
  <c r="I35" i="35" s="1"/>
  <c r="H34" i="35"/>
  <c r="J34" i="35" s="1"/>
  <c r="H33" i="35"/>
  <c r="J33" i="35" s="1"/>
  <c r="I32" i="35"/>
  <c r="H32" i="35"/>
  <c r="J32" i="35" s="1"/>
  <c r="H31" i="35"/>
  <c r="I31" i="35" s="1"/>
  <c r="H30" i="35"/>
  <c r="J30" i="35" s="1"/>
  <c r="H29" i="35"/>
  <c r="I29" i="35" s="1"/>
  <c r="H28" i="35"/>
  <c r="I28" i="35" s="1"/>
  <c r="H27" i="35"/>
  <c r="J27" i="35" s="1"/>
  <c r="H26" i="35"/>
  <c r="I26" i="35" s="1"/>
  <c r="H25" i="35"/>
  <c r="J25" i="35" s="1"/>
  <c r="B25" i="35"/>
  <c r="H24" i="35"/>
  <c r="J24" i="35" s="1"/>
  <c r="B24" i="35"/>
  <c r="H23" i="35"/>
  <c r="J23" i="35" s="1"/>
  <c r="H22" i="35"/>
  <c r="J22" i="35" s="1"/>
  <c r="B22" i="35"/>
  <c r="H21" i="35"/>
  <c r="J21" i="35" s="1"/>
  <c r="B21" i="35"/>
  <c r="H20" i="35"/>
  <c r="J20" i="35" s="1"/>
  <c r="B20" i="35"/>
  <c r="H19" i="35"/>
  <c r="J19" i="35" s="1"/>
  <c r="B19" i="35"/>
  <c r="H18" i="35"/>
  <c r="J18" i="35" s="1"/>
  <c r="H17" i="35"/>
  <c r="I17" i="35" s="1"/>
  <c r="H16" i="35"/>
  <c r="I16" i="35" s="1"/>
  <c r="H15" i="35"/>
  <c r="J15" i="35" s="1"/>
  <c r="H14" i="35"/>
  <c r="J14" i="35" s="1"/>
  <c r="H13" i="35"/>
  <c r="I13" i="35" s="1"/>
  <c r="H12" i="35"/>
  <c r="I12" i="35" s="1"/>
  <c r="H11" i="35"/>
  <c r="J11" i="35" s="1"/>
  <c r="H10" i="35"/>
  <c r="J10" i="35" s="1"/>
  <c r="H9" i="35"/>
  <c r="I9" i="35" s="1"/>
  <c r="H8" i="35"/>
  <c r="I8" i="35" s="1"/>
  <c r="H7" i="35"/>
  <c r="J7" i="35" s="1"/>
  <c r="H6" i="35"/>
  <c r="J6" i="35" s="1"/>
  <c r="H5" i="35"/>
  <c r="I5" i="35" s="1"/>
  <c r="I45" i="35" l="1"/>
  <c r="J128" i="35"/>
  <c r="I58" i="35"/>
  <c r="I109" i="35"/>
  <c r="J256" i="35"/>
  <c r="J283" i="35"/>
  <c r="J336" i="35"/>
  <c r="I345" i="35"/>
  <c r="I257" i="35"/>
  <c r="J275" i="35"/>
  <c r="I122" i="35"/>
  <c r="I187" i="35"/>
  <c r="J239" i="35"/>
  <c r="J347" i="35"/>
  <c r="I71" i="35"/>
  <c r="I155" i="35"/>
  <c r="I215" i="35"/>
  <c r="I103" i="35"/>
  <c r="J13" i="35"/>
  <c r="I135" i="35"/>
  <c r="J199" i="35"/>
  <c r="I209" i="35"/>
  <c r="J240" i="35"/>
  <c r="I321" i="35"/>
  <c r="J339" i="35"/>
  <c r="I289" i="35"/>
  <c r="I191" i="35"/>
  <c r="I201" i="35"/>
  <c r="J272" i="35"/>
  <c r="I281" i="35"/>
  <c r="J323" i="35"/>
  <c r="J46" i="35"/>
  <c r="I42" i="35"/>
  <c r="I67" i="35"/>
  <c r="I99" i="35"/>
  <c r="J144" i="35"/>
  <c r="J176" i="35"/>
  <c r="J200" i="35"/>
  <c r="I235" i="35"/>
  <c r="J247" i="35"/>
  <c r="J288" i="35"/>
  <c r="J299" i="35"/>
  <c r="I305" i="35"/>
  <c r="J352" i="35"/>
  <c r="J78" i="35"/>
  <c r="J110" i="35"/>
  <c r="J5" i="35"/>
  <c r="I47" i="35"/>
  <c r="I79" i="35"/>
  <c r="I111" i="35"/>
  <c r="I138" i="35"/>
  <c r="J152" i="35"/>
  <c r="J158" i="35"/>
  <c r="J183" i="35"/>
  <c r="J207" i="35"/>
  <c r="I211" i="35"/>
  <c r="I223" i="35"/>
  <c r="I241" i="35"/>
  <c r="J312" i="35"/>
  <c r="I24" i="35"/>
  <c r="I159" i="35"/>
  <c r="J184" i="35"/>
  <c r="J190" i="35"/>
  <c r="J208" i="35"/>
  <c r="I231" i="35"/>
  <c r="J255" i="35"/>
  <c r="J296" i="35"/>
  <c r="J307" i="35"/>
  <c r="I313" i="35"/>
  <c r="I219" i="35"/>
  <c r="I249" i="35"/>
  <c r="J320" i="35"/>
  <c r="J331" i="35"/>
  <c r="J280" i="35"/>
  <c r="J291" i="35"/>
  <c r="I297" i="35"/>
  <c r="J344" i="35"/>
  <c r="J355" i="35"/>
  <c r="I227" i="35"/>
  <c r="I363" i="35"/>
  <c r="J16" i="35"/>
  <c r="J51" i="35"/>
  <c r="J59" i="35"/>
  <c r="J63" i="35"/>
  <c r="J74" i="35"/>
  <c r="J83" i="35"/>
  <c r="J87" i="35"/>
  <c r="J91" i="35"/>
  <c r="J95" i="35"/>
  <c r="J106" i="35"/>
  <c r="J115" i="35"/>
  <c r="J123" i="35"/>
  <c r="J127" i="35"/>
  <c r="J131" i="35"/>
  <c r="J139" i="35"/>
  <c r="J143" i="35"/>
  <c r="J147" i="35"/>
  <c r="J151" i="35"/>
  <c r="J163" i="35"/>
  <c r="J167" i="35"/>
  <c r="J171" i="35"/>
  <c r="J174" i="35"/>
  <c r="J217" i="35"/>
  <c r="I217" i="35"/>
  <c r="J225" i="35"/>
  <c r="I225" i="35"/>
  <c r="J233" i="35"/>
  <c r="I233" i="35"/>
  <c r="I238" i="35"/>
  <c r="J238" i="35"/>
  <c r="I264" i="35"/>
  <c r="J264" i="35"/>
  <c r="J277" i="35"/>
  <c r="I277" i="35"/>
  <c r="J285" i="35"/>
  <c r="I285" i="35"/>
  <c r="J293" i="35"/>
  <c r="I293" i="35"/>
  <c r="J301" i="35"/>
  <c r="I301" i="35"/>
  <c r="J309" i="35"/>
  <c r="I309" i="35"/>
  <c r="J317" i="35"/>
  <c r="I317" i="35"/>
  <c r="J325" i="35"/>
  <c r="I325" i="35"/>
  <c r="J333" i="35"/>
  <c r="I333" i="35"/>
  <c r="J341" i="35"/>
  <c r="I341" i="35"/>
  <c r="J349" i="35"/>
  <c r="I349" i="35"/>
  <c r="J357" i="35"/>
  <c r="I357" i="35"/>
  <c r="J359" i="35"/>
  <c r="I359" i="35"/>
  <c r="J361" i="35"/>
  <c r="I361" i="35"/>
  <c r="J8" i="35"/>
  <c r="J12" i="35"/>
  <c r="J31" i="35"/>
  <c r="J35" i="35"/>
  <c r="J39" i="35"/>
  <c r="J55" i="35"/>
  <c r="I7" i="35"/>
  <c r="I15" i="35"/>
  <c r="J48" i="35"/>
  <c r="I61" i="35"/>
  <c r="J62" i="35"/>
  <c r="J80" i="35"/>
  <c r="I93" i="35"/>
  <c r="J94" i="35"/>
  <c r="J112" i="35"/>
  <c r="I117" i="35"/>
  <c r="J120" i="35"/>
  <c r="I125" i="35"/>
  <c r="J126" i="35"/>
  <c r="I130" i="35"/>
  <c r="I133" i="35"/>
  <c r="J136" i="35"/>
  <c r="I141" i="35"/>
  <c r="J142" i="35"/>
  <c r="I146" i="35"/>
  <c r="J156" i="35"/>
  <c r="J160" i="35"/>
  <c r="I170" i="35"/>
  <c r="J179" i="35"/>
  <c r="I188" i="35"/>
  <c r="J188" i="35"/>
  <c r="I192" i="35"/>
  <c r="J192" i="35"/>
  <c r="J195" i="35"/>
  <c r="J203" i="35"/>
  <c r="I212" i="35"/>
  <c r="J212" i="35"/>
  <c r="I216" i="35"/>
  <c r="J216" i="35"/>
  <c r="I224" i="35"/>
  <c r="J224" i="35"/>
  <c r="I232" i="35"/>
  <c r="J232" i="35"/>
  <c r="J243" i="35"/>
  <c r="J251" i="35"/>
  <c r="J259" i="35"/>
  <c r="J265" i="35"/>
  <c r="I265" i="35"/>
  <c r="I270" i="35"/>
  <c r="J270" i="35"/>
  <c r="J271" i="35"/>
  <c r="I278" i="35"/>
  <c r="J278" i="35"/>
  <c r="J279" i="35"/>
  <c r="I286" i="35"/>
  <c r="J286" i="35"/>
  <c r="J287" i="35"/>
  <c r="I294" i="35"/>
  <c r="J294" i="35"/>
  <c r="J295" i="35"/>
  <c r="I302" i="35"/>
  <c r="J302" i="35"/>
  <c r="J303" i="35"/>
  <c r="I310" i="35"/>
  <c r="J310" i="35"/>
  <c r="J311" i="35"/>
  <c r="I318" i="35"/>
  <c r="J318" i="35"/>
  <c r="J319" i="35"/>
  <c r="I326" i="35"/>
  <c r="J326" i="35"/>
  <c r="J327" i="35"/>
  <c r="I334" i="35"/>
  <c r="J334" i="35"/>
  <c r="J335" i="35"/>
  <c r="I342" i="35"/>
  <c r="J342" i="35"/>
  <c r="J343" i="35"/>
  <c r="I350" i="35"/>
  <c r="J350" i="35"/>
  <c r="J351" i="35"/>
  <c r="I358" i="35"/>
  <c r="J358" i="35"/>
  <c r="I360" i="35"/>
  <c r="J360" i="35"/>
  <c r="J28" i="35"/>
  <c r="I37" i="35"/>
  <c r="I53" i="35"/>
  <c r="I82" i="35"/>
  <c r="J9" i="35"/>
  <c r="J17" i="35"/>
  <c r="J26" i="35"/>
  <c r="J29" i="35"/>
  <c r="J38" i="35"/>
  <c r="J54" i="35"/>
  <c r="J70" i="35"/>
  <c r="J86" i="35"/>
  <c r="J102" i="35"/>
  <c r="J118" i="35"/>
  <c r="J134" i="35"/>
  <c r="I154" i="35"/>
  <c r="I161" i="35"/>
  <c r="J165" i="35"/>
  <c r="I165" i="35"/>
  <c r="I186" i="35"/>
  <c r="I193" i="35"/>
  <c r="J197" i="35"/>
  <c r="I197" i="35"/>
  <c r="J204" i="35"/>
  <c r="J220" i="35"/>
  <c r="I220" i="35"/>
  <c r="J246" i="35"/>
  <c r="I11" i="35"/>
  <c r="I23" i="35"/>
  <c r="I34" i="35"/>
  <c r="I50" i="35"/>
  <c r="J56" i="35"/>
  <c r="I69" i="35"/>
  <c r="I6" i="35"/>
  <c r="J205" i="35"/>
  <c r="I205" i="35"/>
  <c r="J276" i="35"/>
  <c r="I276" i="35"/>
  <c r="J284" i="35"/>
  <c r="I284" i="35"/>
  <c r="J292" i="35"/>
  <c r="I292" i="35"/>
  <c r="J300" i="35"/>
  <c r="I300" i="35"/>
  <c r="J308" i="35"/>
  <c r="I308" i="35"/>
  <c r="J316" i="35"/>
  <c r="I316" i="35"/>
  <c r="J324" i="35"/>
  <c r="I324" i="35"/>
  <c r="J332" i="35"/>
  <c r="I332" i="35"/>
  <c r="J340" i="35"/>
  <c r="I340" i="35"/>
  <c r="J348" i="35"/>
  <c r="I348" i="35"/>
  <c r="J356" i="35"/>
  <c r="I356" i="35"/>
  <c r="J40" i="35"/>
  <c r="I66" i="35"/>
  <c r="J88" i="35"/>
  <c r="I20" i="35"/>
  <c r="I162" i="35"/>
  <c r="I166" i="35"/>
  <c r="I169" i="35"/>
  <c r="J173" i="35"/>
  <c r="I173" i="35"/>
  <c r="I194" i="35"/>
  <c r="J198" i="35"/>
  <c r="J230" i="35"/>
  <c r="J268" i="35"/>
  <c r="I268" i="35"/>
  <c r="I25" i="35"/>
  <c r="I85" i="35"/>
  <c r="I98" i="35"/>
  <c r="I101" i="35"/>
  <c r="J104" i="35"/>
  <c r="I10" i="35"/>
  <c r="I18" i="35"/>
  <c r="I22" i="35"/>
  <c r="I27" i="35"/>
  <c r="I30" i="35"/>
  <c r="I33" i="35"/>
  <c r="J36" i="35"/>
  <c r="I49" i="35"/>
  <c r="J52" i="35"/>
  <c r="I65" i="35"/>
  <c r="J68" i="35"/>
  <c r="I81" i="35"/>
  <c r="J84" i="35"/>
  <c r="I97" i="35"/>
  <c r="J100" i="35"/>
  <c r="I113" i="35"/>
  <c r="J116" i="35"/>
  <c r="I129" i="35"/>
  <c r="J132" i="35"/>
  <c r="I145" i="35"/>
  <c r="J148" i="35"/>
  <c r="J180" i="35"/>
  <c r="I202" i="35"/>
  <c r="J206" i="35"/>
  <c r="J222" i="35"/>
  <c r="J260" i="35"/>
  <c r="I260" i="35"/>
  <c r="J149" i="35"/>
  <c r="I149" i="35"/>
  <c r="J181" i="35"/>
  <c r="I181" i="35"/>
  <c r="J252" i="35"/>
  <c r="I252" i="35"/>
  <c r="J72" i="35"/>
  <c r="I114" i="35"/>
  <c r="J244" i="35"/>
  <c r="I244" i="35"/>
  <c r="I19" i="35"/>
  <c r="I150" i="35"/>
  <c r="I153" i="35"/>
  <c r="J157" i="35"/>
  <c r="I157" i="35"/>
  <c r="I178" i="35"/>
  <c r="I182" i="35"/>
  <c r="I185" i="35"/>
  <c r="J189" i="35"/>
  <c r="I189" i="35"/>
  <c r="J236" i="35"/>
  <c r="I236" i="35"/>
  <c r="I14" i="35"/>
  <c r="I21" i="35"/>
  <c r="I41" i="35"/>
  <c r="J44" i="35"/>
  <c r="I57" i="35"/>
  <c r="J60" i="35"/>
  <c r="I73" i="35"/>
  <c r="J76" i="35"/>
  <c r="I89" i="35"/>
  <c r="J92" i="35"/>
  <c r="I105" i="35"/>
  <c r="J108" i="35"/>
  <c r="I121" i="35"/>
  <c r="J124" i="35"/>
  <c r="I137" i="35"/>
  <c r="J140" i="35"/>
  <c r="J164" i="35"/>
  <c r="J196" i="35"/>
  <c r="J228" i="35"/>
  <c r="I228" i="35"/>
  <c r="J254" i="35"/>
  <c r="I218" i="35"/>
  <c r="I226" i="35"/>
  <c r="I234" i="35"/>
  <c r="I242" i="35"/>
  <c r="I250" i="35"/>
  <c r="I258" i="35"/>
  <c r="I266" i="35"/>
  <c r="I274" i="35"/>
  <c r="I282" i="35"/>
  <c r="I290" i="35"/>
  <c r="I298" i="35"/>
  <c r="I306" i="35"/>
  <c r="I314" i="35"/>
  <c r="I322" i="35"/>
  <c r="I330" i="35"/>
  <c r="I338" i="35"/>
  <c r="I346" i="35"/>
  <c r="I354" i="35"/>
  <c r="I362" i="35"/>
  <c r="I213" i="35"/>
  <c r="I221" i="35"/>
  <c r="I229" i="35"/>
  <c r="I237" i="35"/>
  <c r="I245" i="35"/>
  <c r="I253" i="35"/>
  <c r="I261" i="35"/>
  <c r="I269" i="35"/>
  <c r="H363" i="34"/>
  <c r="J363" i="34" s="1"/>
  <c r="H362" i="34"/>
  <c r="I362" i="34" s="1"/>
  <c r="J361" i="34"/>
  <c r="H361" i="34"/>
  <c r="I361" i="34" s="1"/>
  <c r="H360" i="34"/>
  <c r="H359" i="34"/>
  <c r="J359" i="34" s="1"/>
  <c r="H358" i="34"/>
  <c r="I358" i="34" s="1"/>
  <c r="H357" i="34"/>
  <c r="I357" i="34" s="1"/>
  <c r="H356" i="34"/>
  <c r="I356" i="34" s="1"/>
  <c r="H355" i="34"/>
  <c r="J355" i="34" s="1"/>
  <c r="H354" i="34"/>
  <c r="I354" i="34" s="1"/>
  <c r="H353" i="34"/>
  <c r="I353" i="34" s="1"/>
  <c r="H352" i="34"/>
  <c r="J352" i="34" s="1"/>
  <c r="H351" i="34"/>
  <c r="J351" i="34" s="1"/>
  <c r="H350" i="34"/>
  <c r="I350" i="34" s="1"/>
  <c r="H349" i="34"/>
  <c r="I349" i="34" s="1"/>
  <c r="H348" i="34"/>
  <c r="H347" i="34"/>
  <c r="J347" i="34" s="1"/>
  <c r="H346" i="34"/>
  <c r="I346" i="34" s="1"/>
  <c r="H345" i="34"/>
  <c r="I345" i="34" s="1"/>
  <c r="H344" i="34"/>
  <c r="I344" i="34" s="1"/>
  <c r="H343" i="34"/>
  <c r="J343" i="34" s="1"/>
  <c r="H342" i="34"/>
  <c r="I342" i="34" s="1"/>
  <c r="H341" i="34"/>
  <c r="I341" i="34" s="1"/>
  <c r="H340" i="34"/>
  <c r="I340" i="34" s="1"/>
  <c r="H339" i="34"/>
  <c r="J339" i="34" s="1"/>
  <c r="H338" i="34"/>
  <c r="I338" i="34" s="1"/>
  <c r="H337" i="34"/>
  <c r="H336" i="34"/>
  <c r="J336" i="34" s="1"/>
  <c r="H335" i="34"/>
  <c r="H334" i="34"/>
  <c r="I334" i="34" s="1"/>
  <c r="H333" i="34"/>
  <c r="I333" i="34" s="1"/>
  <c r="H332" i="34"/>
  <c r="J332" i="34" s="1"/>
  <c r="H331" i="34"/>
  <c r="H330" i="34"/>
  <c r="I330" i="34" s="1"/>
  <c r="H329" i="34"/>
  <c r="H328" i="34"/>
  <c r="J328" i="34" s="1"/>
  <c r="H327" i="34"/>
  <c r="H326" i="34"/>
  <c r="I326" i="34" s="1"/>
  <c r="H325" i="34"/>
  <c r="I325" i="34" s="1"/>
  <c r="H324" i="34"/>
  <c r="I324" i="34" s="1"/>
  <c r="H323" i="34"/>
  <c r="H322" i="34"/>
  <c r="I322" i="34" s="1"/>
  <c r="H321" i="34"/>
  <c r="I321" i="34" s="1"/>
  <c r="H320" i="34"/>
  <c r="J320" i="34" s="1"/>
  <c r="H319" i="34"/>
  <c r="H318" i="34"/>
  <c r="I318" i="34" s="1"/>
  <c r="H317" i="34"/>
  <c r="I317" i="34" s="1"/>
  <c r="H316" i="34"/>
  <c r="H315" i="34"/>
  <c r="J315" i="34" s="1"/>
  <c r="H314" i="34"/>
  <c r="H313" i="34"/>
  <c r="I313" i="34" s="1"/>
  <c r="H312" i="34"/>
  <c r="H311" i="34"/>
  <c r="J311" i="34" s="1"/>
  <c r="H310" i="34"/>
  <c r="H309" i="34"/>
  <c r="I309" i="34" s="1"/>
  <c r="H308" i="34"/>
  <c r="I308" i="34" s="1"/>
  <c r="H307" i="34"/>
  <c r="J307" i="34" s="1"/>
  <c r="H306" i="34"/>
  <c r="H305" i="34"/>
  <c r="I305" i="34" s="1"/>
  <c r="H304" i="34"/>
  <c r="J304" i="34" s="1"/>
  <c r="H303" i="34"/>
  <c r="J303" i="34" s="1"/>
  <c r="H302" i="34"/>
  <c r="H301" i="34"/>
  <c r="I301" i="34" s="1"/>
  <c r="H300" i="34"/>
  <c r="J300" i="34" s="1"/>
  <c r="H299" i="34"/>
  <c r="J299" i="34" s="1"/>
  <c r="H298" i="34"/>
  <c r="H297" i="34"/>
  <c r="I297" i="34" s="1"/>
  <c r="H296" i="34"/>
  <c r="J296" i="34" s="1"/>
  <c r="H295" i="34"/>
  <c r="J295" i="34" s="1"/>
  <c r="H294" i="34"/>
  <c r="H293" i="34"/>
  <c r="H292" i="34"/>
  <c r="J292" i="34" s="1"/>
  <c r="H291" i="34"/>
  <c r="J291" i="34" s="1"/>
  <c r="H290" i="34"/>
  <c r="H289" i="34"/>
  <c r="I289" i="34" s="1"/>
  <c r="H288" i="34"/>
  <c r="J288" i="34" s="1"/>
  <c r="H287" i="34"/>
  <c r="J287" i="34" s="1"/>
  <c r="H286" i="34"/>
  <c r="H285" i="34"/>
  <c r="I285" i="34" s="1"/>
  <c r="H284" i="34"/>
  <c r="J284" i="34" s="1"/>
  <c r="H283" i="34"/>
  <c r="J283" i="34" s="1"/>
  <c r="H282" i="34"/>
  <c r="H281" i="34"/>
  <c r="I281" i="34" s="1"/>
  <c r="H280" i="34"/>
  <c r="H279" i="34"/>
  <c r="J279" i="34" s="1"/>
  <c r="H278" i="34"/>
  <c r="J278" i="34" s="1"/>
  <c r="H277" i="34"/>
  <c r="I277" i="34" s="1"/>
  <c r="H276" i="34"/>
  <c r="I276" i="34" s="1"/>
  <c r="H275" i="34"/>
  <c r="J275" i="34" s="1"/>
  <c r="H274" i="34"/>
  <c r="J274" i="34" s="1"/>
  <c r="H273" i="34"/>
  <c r="I273" i="34" s="1"/>
  <c r="H272" i="34"/>
  <c r="H271" i="34"/>
  <c r="I271" i="34" s="1"/>
  <c r="H270" i="34"/>
  <c r="J270" i="34" s="1"/>
  <c r="H269" i="34"/>
  <c r="I269" i="34" s="1"/>
  <c r="H268" i="34"/>
  <c r="I268" i="34" s="1"/>
  <c r="H267" i="34"/>
  <c r="J267" i="34" s="1"/>
  <c r="H266" i="34"/>
  <c r="J266" i="34" s="1"/>
  <c r="H265" i="34"/>
  <c r="I265" i="34" s="1"/>
  <c r="H264" i="34"/>
  <c r="H263" i="34"/>
  <c r="I263" i="34" s="1"/>
  <c r="H262" i="34"/>
  <c r="J262" i="34" s="1"/>
  <c r="H261" i="34"/>
  <c r="I261" i="34" s="1"/>
  <c r="J260" i="34"/>
  <c r="H260" i="34"/>
  <c r="I260" i="34" s="1"/>
  <c r="H259" i="34"/>
  <c r="I259" i="34" s="1"/>
  <c r="H258" i="34"/>
  <c r="J258" i="34" s="1"/>
  <c r="H257" i="34"/>
  <c r="I257" i="34" s="1"/>
  <c r="H256" i="34"/>
  <c r="H255" i="34"/>
  <c r="I255" i="34" s="1"/>
  <c r="H254" i="34"/>
  <c r="J254" i="34" s="1"/>
  <c r="H253" i="34"/>
  <c r="I253" i="34" s="1"/>
  <c r="H252" i="34"/>
  <c r="I252" i="34" s="1"/>
  <c r="H251" i="34"/>
  <c r="I251" i="34" s="1"/>
  <c r="H250" i="34"/>
  <c r="J250" i="34" s="1"/>
  <c r="J249" i="34"/>
  <c r="H249" i="34"/>
  <c r="I249" i="34" s="1"/>
  <c r="H248" i="34"/>
  <c r="H247" i="34"/>
  <c r="I247" i="34" s="1"/>
  <c r="H246" i="34"/>
  <c r="J246" i="34" s="1"/>
  <c r="H245" i="34"/>
  <c r="I245" i="34" s="1"/>
  <c r="H244" i="34"/>
  <c r="I244" i="34" s="1"/>
  <c r="H243" i="34"/>
  <c r="J243" i="34" s="1"/>
  <c r="H242" i="34"/>
  <c r="J242" i="34" s="1"/>
  <c r="H241" i="34"/>
  <c r="I241" i="34" s="1"/>
  <c r="H240" i="34"/>
  <c r="H239" i="34"/>
  <c r="I239" i="34" s="1"/>
  <c r="H238" i="34"/>
  <c r="J238" i="34" s="1"/>
  <c r="H237" i="34"/>
  <c r="J236" i="34"/>
  <c r="H236" i="34"/>
  <c r="I236" i="34" s="1"/>
  <c r="H235" i="34"/>
  <c r="J235" i="34" s="1"/>
  <c r="H234" i="34"/>
  <c r="H233" i="34"/>
  <c r="I233" i="34" s="1"/>
  <c r="H232" i="34"/>
  <c r="H231" i="34"/>
  <c r="H230" i="34"/>
  <c r="J230" i="34" s="1"/>
  <c r="H229" i="34"/>
  <c r="H228" i="34"/>
  <c r="I228" i="34" s="1"/>
  <c r="I227" i="34"/>
  <c r="H227" i="34"/>
  <c r="J227" i="34" s="1"/>
  <c r="H226" i="34"/>
  <c r="H225" i="34"/>
  <c r="I225" i="34" s="1"/>
  <c r="H224" i="34"/>
  <c r="H223" i="34"/>
  <c r="H222" i="34"/>
  <c r="J222" i="34" s="1"/>
  <c r="H221" i="34"/>
  <c r="H220" i="34"/>
  <c r="I220" i="34" s="1"/>
  <c r="H219" i="34"/>
  <c r="J219" i="34" s="1"/>
  <c r="H218" i="34"/>
  <c r="H217" i="34"/>
  <c r="I217" i="34" s="1"/>
  <c r="H216" i="34"/>
  <c r="H215" i="34"/>
  <c r="H214" i="34"/>
  <c r="J214" i="34" s="1"/>
  <c r="H213" i="34"/>
  <c r="H212" i="34"/>
  <c r="I212" i="34" s="1"/>
  <c r="H211" i="34"/>
  <c r="J211" i="34" s="1"/>
  <c r="H210" i="34"/>
  <c r="H209" i="34"/>
  <c r="I209" i="34" s="1"/>
  <c r="H208" i="34"/>
  <c r="J208" i="34" s="1"/>
  <c r="H207" i="34"/>
  <c r="H206" i="34"/>
  <c r="J206" i="34" s="1"/>
  <c r="H205" i="34"/>
  <c r="H204" i="34"/>
  <c r="I204" i="34" s="1"/>
  <c r="H203" i="34"/>
  <c r="J203" i="34" s="1"/>
  <c r="H202" i="34"/>
  <c r="J201" i="34"/>
  <c r="H201" i="34"/>
  <c r="I201" i="34" s="1"/>
  <c r="H200" i="34"/>
  <c r="J200" i="34" s="1"/>
  <c r="H199" i="34"/>
  <c r="H198" i="34"/>
  <c r="J198" i="34" s="1"/>
  <c r="H197" i="34"/>
  <c r="J196" i="34"/>
  <c r="H196" i="34"/>
  <c r="I196" i="34" s="1"/>
  <c r="H195" i="34"/>
  <c r="I195" i="34" s="1"/>
  <c r="H194" i="34"/>
  <c r="H193" i="34"/>
  <c r="I193" i="34" s="1"/>
  <c r="I192" i="34"/>
  <c r="H192" i="34"/>
  <c r="J192" i="34" s="1"/>
  <c r="H191" i="34"/>
  <c r="J191" i="34" s="1"/>
  <c r="H190" i="34"/>
  <c r="H189" i="34"/>
  <c r="I189" i="34" s="1"/>
  <c r="H188" i="34"/>
  <c r="J188" i="34" s="1"/>
  <c r="H187" i="34"/>
  <c r="J187" i="34" s="1"/>
  <c r="H186" i="34"/>
  <c r="H185" i="34"/>
  <c r="I185" i="34" s="1"/>
  <c r="H184" i="34"/>
  <c r="I184" i="34" s="1"/>
  <c r="H183" i="34"/>
  <c r="J183" i="34" s="1"/>
  <c r="H182" i="34"/>
  <c r="H181" i="34"/>
  <c r="I181" i="34" s="1"/>
  <c r="H180" i="34"/>
  <c r="I180" i="34" s="1"/>
  <c r="H179" i="34"/>
  <c r="J179" i="34" s="1"/>
  <c r="H178" i="34"/>
  <c r="H177" i="34"/>
  <c r="I177" i="34" s="1"/>
  <c r="H176" i="34"/>
  <c r="J176" i="34" s="1"/>
  <c r="H175" i="34"/>
  <c r="J175" i="34" s="1"/>
  <c r="H174" i="34"/>
  <c r="H173" i="34"/>
  <c r="I173" i="34" s="1"/>
  <c r="H172" i="34"/>
  <c r="J172" i="34" s="1"/>
  <c r="H171" i="34"/>
  <c r="J171" i="34" s="1"/>
  <c r="H170" i="34"/>
  <c r="H169" i="34"/>
  <c r="J169" i="34" s="1"/>
  <c r="H168" i="34"/>
  <c r="J168" i="34" s="1"/>
  <c r="H167" i="34"/>
  <c r="J167" i="34" s="1"/>
  <c r="H166" i="34"/>
  <c r="H165" i="34"/>
  <c r="J165" i="34" s="1"/>
  <c r="H164" i="34"/>
  <c r="I164" i="34" s="1"/>
  <c r="H163" i="34"/>
  <c r="J163" i="34" s="1"/>
  <c r="H162" i="34"/>
  <c r="H161" i="34"/>
  <c r="J161" i="34" s="1"/>
  <c r="I160" i="34"/>
  <c r="H160" i="34"/>
  <c r="J160" i="34" s="1"/>
  <c r="H159" i="34"/>
  <c r="J159" i="34" s="1"/>
  <c r="H158" i="34"/>
  <c r="H157" i="34"/>
  <c r="J157" i="34" s="1"/>
  <c r="H156" i="34"/>
  <c r="I156" i="34" s="1"/>
  <c r="H155" i="34"/>
  <c r="J155" i="34" s="1"/>
  <c r="H154" i="34"/>
  <c r="H153" i="34"/>
  <c r="I153" i="34" s="1"/>
  <c r="I152" i="34"/>
  <c r="H152" i="34"/>
  <c r="J152" i="34" s="1"/>
  <c r="H151" i="34"/>
  <c r="J151" i="34" s="1"/>
  <c r="H150" i="34"/>
  <c r="H149" i="34"/>
  <c r="I149" i="34" s="1"/>
  <c r="H148" i="34"/>
  <c r="J148" i="34" s="1"/>
  <c r="H147" i="34"/>
  <c r="J147" i="34" s="1"/>
  <c r="H146" i="34"/>
  <c r="H145" i="34"/>
  <c r="I145" i="34" s="1"/>
  <c r="H144" i="34"/>
  <c r="I144" i="34" s="1"/>
  <c r="H143" i="34"/>
  <c r="J143" i="34" s="1"/>
  <c r="H142" i="34"/>
  <c r="I142" i="34" s="1"/>
  <c r="H141" i="34"/>
  <c r="I141" i="34" s="1"/>
  <c r="H140" i="34"/>
  <c r="I140" i="34" s="1"/>
  <c r="H139" i="34"/>
  <c r="J139" i="34" s="1"/>
  <c r="H138" i="34"/>
  <c r="I137" i="34"/>
  <c r="H137" i="34"/>
  <c r="J137" i="34" s="1"/>
  <c r="H136" i="34"/>
  <c r="I136" i="34" s="1"/>
  <c r="H135" i="34"/>
  <c r="J135" i="34" s="1"/>
  <c r="H134" i="34"/>
  <c r="I134" i="34" s="1"/>
  <c r="H133" i="34"/>
  <c r="J133" i="34" s="1"/>
  <c r="H132" i="34"/>
  <c r="J132" i="34" s="1"/>
  <c r="H131" i="34"/>
  <c r="J131" i="34" s="1"/>
  <c r="H130" i="34"/>
  <c r="H129" i="34"/>
  <c r="J129" i="34" s="1"/>
  <c r="H128" i="34"/>
  <c r="I128" i="34" s="1"/>
  <c r="H127" i="34"/>
  <c r="J127" i="34" s="1"/>
  <c r="H126" i="34"/>
  <c r="I126" i="34" s="1"/>
  <c r="H125" i="34"/>
  <c r="J125" i="34" s="1"/>
  <c r="H124" i="34"/>
  <c r="I124" i="34" s="1"/>
  <c r="H123" i="34"/>
  <c r="J123" i="34" s="1"/>
  <c r="H122" i="34"/>
  <c r="H121" i="34"/>
  <c r="J121" i="34" s="1"/>
  <c r="H120" i="34"/>
  <c r="I120" i="34" s="1"/>
  <c r="H119" i="34"/>
  <c r="J119" i="34" s="1"/>
  <c r="H118" i="34"/>
  <c r="I118" i="34" s="1"/>
  <c r="H117" i="34"/>
  <c r="I117" i="34" s="1"/>
  <c r="H116" i="34"/>
  <c r="J116" i="34" s="1"/>
  <c r="H115" i="34"/>
  <c r="J115" i="34" s="1"/>
  <c r="H114" i="34"/>
  <c r="H113" i="34"/>
  <c r="I113" i="34" s="1"/>
  <c r="H112" i="34"/>
  <c r="I112" i="34" s="1"/>
  <c r="H111" i="34"/>
  <c r="J111" i="34" s="1"/>
  <c r="H110" i="34"/>
  <c r="I110" i="34" s="1"/>
  <c r="H109" i="34"/>
  <c r="J109" i="34" s="1"/>
  <c r="H108" i="34"/>
  <c r="J108" i="34" s="1"/>
  <c r="H107" i="34"/>
  <c r="J107" i="34" s="1"/>
  <c r="H106" i="34"/>
  <c r="H105" i="34"/>
  <c r="J105" i="34" s="1"/>
  <c r="H104" i="34"/>
  <c r="I104" i="34" s="1"/>
  <c r="H103" i="34"/>
  <c r="J103" i="34" s="1"/>
  <c r="H102" i="34"/>
  <c r="I102" i="34" s="1"/>
  <c r="H101" i="34"/>
  <c r="J101" i="34" s="1"/>
  <c r="H100" i="34"/>
  <c r="I100" i="34" s="1"/>
  <c r="H99" i="34"/>
  <c r="I99" i="34" s="1"/>
  <c r="H98" i="34"/>
  <c r="I98" i="34" s="1"/>
  <c r="H97" i="34"/>
  <c r="J97" i="34" s="1"/>
  <c r="H96" i="34"/>
  <c r="I96" i="34" s="1"/>
  <c r="H95" i="34"/>
  <c r="J95" i="34" s="1"/>
  <c r="H94" i="34"/>
  <c r="I94" i="34" s="1"/>
  <c r="H93" i="34"/>
  <c r="J93" i="34" s="1"/>
  <c r="H92" i="34"/>
  <c r="I92" i="34" s="1"/>
  <c r="H91" i="34"/>
  <c r="I91" i="34" s="1"/>
  <c r="H90" i="34"/>
  <c r="I90" i="34" s="1"/>
  <c r="H89" i="34"/>
  <c r="J89" i="34" s="1"/>
  <c r="H88" i="34"/>
  <c r="I88" i="34" s="1"/>
  <c r="H87" i="34"/>
  <c r="I87" i="34" s="1"/>
  <c r="H86" i="34"/>
  <c r="I86" i="34" s="1"/>
  <c r="H85" i="34"/>
  <c r="J85" i="34" s="1"/>
  <c r="H84" i="34"/>
  <c r="I84" i="34" s="1"/>
  <c r="H83" i="34"/>
  <c r="I83" i="34" s="1"/>
  <c r="H82" i="34"/>
  <c r="I82" i="34" s="1"/>
  <c r="H81" i="34"/>
  <c r="J81" i="34" s="1"/>
  <c r="H80" i="34"/>
  <c r="I80" i="34" s="1"/>
  <c r="H79" i="34"/>
  <c r="J79" i="34" s="1"/>
  <c r="H78" i="34"/>
  <c r="I78" i="34" s="1"/>
  <c r="H77" i="34"/>
  <c r="J77" i="34" s="1"/>
  <c r="H76" i="34"/>
  <c r="I76" i="34" s="1"/>
  <c r="H75" i="34"/>
  <c r="J75" i="34" s="1"/>
  <c r="H74" i="34"/>
  <c r="I74" i="34" s="1"/>
  <c r="H73" i="34"/>
  <c r="J73" i="34" s="1"/>
  <c r="H72" i="34"/>
  <c r="I72" i="34" s="1"/>
  <c r="H71" i="34"/>
  <c r="J71" i="34" s="1"/>
  <c r="H70" i="34"/>
  <c r="I70" i="34" s="1"/>
  <c r="H69" i="34"/>
  <c r="J69" i="34" s="1"/>
  <c r="H68" i="34"/>
  <c r="I68" i="34" s="1"/>
  <c r="H67" i="34"/>
  <c r="I67" i="34" s="1"/>
  <c r="H66" i="34"/>
  <c r="I66" i="34" s="1"/>
  <c r="H65" i="34"/>
  <c r="J65" i="34" s="1"/>
  <c r="H64" i="34"/>
  <c r="I64" i="34" s="1"/>
  <c r="H63" i="34"/>
  <c r="J63" i="34" s="1"/>
  <c r="H62" i="34"/>
  <c r="I62" i="34" s="1"/>
  <c r="H61" i="34"/>
  <c r="J61" i="34" s="1"/>
  <c r="H60" i="34"/>
  <c r="I60" i="34" s="1"/>
  <c r="H59" i="34"/>
  <c r="I59" i="34" s="1"/>
  <c r="H58" i="34"/>
  <c r="I58" i="34" s="1"/>
  <c r="H57" i="34"/>
  <c r="J57" i="34" s="1"/>
  <c r="H56" i="34"/>
  <c r="I56" i="34" s="1"/>
  <c r="H55" i="34"/>
  <c r="I55" i="34" s="1"/>
  <c r="H54" i="34"/>
  <c r="I54" i="34" s="1"/>
  <c r="H53" i="34"/>
  <c r="J53" i="34" s="1"/>
  <c r="H52" i="34"/>
  <c r="I52" i="34" s="1"/>
  <c r="H51" i="34"/>
  <c r="I51" i="34" s="1"/>
  <c r="H50" i="34"/>
  <c r="I50" i="34" s="1"/>
  <c r="H49" i="34"/>
  <c r="J49" i="34" s="1"/>
  <c r="H48" i="34"/>
  <c r="I48" i="34" s="1"/>
  <c r="H47" i="34"/>
  <c r="J47" i="34" s="1"/>
  <c r="H46" i="34"/>
  <c r="I46" i="34" s="1"/>
  <c r="H45" i="34"/>
  <c r="J45" i="34" s="1"/>
  <c r="H44" i="34"/>
  <c r="I44" i="34" s="1"/>
  <c r="H43" i="34"/>
  <c r="J43" i="34" s="1"/>
  <c r="H42" i="34"/>
  <c r="I42" i="34" s="1"/>
  <c r="H41" i="34"/>
  <c r="J41" i="34" s="1"/>
  <c r="H40" i="34"/>
  <c r="I40" i="34" s="1"/>
  <c r="H39" i="34"/>
  <c r="J39" i="34" s="1"/>
  <c r="J38" i="34"/>
  <c r="H38" i="34"/>
  <c r="I38" i="34" s="1"/>
  <c r="H37" i="34"/>
  <c r="J37" i="34" s="1"/>
  <c r="H36" i="34"/>
  <c r="I36" i="34" s="1"/>
  <c r="H35" i="34"/>
  <c r="I35" i="34" s="1"/>
  <c r="H34" i="34"/>
  <c r="I34" i="34" s="1"/>
  <c r="H33" i="34"/>
  <c r="J33" i="34" s="1"/>
  <c r="H32" i="34"/>
  <c r="I32" i="34" s="1"/>
  <c r="H31" i="34"/>
  <c r="J31" i="34" s="1"/>
  <c r="H30" i="34"/>
  <c r="I30" i="34" s="1"/>
  <c r="H29" i="34"/>
  <c r="J29" i="34" s="1"/>
  <c r="H28" i="34"/>
  <c r="I28" i="34" s="1"/>
  <c r="J27" i="34"/>
  <c r="H27" i="34"/>
  <c r="I27" i="34" s="1"/>
  <c r="H26" i="34"/>
  <c r="I26" i="34" s="1"/>
  <c r="H25" i="34"/>
  <c r="J25" i="34" s="1"/>
  <c r="B25" i="34"/>
  <c r="H24" i="34"/>
  <c r="J24" i="34" s="1"/>
  <c r="B24" i="34"/>
  <c r="H23" i="34"/>
  <c r="J23" i="34" s="1"/>
  <c r="H22" i="34"/>
  <c r="I22" i="34" s="1"/>
  <c r="B22" i="34"/>
  <c r="H21" i="34"/>
  <c r="I21" i="34" s="1"/>
  <c r="B21" i="34"/>
  <c r="H20" i="34"/>
  <c r="I20" i="34" s="1"/>
  <c r="B20" i="34"/>
  <c r="H19" i="34"/>
  <c r="I19" i="34" s="1"/>
  <c r="B19" i="34"/>
  <c r="H18" i="34"/>
  <c r="I18" i="34" s="1"/>
  <c r="H17" i="34"/>
  <c r="J17" i="34" s="1"/>
  <c r="H16" i="34"/>
  <c r="J16" i="34" s="1"/>
  <c r="H15" i="34"/>
  <c r="J15" i="34" s="1"/>
  <c r="H14" i="34"/>
  <c r="I14" i="34" s="1"/>
  <c r="I13" i="34"/>
  <c r="H13" i="34"/>
  <c r="J13" i="34" s="1"/>
  <c r="H12" i="34"/>
  <c r="J12" i="34" s="1"/>
  <c r="H11" i="34"/>
  <c r="J11" i="34" s="1"/>
  <c r="H10" i="34"/>
  <c r="I10" i="34" s="1"/>
  <c r="H9" i="34"/>
  <c r="J9" i="34" s="1"/>
  <c r="H8" i="34"/>
  <c r="J8" i="34" s="1"/>
  <c r="H7" i="34"/>
  <c r="J7" i="34" s="1"/>
  <c r="H6" i="34"/>
  <c r="I6" i="34" s="1"/>
  <c r="H5" i="34"/>
  <c r="J5" i="34" s="1"/>
  <c r="I75" i="34" l="1"/>
  <c r="J78" i="34"/>
  <c r="J276" i="34"/>
  <c r="I188" i="34"/>
  <c r="I155" i="34"/>
  <c r="I47" i="34"/>
  <c r="J58" i="34"/>
  <c r="J91" i="34"/>
  <c r="J102" i="34"/>
  <c r="I157" i="34"/>
  <c r="I116" i="34"/>
  <c r="I270" i="34"/>
  <c r="I328" i="34"/>
  <c r="I43" i="34"/>
  <c r="J70" i="34"/>
  <c r="J90" i="34"/>
  <c r="I111" i="34"/>
  <c r="I132" i="34"/>
  <c r="I165" i="34"/>
  <c r="I200" i="34"/>
  <c r="J228" i="34"/>
  <c r="I235" i="34"/>
  <c r="I304" i="34"/>
  <c r="J333" i="34"/>
  <c r="J181" i="34"/>
  <c r="I300" i="34"/>
  <c r="I16" i="34"/>
  <c r="J26" i="34"/>
  <c r="J59" i="34"/>
  <c r="I79" i="34"/>
  <c r="I129" i="34"/>
  <c r="J156" i="34"/>
  <c r="J301" i="34"/>
  <c r="I315" i="34"/>
  <c r="I336" i="34"/>
  <c r="J46" i="34"/>
  <c r="I5" i="34"/>
  <c r="I12" i="34"/>
  <c r="I219" i="34"/>
  <c r="I246" i="34"/>
  <c r="J252" i="34"/>
  <c r="J273" i="34"/>
  <c r="J55" i="34"/>
  <c r="J67" i="34"/>
  <c r="J113" i="34"/>
  <c r="J141" i="34"/>
  <c r="J164" i="34"/>
  <c r="J193" i="34"/>
  <c r="J251" i="34"/>
  <c r="J340" i="34"/>
  <c r="J35" i="34"/>
  <c r="J87" i="34"/>
  <c r="J99" i="34"/>
  <c r="J117" i="34"/>
  <c r="J180" i="34"/>
  <c r="J189" i="34"/>
  <c r="J195" i="34"/>
  <c r="J259" i="34"/>
  <c r="I31" i="34"/>
  <c r="J34" i="34"/>
  <c r="J54" i="34"/>
  <c r="I63" i="34"/>
  <c r="J66" i="34"/>
  <c r="J86" i="34"/>
  <c r="I95" i="34"/>
  <c r="J98" i="34"/>
  <c r="I108" i="34"/>
  <c r="I109" i="34"/>
  <c r="I127" i="34"/>
  <c r="I133" i="34"/>
  <c r="J140" i="34"/>
  <c r="I143" i="34"/>
  <c r="I148" i="34"/>
  <c r="I171" i="34"/>
  <c r="I176" i="34"/>
  <c r="J177" i="34"/>
  <c r="I198" i="34"/>
  <c r="I203" i="34"/>
  <c r="J204" i="34"/>
  <c r="J209" i="34"/>
  <c r="I214" i="34"/>
  <c r="J217" i="34"/>
  <c r="J220" i="34"/>
  <c r="J225" i="34"/>
  <c r="I238" i="34"/>
  <c r="J241" i="34"/>
  <c r="J244" i="34"/>
  <c r="I254" i="34"/>
  <c r="J268" i="34"/>
  <c r="I278" i="34"/>
  <c r="J281" i="34"/>
  <c r="I284" i="34"/>
  <c r="J285" i="34"/>
  <c r="I292" i="34"/>
  <c r="J305" i="34"/>
  <c r="J308" i="34"/>
  <c r="J309" i="34"/>
  <c r="J317" i="34"/>
  <c r="I320" i="34"/>
  <c r="J321" i="34"/>
  <c r="J324" i="34"/>
  <c r="J344" i="34"/>
  <c r="J345" i="34"/>
  <c r="I352" i="34"/>
  <c r="J353" i="34"/>
  <c r="I106" i="34"/>
  <c r="J106" i="34"/>
  <c r="J51" i="34"/>
  <c r="J83" i="34"/>
  <c r="J124" i="34"/>
  <c r="J145" i="34"/>
  <c r="J149" i="34"/>
  <c r="J153" i="34"/>
  <c r="J184" i="34"/>
  <c r="J264" i="34"/>
  <c r="I264" i="34"/>
  <c r="J30" i="34"/>
  <c r="I39" i="34"/>
  <c r="J62" i="34"/>
  <c r="I71" i="34"/>
  <c r="J94" i="34"/>
  <c r="I103" i="34"/>
  <c r="I121" i="34"/>
  <c r="I125" i="34"/>
  <c r="I138" i="34"/>
  <c r="J138" i="34"/>
  <c r="I168" i="34"/>
  <c r="I172" i="34"/>
  <c r="J185" i="34"/>
  <c r="I206" i="34"/>
  <c r="I211" i="34"/>
  <c r="J216" i="34"/>
  <c r="I216" i="34"/>
  <c r="I230" i="34"/>
  <c r="J265" i="34"/>
  <c r="I275" i="34"/>
  <c r="J280" i="34"/>
  <c r="I280" i="34"/>
  <c r="I296" i="34"/>
  <c r="J316" i="34"/>
  <c r="I316" i="34"/>
  <c r="I332" i="34"/>
  <c r="J341" i="34"/>
  <c r="I146" i="34"/>
  <c r="J146" i="34"/>
  <c r="I8" i="34"/>
  <c r="I17" i="34"/>
  <c r="I130" i="34"/>
  <c r="J130" i="34"/>
  <c r="J256" i="34"/>
  <c r="I256" i="34"/>
  <c r="I337" i="34"/>
  <c r="J337" i="34"/>
  <c r="J348" i="34"/>
  <c r="I348" i="34"/>
  <c r="J360" i="34"/>
  <c r="I360" i="34"/>
  <c r="J240" i="34"/>
  <c r="I240" i="34"/>
  <c r="I122" i="34"/>
  <c r="J122" i="34"/>
  <c r="J232" i="34"/>
  <c r="I232" i="34"/>
  <c r="J312" i="34"/>
  <c r="I312" i="34"/>
  <c r="I9" i="34"/>
  <c r="J50" i="34"/>
  <c r="J82" i="34"/>
  <c r="I114" i="34"/>
  <c r="J114" i="34"/>
  <c r="I135" i="34"/>
  <c r="I169" i="34"/>
  <c r="J173" i="34"/>
  <c r="I187" i="34"/>
  <c r="I208" i="34"/>
  <c r="J212" i="34"/>
  <c r="I222" i="34"/>
  <c r="J257" i="34"/>
  <c r="I267" i="34"/>
  <c r="J272" i="34"/>
  <c r="I272" i="34"/>
  <c r="J297" i="34"/>
  <c r="J349" i="34"/>
  <c r="J233" i="34"/>
  <c r="I243" i="34"/>
  <c r="J248" i="34"/>
  <c r="I248" i="34"/>
  <c r="I262" i="34"/>
  <c r="I288" i="34"/>
  <c r="I293" i="34"/>
  <c r="J293" i="34"/>
  <c r="J313" i="34"/>
  <c r="I329" i="34"/>
  <c r="J329" i="34"/>
  <c r="J42" i="34"/>
  <c r="J74" i="34"/>
  <c r="I119" i="34"/>
  <c r="I161" i="34"/>
  <c r="J224" i="34"/>
  <c r="I224" i="34"/>
  <c r="J356" i="34"/>
  <c r="J289" i="34"/>
  <c r="J325" i="34"/>
  <c r="J357" i="34"/>
  <c r="J6" i="34"/>
  <c r="J10" i="34"/>
  <c r="J14" i="34"/>
  <c r="J18" i="34"/>
  <c r="J19" i="34"/>
  <c r="J20" i="34"/>
  <c r="J21" i="34"/>
  <c r="J22" i="34"/>
  <c r="J28" i="34"/>
  <c r="J32" i="34"/>
  <c r="J36" i="34"/>
  <c r="J40" i="34"/>
  <c r="J44" i="34"/>
  <c r="J48" i="34"/>
  <c r="J52" i="34"/>
  <c r="J56" i="34"/>
  <c r="J60" i="34"/>
  <c r="J64" i="34"/>
  <c r="J68" i="34"/>
  <c r="J72" i="34"/>
  <c r="J76" i="34"/>
  <c r="J80" i="34"/>
  <c r="J84" i="34"/>
  <c r="J88" i="34"/>
  <c r="J92" i="34"/>
  <c r="J96" i="34"/>
  <c r="J100" i="34"/>
  <c r="J104" i="34"/>
  <c r="J112" i="34"/>
  <c r="J120" i="34"/>
  <c r="J128" i="34"/>
  <c r="J136" i="34"/>
  <c r="J144" i="34"/>
  <c r="I151" i="34"/>
  <c r="I158" i="34"/>
  <c r="J158" i="34"/>
  <c r="I167" i="34"/>
  <c r="I174" i="34"/>
  <c r="J174" i="34"/>
  <c r="I183" i="34"/>
  <c r="I190" i="34"/>
  <c r="J190" i="34"/>
  <c r="I197" i="34"/>
  <c r="J197" i="34"/>
  <c r="I205" i="34"/>
  <c r="J205" i="34"/>
  <c r="I213" i="34"/>
  <c r="J213" i="34"/>
  <c r="I221" i="34"/>
  <c r="J221" i="34"/>
  <c r="I229" i="34"/>
  <c r="J229" i="34"/>
  <c r="I237" i="34"/>
  <c r="J237" i="34"/>
  <c r="I162" i="34"/>
  <c r="J162" i="34"/>
  <c r="I178" i="34"/>
  <c r="J178" i="34"/>
  <c r="J194" i="34"/>
  <c r="I194" i="34"/>
  <c r="J202" i="34"/>
  <c r="I202" i="34"/>
  <c r="J210" i="34"/>
  <c r="I210" i="34"/>
  <c r="J218" i="34"/>
  <c r="I218" i="34"/>
  <c r="J226" i="34"/>
  <c r="I226" i="34"/>
  <c r="J234" i="34"/>
  <c r="I234" i="34"/>
  <c r="I7" i="34"/>
  <c r="I11" i="34"/>
  <c r="I24" i="34"/>
  <c r="I25" i="34"/>
  <c r="I29" i="34"/>
  <c r="I33" i="34"/>
  <c r="I37" i="34"/>
  <c r="I49" i="34"/>
  <c r="I53" i="34"/>
  <c r="I57" i="34"/>
  <c r="I61" i="34"/>
  <c r="I65" i="34"/>
  <c r="I69" i="34"/>
  <c r="I73" i="34"/>
  <c r="I77" i="34"/>
  <c r="I81" i="34"/>
  <c r="I85" i="34"/>
  <c r="I89" i="34"/>
  <c r="I150" i="34"/>
  <c r="J150" i="34"/>
  <c r="I159" i="34"/>
  <c r="I166" i="34"/>
  <c r="J166" i="34"/>
  <c r="I175" i="34"/>
  <c r="I182" i="34"/>
  <c r="J182" i="34"/>
  <c r="I191" i="34"/>
  <c r="I15" i="34"/>
  <c r="I23" i="34"/>
  <c r="I41" i="34"/>
  <c r="I45" i="34"/>
  <c r="I93" i="34"/>
  <c r="I97" i="34"/>
  <c r="I101" i="34"/>
  <c r="I105" i="34"/>
  <c r="I107" i="34"/>
  <c r="J110" i="34"/>
  <c r="I115" i="34"/>
  <c r="J118" i="34"/>
  <c r="I123" i="34"/>
  <c r="J126" i="34"/>
  <c r="I131" i="34"/>
  <c r="J134" i="34"/>
  <c r="I139" i="34"/>
  <c r="J142" i="34"/>
  <c r="I147" i="34"/>
  <c r="I154" i="34"/>
  <c r="J154" i="34"/>
  <c r="I163" i="34"/>
  <c r="I170" i="34"/>
  <c r="J170" i="34"/>
  <c r="I179" i="34"/>
  <c r="I186" i="34"/>
  <c r="J186" i="34"/>
  <c r="I199" i="34"/>
  <c r="J199" i="34"/>
  <c r="I207" i="34"/>
  <c r="J207" i="34"/>
  <c r="I215" i="34"/>
  <c r="J215" i="34"/>
  <c r="I223" i="34"/>
  <c r="J223" i="34"/>
  <c r="I231" i="34"/>
  <c r="J231" i="34"/>
  <c r="J239" i="34"/>
  <c r="J247" i="34"/>
  <c r="J255" i="34"/>
  <c r="J263" i="34"/>
  <c r="J271" i="34"/>
  <c r="J327" i="34"/>
  <c r="I327" i="34"/>
  <c r="I282" i="34"/>
  <c r="J282" i="34"/>
  <c r="I286" i="34"/>
  <c r="J286" i="34"/>
  <c r="I290" i="34"/>
  <c r="J290" i="34"/>
  <c r="I294" i="34"/>
  <c r="J294" i="34"/>
  <c r="I298" i="34"/>
  <c r="J298" i="34"/>
  <c r="I302" i="34"/>
  <c r="J302" i="34"/>
  <c r="I306" i="34"/>
  <c r="J306" i="34"/>
  <c r="I310" i="34"/>
  <c r="J310" i="34"/>
  <c r="I314" i="34"/>
  <c r="J314" i="34"/>
  <c r="J323" i="34"/>
  <c r="I323" i="34"/>
  <c r="J319" i="34"/>
  <c r="I319" i="34"/>
  <c r="J335" i="34"/>
  <c r="I335" i="34"/>
  <c r="I242" i="34"/>
  <c r="J245" i="34"/>
  <c r="I250" i="34"/>
  <c r="J253" i="34"/>
  <c r="I258" i="34"/>
  <c r="J261" i="34"/>
  <c r="I266" i="34"/>
  <c r="J269" i="34"/>
  <c r="I274" i="34"/>
  <c r="J277" i="34"/>
  <c r="I279" i="34"/>
  <c r="I283" i="34"/>
  <c r="I287" i="34"/>
  <c r="I291" i="34"/>
  <c r="I295" i="34"/>
  <c r="I299" i="34"/>
  <c r="I303" i="34"/>
  <c r="I307" i="34"/>
  <c r="I311" i="34"/>
  <c r="J331" i="34"/>
  <c r="I331" i="34"/>
  <c r="J318" i="34"/>
  <c r="J322" i="34"/>
  <c r="J326" i="34"/>
  <c r="J330" i="34"/>
  <c r="J334" i="34"/>
  <c r="J338" i="34"/>
  <c r="J342" i="34"/>
  <c r="J346" i="34"/>
  <c r="J350" i="34"/>
  <c r="J354" i="34"/>
  <c r="J358" i="34"/>
  <c r="J362" i="34"/>
  <c r="I339" i="34"/>
  <c r="I343" i="34"/>
  <c r="I347" i="34"/>
  <c r="I351" i="34"/>
  <c r="I355" i="34"/>
  <c r="I359" i="34"/>
  <c r="I363" i="34"/>
  <c r="H363" i="33"/>
  <c r="J363" i="33" s="1"/>
  <c r="H362" i="33"/>
  <c r="I362" i="33" s="1"/>
  <c r="H361" i="33"/>
  <c r="J361" i="33" s="1"/>
  <c r="H360" i="33"/>
  <c r="J360" i="33" s="1"/>
  <c r="H359" i="33"/>
  <c r="J359" i="33" s="1"/>
  <c r="H358" i="33"/>
  <c r="I358" i="33" s="1"/>
  <c r="H357" i="33"/>
  <c r="H356" i="33"/>
  <c r="J356" i="33" s="1"/>
  <c r="H355" i="33"/>
  <c r="I355" i="33" s="1"/>
  <c r="H354" i="33"/>
  <c r="H353" i="33"/>
  <c r="J353" i="33" s="1"/>
  <c r="H352" i="33"/>
  <c r="J352" i="33" s="1"/>
  <c r="H351" i="33"/>
  <c r="H350" i="33"/>
  <c r="I350" i="33" s="1"/>
  <c r="H349" i="33"/>
  <c r="J349" i="33" s="1"/>
  <c r="H348" i="33"/>
  <c r="I348" i="33" s="1"/>
  <c r="H347" i="33"/>
  <c r="J347" i="33" s="1"/>
  <c r="H346" i="33"/>
  <c r="I346" i="33" s="1"/>
  <c r="H345" i="33"/>
  <c r="J345" i="33" s="1"/>
  <c r="H344" i="33"/>
  <c r="J344" i="33" s="1"/>
  <c r="H343" i="33"/>
  <c r="J343" i="33" s="1"/>
  <c r="H342" i="33"/>
  <c r="I342" i="33" s="1"/>
  <c r="H341" i="33"/>
  <c r="H340" i="33"/>
  <c r="J340" i="33" s="1"/>
  <c r="H339" i="33"/>
  <c r="I339" i="33" s="1"/>
  <c r="H338" i="33"/>
  <c r="H337" i="33"/>
  <c r="J337" i="33" s="1"/>
  <c r="H336" i="33"/>
  <c r="J336" i="33" s="1"/>
  <c r="H335" i="33"/>
  <c r="H334" i="33"/>
  <c r="I334" i="33" s="1"/>
  <c r="H333" i="33"/>
  <c r="J333" i="33" s="1"/>
  <c r="H332" i="33"/>
  <c r="I332" i="33" s="1"/>
  <c r="H331" i="33"/>
  <c r="J331" i="33" s="1"/>
  <c r="H330" i="33"/>
  <c r="I330" i="33" s="1"/>
  <c r="H329" i="33"/>
  <c r="J329" i="33" s="1"/>
  <c r="H328" i="33"/>
  <c r="J328" i="33" s="1"/>
  <c r="H327" i="33"/>
  <c r="J327" i="33" s="1"/>
  <c r="H326" i="33"/>
  <c r="I326" i="33" s="1"/>
  <c r="H325" i="33"/>
  <c r="H324" i="33"/>
  <c r="J324" i="33" s="1"/>
  <c r="H323" i="33"/>
  <c r="I323" i="33" s="1"/>
  <c r="H322" i="33"/>
  <c r="H321" i="33"/>
  <c r="J321" i="33" s="1"/>
  <c r="H320" i="33"/>
  <c r="J320" i="33" s="1"/>
  <c r="H319" i="33"/>
  <c r="H318" i="33"/>
  <c r="I318" i="33" s="1"/>
  <c r="H317" i="33"/>
  <c r="J317" i="33" s="1"/>
  <c r="H316" i="33"/>
  <c r="I316" i="33" s="1"/>
  <c r="I315" i="33"/>
  <c r="H315" i="33"/>
  <c r="J315" i="33" s="1"/>
  <c r="H314" i="33"/>
  <c r="I314" i="33" s="1"/>
  <c r="H313" i="33"/>
  <c r="J313" i="33" s="1"/>
  <c r="H312" i="33"/>
  <c r="J312" i="33" s="1"/>
  <c r="H311" i="33"/>
  <c r="J311" i="33" s="1"/>
  <c r="H310" i="33"/>
  <c r="I310" i="33" s="1"/>
  <c r="H309" i="33"/>
  <c r="H308" i="33"/>
  <c r="J308" i="33" s="1"/>
  <c r="H307" i="33"/>
  <c r="I307" i="33" s="1"/>
  <c r="H306" i="33"/>
  <c r="H305" i="33"/>
  <c r="J305" i="33" s="1"/>
  <c r="H304" i="33"/>
  <c r="J304" i="33" s="1"/>
  <c r="H303" i="33"/>
  <c r="H302" i="33"/>
  <c r="I302" i="33" s="1"/>
  <c r="H301" i="33"/>
  <c r="J301" i="33" s="1"/>
  <c r="H300" i="33"/>
  <c r="I300" i="33" s="1"/>
  <c r="H299" i="33"/>
  <c r="I299" i="33" s="1"/>
  <c r="H298" i="33"/>
  <c r="I298" i="33" s="1"/>
  <c r="H297" i="33"/>
  <c r="J297" i="33" s="1"/>
  <c r="H296" i="33"/>
  <c r="J296" i="33" s="1"/>
  <c r="H295" i="33"/>
  <c r="J295" i="33" s="1"/>
  <c r="H294" i="33"/>
  <c r="I294" i="33" s="1"/>
  <c r="H293" i="33"/>
  <c r="H292" i="33"/>
  <c r="I292" i="33" s="1"/>
  <c r="H291" i="33"/>
  <c r="I291" i="33" s="1"/>
  <c r="H290" i="33"/>
  <c r="H289" i="33"/>
  <c r="J289" i="33" s="1"/>
  <c r="H288" i="33"/>
  <c r="H287" i="33"/>
  <c r="H286" i="33"/>
  <c r="I286" i="33" s="1"/>
  <c r="H285" i="33"/>
  <c r="J285" i="33" s="1"/>
  <c r="H284" i="33"/>
  <c r="I284" i="33" s="1"/>
  <c r="H283" i="33"/>
  <c r="J283" i="33" s="1"/>
  <c r="H282" i="33"/>
  <c r="I282" i="33" s="1"/>
  <c r="H281" i="33"/>
  <c r="J281" i="33" s="1"/>
  <c r="H280" i="33"/>
  <c r="H279" i="33"/>
  <c r="J279" i="33" s="1"/>
  <c r="H278" i="33"/>
  <c r="I278" i="33" s="1"/>
  <c r="H277" i="33"/>
  <c r="H276" i="33"/>
  <c r="J276" i="33" s="1"/>
  <c r="H275" i="33"/>
  <c r="I275" i="33" s="1"/>
  <c r="H274" i="33"/>
  <c r="H273" i="33"/>
  <c r="J273" i="33" s="1"/>
  <c r="H272" i="33"/>
  <c r="H271" i="33"/>
  <c r="H270" i="33"/>
  <c r="I270" i="33" s="1"/>
  <c r="H269" i="33"/>
  <c r="J269" i="33" s="1"/>
  <c r="H268" i="33"/>
  <c r="I268" i="33" s="1"/>
  <c r="H267" i="33"/>
  <c r="I267" i="33" s="1"/>
  <c r="H266" i="33"/>
  <c r="I266" i="33" s="1"/>
  <c r="H265" i="33"/>
  <c r="J265" i="33" s="1"/>
  <c r="H264" i="33"/>
  <c r="I263" i="33"/>
  <c r="H263" i="33"/>
  <c r="J263" i="33" s="1"/>
  <c r="H262" i="33"/>
  <c r="I262" i="33" s="1"/>
  <c r="H261" i="33"/>
  <c r="H260" i="33"/>
  <c r="J260" i="33" s="1"/>
  <c r="H259" i="33"/>
  <c r="I259" i="33" s="1"/>
  <c r="H258" i="33"/>
  <c r="H257" i="33"/>
  <c r="J257" i="33" s="1"/>
  <c r="H256" i="33"/>
  <c r="I256" i="33" s="1"/>
  <c r="H255" i="33"/>
  <c r="J255" i="33" s="1"/>
  <c r="H254" i="33"/>
  <c r="H253" i="33"/>
  <c r="H252" i="33"/>
  <c r="J252" i="33" s="1"/>
  <c r="H251" i="33"/>
  <c r="I251" i="33" s="1"/>
  <c r="H250" i="33"/>
  <c r="H249" i="33"/>
  <c r="J249" i="33" s="1"/>
  <c r="H248" i="33"/>
  <c r="I248" i="33" s="1"/>
  <c r="H247" i="33"/>
  <c r="J247" i="33" s="1"/>
  <c r="H246" i="33"/>
  <c r="H245" i="33"/>
  <c r="H244" i="33"/>
  <c r="J244" i="33" s="1"/>
  <c r="H243" i="33"/>
  <c r="I243" i="33" s="1"/>
  <c r="H242" i="33"/>
  <c r="H241" i="33"/>
  <c r="J241" i="33" s="1"/>
  <c r="H240" i="33"/>
  <c r="I240" i="33" s="1"/>
  <c r="I239" i="33"/>
  <c r="H239" i="33"/>
  <c r="J239" i="33" s="1"/>
  <c r="H238" i="33"/>
  <c r="H237" i="33"/>
  <c r="J236" i="33"/>
  <c r="H236" i="33"/>
  <c r="I236" i="33" s="1"/>
  <c r="H235" i="33"/>
  <c r="I235" i="33" s="1"/>
  <c r="H234" i="33"/>
  <c r="H233" i="33"/>
  <c r="J233" i="33" s="1"/>
  <c r="H232" i="33"/>
  <c r="I232" i="33" s="1"/>
  <c r="H231" i="33"/>
  <c r="J231" i="33" s="1"/>
  <c r="H230" i="33"/>
  <c r="H229" i="33"/>
  <c r="H228" i="33"/>
  <c r="I228" i="33" s="1"/>
  <c r="H227" i="33"/>
  <c r="I227" i="33" s="1"/>
  <c r="H226" i="33"/>
  <c r="H225" i="33"/>
  <c r="J225" i="33" s="1"/>
  <c r="H224" i="33"/>
  <c r="I224" i="33" s="1"/>
  <c r="H223" i="33"/>
  <c r="J223" i="33" s="1"/>
  <c r="H222" i="33"/>
  <c r="H221" i="33"/>
  <c r="H220" i="33"/>
  <c r="J220" i="33" s="1"/>
  <c r="H219" i="33"/>
  <c r="I219" i="33" s="1"/>
  <c r="H218" i="33"/>
  <c r="H217" i="33"/>
  <c r="J217" i="33" s="1"/>
  <c r="H216" i="33"/>
  <c r="I216" i="33" s="1"/>
  <c r="H215" i="33"/>
  <c r="J215" i="33" s="1"/>
  <c r="H214" i="33"/>
  <c r="H213" i="33"/>
  <c r="H212" i="33"/>
  <c r="J212" i="33" s="1"/>
  <c r="H211" i="33"/>
  <c r="I211" i="33" s="1"/>
  <c r="H210" i="33"/>
  <c r="H209" i="33"/>
  <c r="H208" i="33"/>
  <c r="I208" i="33" s="1"/>
  <c r="H207" i="33"/>
  <c r="J207" i="33" s="1"/>
  <c r="H206" i="33"/>
  <c r="J206" i="33" s="1"/>
  <c r="H205" i="33"/>
  <c r="H204" i="33"/>
  <c r="I204" i="33" s="1"/>
  <c r="H203" i="33"/>
  <c r="I203" i="33" s="1"/>
  <c r="H202" i="33"/>
  <c r="H201" i="33"/>
  <c r="H200" i="33"/>
  <c r="I200" i="33" s="1"/>
  <c r="H199" i="33"/>
  <c r="J199" i="33" s="1"/>
  <c r="H198" i="33"/>
  <c r="J198" i="33" s="1"/>
  <c r="H197" i="33"/>
  <c r="J197" i="33" s="1"/>
  <c r="H196" i="33"/>
  <c r="I196" i="33" s="1"/>
  <c r="H195" i="33"/>
  <c r="I195" i="33" s="1"/>
  <c r="H194" i="33"/>
  <c r="I194" i="33" s="1"/>
  <c r="H193" i="33"/>
  <c r="H192" i="33"/>
  <c r="I192" i="33" s="1"/>
  <c r="H191" i="33"/>
  <c r="H190" i="33"/>
  <c r="H189" i="33"/>
  <c r="H188" i="33"/>
  <c r="J188" i="33" s="1"/>
  <c r="H187" i="33"/>
  <c r="I187" i="33" s="1"/>
  <c r="H186" i="33"/>
  <c r="H185" i="33"/>
  <c r="H184" i="33"/>
  <c r="I184" i="33" s="1"/>
  <c r="H183" i="33"/>
  <c r="J183" i="33" s="1"/>
  <c r="H182" i="33"/>
  <c r="J182" i="33" s="1"/>
  <c r="H181" i="33"/>
  <c r="H180" i="33"/>
  <c r="J180" i="33" s="1"/>
  <c r="H179" i="33"/>
  <c r="I179" i="33" s="1"/>
  <c r="H178" i="33"/>
  <c r="H177" i="33"/>
  <c r="H176" i="33"/>
  <c r="I176" i="33" s="1"/>
  <c r="H175" i="33"/>
  <c r="H174" i="33"/>
  <c r="H173" i="33"/>
  <c r="I172" i="33"/>
  <c r="H172" i="33"/>
  <c r="J172" i="33" s="1"/>
  <c r="H171" i="33"/>
  <c r="I171" i="33" s="1"/>
  <c r="H170" i="33"/>
  <c r="I170" i="33" s="1"/>
  <c r="H169" i="33"/>
  <c r="H168" i="33"/>
  <c r="H167" i="33"/>
  <c r="H166" i="33"/>
  <c r="H165" i="33"/>
  <c r="H164" i="33"/>
  <c r="J164" i="33" s="1"/>
  <c r="H163" i="33"/>
  <c r="I163" i="33" s="1"/>
  <c r="H162" i="33"/>
  <c r="H161" i="33"/>
  <c r="H160" i="33"/>
  <c r="I160" i="33" s="1"/>
  <c r="H159" i="33"/>
  <c r="J159" i="33" s="1"/>
  <c r="H158" i="33"/>
  <c r="J158" i="33" s="1"/>
  <c r="H157" i="33"/>
  <c r="H156" i="33"/>
  <c r="I156" i="33" s="1"/>
  <c r="J155" i="33"/>
  <c r="H155" i="33"/>
  <c r="I155" i="33" s="1"/>
  <c r="H154" i="33"/>
  <c r="I154" i="33" s="1"/>
  <c r="H153" i="33"/>
  <c r="H152" i="33"/>
  <c r="I152" i="33" s="1"/>
  <c r="H151" i="33"/>
  <c r="J151" i="33" s="1"/>
  <c r="H150" i="33"/>
  <c r="J150" i="33" s="1"/>
  <c r="H149" i="33"/>
  <c r="J149" i="33" s="1"/>
  <c r="H148" i="33"/>
  <c r="I148" i="33" s="1"/>
  <c r="H147" i="33"/>
  <c r="J147" i="33" s="1"/>
  <c r="H146" i="33"/>
  <c r="I146" i="33" s="1"/>
  <c r="H145" i="33"/>
  <c r="H144" i="33"/>
  <c r="H143" i="33"/>
  <c r="H142" i="33"/>
  <c r="J142" i="33" s="1"/>
  <c r="H141" i="33"/>
  <c r="J141" i="33" s="1"/>
  <c r="H140" i="33"/>
  <c r="I140" i="33" s="1"/>
  <c r="H139" i="33"/>
  <c r="J139" i="33" s="1"/>
  <c r="H138" i="33"/>
  <c r="I138" i="33" s="1"/>
  <c r="H137" i="33"/>
  <c r="H136" i="33"/>
  <c r="H135" i="33"/>
  <c r="H134" i="33"/>
  <c r="H133" i="33"/>
  <c r="H132" i="33"/>
  <c r="I132" i="33" s="1"/>
  <c r="H131" i="33"/>
  <c r="I131" i="33" s="1"/>
  <c r="H130" i="33"/>
  <c r="I130" i="33" s="1"/>
  <c r="H129" i="33"/>
  <c r="I129" i="33" s="1"/>
  <c r="H128" i="33"/>
  <c r="I128" i="33" s="1"/>
  <c r="H127" i="33"/>
  <c r="J127" i="33" s="1"/>
  <c r="H126" i="33"/>
  <c r="J126" i="33" s="1"/>
  <c r="H125" i="33"/>
  <c r="H124" i="33"/>
  <c r="J124" i="33" s="1"/>
  <c r="H123" i="33"/>
  <c r="I123" i="33" s="1"/>
  <c r="H122" i="33"/>
  <c r="H121" i="33"/>
  <c r="H120" i="33"/>
  <c r="H119" i="33"/>
  <c r="J119" i="33" s="1"/>
  <c r="H118" i="33"/>
  <c r="J118" i="33" s="1"/>
  <c r="H117" i="33"/>
  <c r="J117" i="33" s="1"/>
  <c r="H116" i="33"/>
  <c r="I116" i="33" s="1"/>
  <c r="H115" i="33"/>
  <c r="I115" i="33" s="1"/>
  <c r="H114" i="33"/>
  <c r="I114" i="33" s="1"/>
  <c r="J113" i="33"/>
  <c r="H113" i="33"/>
  <c r="I113" i="33" s="1"/>
  <c r="H112" i="33"/>
  <c r="I112" i="33" s="1"/>
  <c r="H111" i="33"/>
  <c r="H110" i="33"/>
  <c r="H109" i="33"/>
  <c r="H108" i="33"/>
  <c r="J108" i="33" s="1"/>
  <c r="H107" i="33"/>
  <c r="I107" i="33" s="1"/>
  <c r="H106" i="33"/>
  <c r="H105" i="33"/>
  <c r="I105" i="33" s="1"/>
  <c r="H104" i="33"/>
  <c r="I104" i="33" s="1"/>
  <c r="H103" i="33"/>
  <c r="H102" i="33"/>
  <c r="H101" i="33"/>
  <c r="H100" i="33"/>
  <c r="J100" i="33" s="1"/>
  <c r="H99" i="33"/>
  <c r="I99" i="33" s="1"/>
  <c r="H98" i="33"/>
  <c r="I98" i="33" s="1"/>
  <c r="H97" i="33"/>
  <c r="I97" i="33" s="1"/>
  <c r="H96" i="33"/>
  <c r="H95" i="33"/>
  <c r="H94" i="33"/>
  <c r="J94" i="33" s="1"/>
  <c r="H93" i="33"/>
  <c r="J93" i="33" s="1"/>
  <c r="H92" i="33"/>
  <c r="I92" i="33" s="1"/>
  <c r="H91" i="33"/>
  <c r="I91" i="33" s="1"/>
  <c r="H90" i="33"/>
  <c r="I90" i="33" s="1"/>
  <c r="H89" i="33"/>
  <c r="H88" i="33"/>
  <c r="H87" i="33"/>
  <c r="J87" i="33" s="1"/>
  <c r="H86" i="33"/>
  <c r="J86" i="33" s="1"/>
  <c r="H85" i="33"/>
  <c r="H84" i="33"/>
  <c r="J84" i="33" s="1"/>
  <c r="H83" i="33"/>
  <c r="I83" i="33" s="1"/>
  <c r="H82" i="33"/>
  <c r="H81" i="33"/>
  <c r="H80" i="33"/>
  <c r="I80" i="33" s="1"/>
  <c r="H79" i="33"/>
  <c r="J79" i="33" s="1"/>
  <c r="H78" i="33"/>
  <c r="H77" i="33"/>
  <c r="H76" i="33"/>
  <c r="J76" i="33" s="1"/>
  <c r="H75" i="33"/>
  <c r="I75" i="33" s="1"/>
  <c r="H74" i="33"/>
  <c r="H73" i="33"/>
  <c r="I73" i="33" s="1"/>
  <c r="H72" i="33"/>
  <c r="I72" i="33" s="1"/>
  <c r="H71" i="33"/>
  <c r="H70" i="33"/>
  <c r="H69" i="33"/>
  <c r="H68" i="33"/>
  <c r="J68" i="33" s="1"/>
  <c r="H67" i="33"/>
  <c r="J67" i="33" s="1"/>
  <c r="H66" i="33"/>
  <c r="I66" i="33" s="1"/>
  <c r="H65" i="33"/>
  <c r="I65" i="33" s="1"/>
  <c r="H64" i="33"/>
  <c r="I64" i="33" s="1"/>
  <c r="H63" i="33"/>
  <c r="H62" i="33"/>
  <c r="J62" i="33" s="1"/>
  <c r="H61" i="33"/>
  <c r="J61" i="33" s="1"/>
  <c r="H60" i="33"/>
  <c r="J60" i="33" s="1"/>
  <c r="H59" i="33"/>
  <c r="J59" i="33" s="1"/>
  <c r="H58" i="33"/>
  <c r="I58" i="33" s="1"/>
  <c r="H57" i="33"/>
  <c r="H56" i="33"/>
  <c r="I56" i="33" s="1"/>
  <c r="H55" i="33"/>
  <c r="J55" i="33" s="1"/>
  <c r="H54" i="33"/>
  <c r="J54" i="33" s="1"/>
  <c r="H53" i="33"/>
  <c r="J53" i="33" s="1"/>
  <c r="H52" i="33"/>
  <c r="J52" i="33" s="1"/>
  <c r="H51" i="33"/>
  <c r="I51" i="33" s="1"/>
  <c r="H50" i="33"/>
  <c r="I50" i="33" s="1"/>
  <c r="H49" i="33"/>
  <c r="H48" i="33"/>
  <c r="I48" i="33" s="1"/>
  <c r="H47" i="33"/>
  <c r="J47" i="33" s="1"/>
  <c r="H46" i="33"/>
  <c r="H45" i="33"/>
  <c r="J45" i="33" s="1"/>
  <c r="H44" i="33"/>
  <c r="J44" i="33" s="1"/>
  <c r="H43" i="33"/>
  <c r="I43" i="33" s="1"/>
  <c r="H42" i="33"/>
  <c r="I42" i="33" s="1"/>
  <c r="H41" i="33"/>
  <c r="I41" i="33" s="1"/>
  <c r="H40" i="33"/>
  <c r="I40" i="33" s="1"/>
  <c r="H39" i="33"/>
  <c r="J39" i="33" s="1"/>
  <c r="H38" i="33"/>
  <c r="H37" i="33"/>
  <c r="J37" i="33" s="1"/>
  <c r="H36" i="33"/>
  <c r="J36" i="33" s="1"/>
  <c r="H35" i="33"/>
  <c r="I35" i="33" s="1"/>
  <c r="I34" i="33"/>
  <c r="H34" i="33"/>
  <c r="J34" i="33" s="1"/>
  <c r="H33" i="33"/>
  <c r="I33" i="33" s="1"/>
  <c r="H32" i="33"/>
  <c r="I32" i="33" s="1"/>
  <c r="H31" i="33"/>
  <c r="I31" i="33" s="1"/>
  <c r="H30" i="33"/>
  <c r="J30" i="33" s="1"/>
  <c r="H29" i="33"/>
  <c r="J29" i="33" s="1"/>
  <c r="H28" i="33"/>
  <c r="I28" i="33" s="1"/>
  <c r="H27" i="33"/>
  <c r="I27" i="33" s="1"/>
  <c r="H26" i="33"/>
  <c r="J26" i="33" s="1"/>
  <c r="H25" i="33"/>
  <c r="I25" i="33" s="1"/>
  <c r="B25" i="33"/>
  <c r="H24" i="33"/>
  <c r="J24" i="33" s="1"/>
  <c r="B24" i="33"/>
  <c r="H23" i="33"/>
  <c r="I23" i="33" s="1"/>
  <c r="H22" i="33"/>
  <c r="I22" i="33" s="1"/>
  <c r="B22" i="33"/>
  <c r="H21" i="33"/>
  <c r="J21" i="33" s="1"/>
  <c r="B21" i="33"/>
  <c r="H20" i="33"/>
  <c r="I20" i="33" s="1"/>
  <c r="B20" i="33"/>
  <c r="H19" i="33"/>
  <c r="J19" i="33" s="1"/>
  <c r="B19" i="33"/>
  <c r="H18" i="33"/>
  <c r="I18" i="33" s="1"/>
  <c r="H17" i="33"/>
  <c r="J17" i="33" s="1"/>
  <c r="H16" i="33"/>
  <c r="I16" i="33" s="1"/>
  <c r="H15" i="33"/>
  <c r="J15" i="33" s="1"/>
  <c r="H14" i="33"/>
  <c r="J14" i="33" s="1"/>
  <c r="H13" i="33"/>
  <c r="J13" i="33" s="1"/>
  <c r="H12" i="33"/>
  <c r="J12" i="33" s="1"/>
  <c r="H11" i="33"/>
  <c r="J11" i="33" s="1"/>
  <c r="H10" i="33"/>
  <c r="I10" i="33" s="1"/>
  <c r="H9" i="33"/>
  <c r="J9" i="33" s="1"/>
  <c r="H8" i="33"/>
  <c r="I8" i="33" s="1"/>
  <c r="H7" i="33"/>
  <c r="J7" i="33" s="1"/>
  <c r="H6" i="33"/>
  <c r="J6" i="33" s="1"/>
  <c r="H5" i="33"/>
  <c r="J5" i="33" s="1"/>
  <c r="I150" i="33" l="1"/>
  <c r="J160" i="33"/>
  <c r="J208" i="33"/>
  <c r="J219" i="33"/>
  <c r="J298" i="33"/>
  <c r="J187" i="33"/>
  <c r="I279" i="33"/>
  <c r="I147" i="33"/>
  <c r="J216" i="33"/>
  <c r="I244" i="33"/>
  <c r="I301" i="33"/>
  <c r="I76" i="33"/>
  <c r="I188" i="33"/>
  <c r="J203" i="33"/>
  <c r="I340" i="33"/>
  <c r="J346" i="33"/>
  <c r="I269" i="33"/>
  <c r="I276" i="33"/>
  <c r="J282" i="33"/>
  <c r="I343" i="33"/>
  <c r="I212" i="33"/>
  <c r="I223" i="33"/>
  <c r="J232" i="33"/>
  <c r="I247" i="33"/>
  <c r="I252" i="33"/>
  <c r="I260" i="33"/>
  <c r="J267" i="33"/>
  <c r="J284" i="33"/>
  <c r="J307" i="33"/>
  <c r="I317" i="33"/>
  <c r="I324" i="33"/>
  <c r="J330" i="33"/>
  <c r="I331" i="33"/>
  <c r="J348" i="33"/>
  <c r="I359" i="33"/>
  <c r="J91" i="33"/>
  <c r="J115" i="33"/>
  <c r="J195" i="33"/>
  <c r="I5" i="33"/>
  <c r="J22" i="33"/>
  <c r="J25" i="33"/>
  <c r="J28" i="33"/>
  <c r="I36" i="33"/>
  <c r="I93" i="33"/>
  <c r="I100" i="33"/>
  <c r="J107" i="33"/>
  <c r="I117" i="33"/>
  <c r="J128" i="33"/>
  <c r="I139" i="33"/>
  <c r="I164" i="33"/>
  <c r="I183" i="33"/>
  <c r="I197" i="33"/>
  <c r="I198" i="33"/>
  <c r="J132" i="33"/>
  <c r="J228" i="33"/>
  <c r="J292" i="33"/>
  <c r="I124" i="33"/>
  <c r="J235" i="33"/>
  <c r="I255" i="33"/>
  <c r="J20" i="33"/>
  <c r="J23" i="33"/>
  <c r="I61" i="33"/>
  <c r="I67" i="33"/>
  <c r="I84" i="33"/>
  <c r="I108" i="33"/>
  <c r="J114" i="33"/>
  <c r="I118" i="33"/>
  <c r="J129" i="33"/>
  <c r="I151" i="33"/>
  <c r="J156" i="33"/>
  <c r="I180" i="33"/>
  <c r="J204" i="33"/>
  <c r="I215" i="33"/>
  <c r="I220" i="33"/>
  <c r="J240" i="33"/>
  <c r="J251" i="33"/>
  <c r="I283" i="33"/>
  <c r="J299" i="33"/>
  <c r="I311" i="33"/>
  <c r="J316" i="33"/>
  <c r="J339" i="33"/>
  <c r="I349" i="33"/>
  <c r="I356" i="33"/>
  <c r="I141" i="33"/>
  <c r="J196" i="33"/>
  <c r="J200" i="33"/>
  <c r="I231" i="33"/>
  <c r="J256" i="33"/>
  <c r="I295" i="33"/>
  <c r="I333" i="33"/>
  <c r="J362" i="33"/>
  <c r="J146" i="33"/>
  <c r="J184" i="33"/>
  <c r="I199" i="33"/>
  <c r="I327" i="33"/>
  <c r="J18" i="33"/>
  <c r="I363" i="33"/>
  <c r="I37" i="33"/>
  <c r="J224" i="33"/>
  <c r="J266" i="33"/>
  <c r="I12" i="33"/>
  <c r="I29" i="33"/>
  <c r="J35" i="33"/>
  <c r="I68" i="33"/>
  <c r="I6" i="33"/>
  <c r="J64" i="33"/>
  <c r="J75" i="33"/>
  <c r="J99" i="33"/>
  <c r="I127" i="33"/>
  <c r="J138" i="33"/>
  <c r="I149" i="33"/>
  <c r="I159" i="33"/>
  <c r="J171" i="33"/>
  <c r="I207" i="33"/>
  <c r="J248" i="33"/>
  <c r="J275" i="33"/>
  <c r="I285" i="33"/>
  <c r="I308" i="33"/>
  <c r="J314" i="33"/>
  <c r="I347" i="33"/>
  <c r="J46" i="33"/>
  <c r="I46" i="33"/>
  <c r="I57" i="33"/>
  <c r="J57" i="33"/>
  <c r="J77" i="33"/>
  <c r="I77" i="33"/>
  <c r="I81" i="33"/>
  <c r="J81" i="33"/>
  <c r="J110" i="33"/>
  <c r="I110" i="33"/>
  <c r="J134" i="33"/>
  <c r="I134" i="33"/>
  <c r="J157" i="33"/>
  <c r="I157" i="33"/>
  <c r="I168" i="33"/>
  <c r="J168" i="33"/>
  <c r="J173" i="33"/>
  <c r="I173" i="33"/>
  <c r="J189" i="33"/>
  <c r="I189" i="33"/>
  <c r="I202" i="33"/>
  <c r="J202" i="33"/>
  <c r="J221" i="33"/>
  <c r="I221" i="33"/>
  <c r="I234" i="33"/>
  <c r="J234" i="33"/>
  <c r="J253" i="33"/>
  <c r="I253" i="33"/>
  <c r="I274" i="33"/>
  <c r="J274" i="33"/>
  <c r="J287" i="33"/>
  <c r="I287" i="33"/>
  <c r="I306" i="33"/>
  <c r="J306" i="33"/>
  <c r="J319" i="33"/>
  <c r="I319" i="33"/>
  <c r="I338" i="33"/>
  <c r="J338" i="33"/>
  <c r="J351" i="33"/>
  <c r="I351" i="33"/>
  <c r="I11" i="33"/>
  <c r="I14" i="33"/>
  <c r="I19" i="33"/>
  <c r="J27" i="33"/>
  <c r="I39" i="33"/>
  <c r="J42" i="33"/>
  <c r="I44" i="33"/>
  <c r="J50" i="33"/>
  <c r="I52" i="33"/>
  <c r="I60" i="33"/>
  <c r="J69" i="33"/>
  <c r="I69" i="33"/>
  <c r="J78" i="33"/>
  <c r="I78" i="33"/>
  <c r="I82" i="33"/>
  <c r="J82" i="33"/>
  <c r="J92" i="33"/>
  <c r="J95" i="33"/>
  <c r="I95" i="33"/>
  <c r="J101" i="33"/>
  <c r="I101" i="33"/>
  <c r="J111" i="33"/>
  <c r="I111" i="33"/>
  <c r="I120" i="33"/>
  <c r="J120" i="33"/>
  <c r="J123" i="33"/>
  <c r="J125" i="33"/>
  <c r="I125" i="33"/>
  <c r="J135" i="33"/>
  <c r="I135" i="33"/>
  <c r="J140" i="33"/>
  <c r="J143" i="33"/>
  <c r="I143" i="33"/>
  <c r="J148" i="33"/>
  <c r="J163" i="33"/>
  <c r="J165" i="33"/>
  <c r="I165" i="33"/>
  <c r="J174" i="33"/>
  <c r="I174" i="33"/>
  <c r="I178" i="33"/>
  <c r="J178" i="33"/>
  <c r="J190" i="33"/>
  <c r="I190" i="33"/>
  <c r="I210" i="33"/>
  <c r="J210" i="33"/>
  <c r="J227" i="33"/>
  <c r="J229" i="33"/>
  <c r="I229" i="33"/>
  <c r="I242" i="33"/>
  <c r="J242" i="33"/>
  <c r="J259" i="33"/>
  <c r="J261" i="33"/>
  <c r="I261" i="33"/>
  <c r="J268" i="33"/>
  <c r="J271" i="33"/>
  <c r="I271" i="33"/>
  <c r="J277" i="33"/>
  <c r="I277" i="33"/>
  <c r="J291" i="33"/>
  <c r="J293" i="33"/>
  <c r="I293" i="33"/>
  <c r="J300" i="33"/>
  <c r="J303" i="33"/>
  <c r="I303" i="33"/>
  <c r="J309" i="33"/>
  <c r="I309" i="33"/>
  <c r="J323" i="33"/>
  <c r="J325" i="33"/>
  <c r="I325" i="33"/>
  <c r="J332" i="33"/>
  <c r="J335" i="33"/>
  <c r="I335" i="33"/>
  <c r="J341" i="33"/>
  <c r="I341" i="33"/>
  <c r="J355" i="33"/>
  <c r="J357" i="33"/>
  <c r="I357" i="33"/>
  <c r="J63" i="33"/>
  <c r="I63" i="33"/>
  <c r="J70" i="33"/>
  <c r="I70" i="33"/>
  <c r="I74" i="33"/>
  <c r="J74" i="33"/>
  <c r="I88" i="33"/>
  <c r="J88" i="33"/>
  <c r="I96" i="33"/>
  <c r="J96" i="33"/>
  <c r="J102" i="33"/>
  <c r="I102" i="33"/>
  <c r="I106" i="33"/>
  <c r="J106" i="33"/>
  <c r="I121" i="33"/>
  <c r="J121" i="33"/>
  <c r="I136" i="33"/>
  <c r="J136" i="33"/>
  <c r="I144" i="33"/>
  <c r="J144" i="33"/>
  <c r="J166" i="33"/>
  <c r="I166" i="33"/>
  <c r="J175" i="33"/>
  <c r="I175" i="33"/>
  <c r="I186" i="33"/>
  <c r="J186" i="33"/>
  <c r="J191" i="33"/>
  <c r="I191" i="33"/>
  <c r="J205" i="33"/>
  <c r="I205" i="33"/>
  <c r="I218" i="33"/>
  <c r="J218" i="33"/>
  <c r="J237" i="33"/>
  <c r="I237" i="33"/>
  <c r="I250" i="33"/>
  <c r="J250" i="33"/>
  <c r="J10" i="33"/>
  <c r="I13" i="33"/>
  <c r="I21" i="33"/>
  <c r="J38" i="33"/>
  <c r="I38" i="33"/>
  <c r="J43" i="33"/>
  <c r="I45" i="33"/>
  <c r="I49" i="33"/>
  <c r="J49" i="33"/>
  <c r="J51" i="33"/>
  <c r="I53" i="33"/>
  <c r="J56" i="33"/>
  <c r="I59" i="33"/>
  <c r="J71" i="33"/>
  <c r="I71" i="33"/>
  <c r="J83" i="33"/>
  <c r="J85" i="33"/>
  <c r="I85" i="33"/>
  <c r="I89" i="33"/>
  <c r="J89" i="33"/>
  <c r="J103" i="33"/>
  <c r="I103" i="33"/>
  <c r="J109" i="33"/>
  <c r="I109" i="33"/>
  <c r="J116" i="33"/>
  <c r="I122" i="33"/>
  <c r="J122" i="33"/>
  <c r="J131" i="33"/>
  <c r="J133" i="33"/>
  <c r="I133" i="33"/>
  <c r="I162" i="33"/>
  <c r="J162" i="33"/>
  <c r="J167" i="33"/>
  <c r="I167" i="33"/>
  <c r="J179" i="33"/>
  <c r="J181" i="33"/>
  <c r="I181" i="33"/>
  <c r="J211" i="33"/>
  <c r="J213" i="33"/>
  <c r="I213" i="33"/>
  <c r="I226" i="33"/>
  <c r="J226" i="33"/>
  <c r="J243" i="33"/>
  <c r="J245" i="33"/>
  <c r="I245" i="33"/>
  <c r="I258" i="33"/>
  <c r="J258" i="33"/>
  <c r="I290" i="33"/>
  <c r="J290" i="33"/>
  <c r="I322" i="33"/>
  <c r="J322" i="33"/>
  <c r="I354" i="33"/>
  <c r="J354" i="33"/>
  <c r="J8" i="33"/>
  <c r="J16" i="33"/>
  <c r="J31" i="33"/>
  <c r="J153" i="33"/>
  <c r="I153" i="33"/>
  <c r="I9" i="33"/>
  <c r="I17" i="33"/>
  <c r="I26" i="33"/>
  <c r="J32" i="33"/>
  <c r="I142" i="33"/>
  <c r="J154" i="33"/>
  <c r="J169" i="33"/>
  <c r="I169" i="33"/>
  <c r="J176" i="33"/>
  <c r="I206" i="33"/>
  <c r="I214" i="33"/>
  <c r="J214" i="33"/>
  <c r="I222" i="33"/>
  <c r="J222" i="33"/>
  <c r="I230" i="33"/>
  <c r="J230" i="33"/>
  <c r="I238" i="33"/>
  <c r="J238" i="33"/>
  <c r="I246" i="33"/>
  <c r="J246" i="33"/>
  <c r="I254" i="33"/>
  <c r="J254" i="33"/>
  <c r="J288" i="33"/>
  <c r="I288" i="33"/>
  <c r="J177" i="33"/>
  <c r="I177" i="33"/>
  <c r="J280" i="33"/>
  <c r="I280" i="33"/>
  <c r="I158" i="33"/>
  <c r="J170" i="33"/>
  <c r="J185" i="33"/>
  <c r="I185" i="33"/>
  <c r="J192" i="33"/>
  <c r="J272" i="33"/>
  <c r="I272" i="33"/>
  <c r="J161" i="33"/>
  <c r="I161" i="33"/>
  <c r="I7" i="33"/>
  <c r="I15" i="33"/>
  <c r="I24" i="33"/>
  <c r="J33" i="33"/>
  <c r="I30" i="33"/>
  <c r="J40" i="33"/>
  <c r="I47" i="33"/>
  <c r="I54" i="33"/>
  <c r="J58" i="33"/>
  <c r="J65" i="33"/>
  <c r="J72" i="33"/>
  <c r="I79" i="33"/>
  <c r="I86" i="33"/>
  <c r="J90" i="33"/>
  <c r="J97" i="33"/>
  <c r="J104" i="33"/>
  <c r="J193" i="33"/>
  <c r="I193" i="33"/>
  <c r="J264" i="33"/>
  <c r="I264" i="33"/>
  <c r="J137" i="33"/>
  <c r="I137" i="33"/>
  <c r="J201" i="33"/>
  <c r="I201" i="33"/>
  <c r="J41" i="33"/>
  <c r="J48" i="33"/>
  <c r="I55" i="33"/>
  <c r="I62" i="33"/>
  <c r="J66" i="33"/>
  <c r="J73" i="33"/>
  <c r="J80" i="33"/>
  <c r="I87" i="33"/>
  <c r="I94" i="33"/>
  <c r="J98" i="33"/>
  <c r="J105" i="33"/>
  <c r="J112" i="33"/>
  <c r="I119" i="33"/>
  <c r="I126" i="33"/>
  <c r="J130" i="33"/>
  <c r="J145" i="33"/>
  <c r="I145" i="33"/>
  <c r="J152" i="33"/>
  <c r="I182" i="33"/>
  <c r="J194" i="33"/>
  <c r="J209" i="33"/>
  <c r="I209" i="33"/>
  <c r="I217" i="33"/>
  <c r="I225" i="33"/>
  <c r="I233" i="33"/>
  <c r="I241" i="33"/>
  <c r="I249" i="33"/>
  <c r="I257" i="33"/>
  <c r="J262" i="33"/>
  <c r="I265" i="33"/>
  <c r="J270" i="33"/>
  <c r="I273" i="33"/>
  <c r="J278" i="33"/>
  <c r="I281" i="33"/>
  <c r="J286" i="33"/>
  <c r="I289" i="33"/>
  <c r="J294" i="33"/>
  <c r="I297" i="33"/>
  <c r="J302" i="33"/>
  <c r="I305" i="33"/>
  <c r="J310" i="33"/>
  <c r="I313" i="33"/>
  <c r="J318" i="33"/>
  <c r="I321" i="33"/>
  <c r="J326" i="33"/>
  <c r="I329" i="33"/>
  <c r="J334" i="33"/>
  <c r="I337" i="33"/>
  <c r="J342" i="33"/>
  <c r="I345" i="33"/>
  <c r="J350" i="33"/>
  <c r="I353" i="33"/>
  <c r="J358" i="33"/>
  <c r="I361" i="33"/>
  <c r="I296" i="33"/>
  <c r="I304" i="33"/>
  <c r="I312" i="33"/>
  <c r="I320" i="33"/>
  <c r="I328" i="33"/>
  <c r="I336" i="33"/>
  <c r="I344" i="33"/>
  <c r="I352" i="33"/>
  <c r="I360" i="33"/>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H231" i="27"/>
  <c r="H232" i="27"/>
  <c r="H233" i="27"/>
  <c r="H234" i="27"/>
  <c r="H235" i="27"/>
  <c r="H236" i="27"/>
  <c r="H237" i="27"/>
  <c r="H238" i="27"/>
  <c r="H239" i="27"/>
  <c r="H240" i="27"/>
  <c r="H241" i="27"/>
  <c r="H242" i="27"/>
  <c r="H243" i="27"/>
  <c r="H244" i="27"/>
  <c r="H245" i="27"/>
  <c r="H246" i="27"/>
  <c r="H247" i="27"/>
  <c r="H248" i="27"/>
  <c r="H249" i="27"/>
  <c r="H250" i="27"/>
  <c r="H251" i="27"/>
  <c r="H252" i="27"/>
  <c r="H253" i="27"/>
  <c r="H254" i="27"/>
  <c r="H255" i="27"/>
  <c r="H256" i="27"/>
  <c r="H257" i="27"/>
  <c r="H258" i="27"/>
  <c r="H259" i="27"/>
  <c r="H260" i="27"/>
  <c r="H261" i="27"/>
  <c r="H262" i="27"/>
  <c r="H263" i="27"/>
  <c r="H264" i="27"/>
  <c r="H265" i="27"/>
  <c r="H266" i="27"/>
  <c r="H267" i="27"/>
  <c r="H268" i="27"/>
  <c r="H269" i="27"/>
  <c r="H270" i="27"/>
  <c r="H271" i="27"/>
  <c r="H272" i="27"/>
  <c r="H273" i="27"/>
  <c r="H274" i="27"/>
  <c r="H275" i="27"/>
  <c r="H276" i="27"/>
  <c r="H277" i="27"/>
  <c r="H278" i="27"/>
  <c r="H279" i="27"/>
  <c r="H280" i="27"/>
  <c r="H281" i="27"/>
  <c r="H282" i="27"/>
  <c r="H283" i="27"/>
  <c r="H284" i="27"/>
  <c r="H285" i="27"/>
  <c r="H286" i="27"/>
  <c r="H287" i="27"/>
  <c r="H288" i="27"/>
  <c r="H289" i="27"/>
  <c r="H290" i="27"/>
  <c r="H291" i="27"/>
  <c r="H292" i="27"/>
  <c r="H293" i="27"/>
  <c r="H294" i="27"/>
  <c r="H295" i="27"/>
  <c r="H296" i="27"/>
  <c r="H297" i="27"/>
  <c r="H298" i="27"/>
  <c r="H299" i="27"/>
  <c r="H300" i="27"/>
  <c r="H301" i="27"/>
  <c r="H302" i="27"/>
  <c r="H303" i="27"/>
  <c r="H304" i="27"/>
  <c r="H305" i="27"/>
  <c r="H306" i="27"/>
  <c r="H307" i="27"/>
  <c r="H308" i="27"/>
  <c r="H309" i="27"/>
  <c r="H310" i="27"/>
  <c r="H311" i="27"/>
  <c r="H312" i="27"/>
  <c r="H313" i="27"/>
  <c r="H314" i="27"/>
  <c r="H315" i="27"/>
  <c r="H316" i="27"/>
  <c r="H317" i="27"/>
  <c r="H318" i="27"/>
  <c r="H319" i="27"/>
  <c r="H320" i="27"/>
  <c r="H321" i="27"/>
  <c r="H322" i="27"/>
  <c r="H323" i="27"/>
  <c r="H324" i="27"/>
  <c r="H325" i="27"/>
  <c r="H326" i="27"/>
  <c r="H327" i="27"/>
  <c r="H328" i="27"/>
  <c r="H329" i="27"/>
  <c r="H330" i="27"/>
  <c r="H331" i="27"/>
  <c r="H332" i="27"/>
  <c r="H333" i="27"/>
  <c r="H334" i="27"/>
  <c r="H335" i="27"/>
  <c r="H336" i="27"/>
  <c r="H337" i="27"/>
  <c r="H338" i="27"/>
  <c r="H339" i="27"/>
  <c r="H340" i="27"/>
  <c r="H341" i="27"/>
  <c r="H342" i="27"/>
  <c r="H343" i="27"/>
  <c r="H344" i="27"/>
  <c r="H345" i="27"/>
  <c r="H346" i="27"/>
  <c r="H347" i="27"/>
  <c r="H348" i="27"/>
  <c r="H349" i="27"/>
  <c r="H350" i="27"/>
  <c r="H351" i="27"/>
  <c r="H352" i="27"/>
  <c r="H353" i="27"/>
  <c r="H354" i="27"/>
  <c r="H355" i="27"/>
  <c r="H356" i="27"/>
  <c r="H357" i="27"/>
  <c r="H358" i="27"/>
  <c r="H359" i="27"/>
  <c r="H360" i="27"/>
  <c r="H361" i="27"/>
  <c r="H362" i="27"/>
  <c r="H363" i="27"/>
  <c r="I194" i="27" l="1"/>
  <c r="J193" i="27"/>
  <c r="I192" i="27"/>
  <c r="J191" i="27"/>
  <c r="I190" i="27"/>
  <c r="I193" i="27" l="1"/>
  <c r="J194" i="27"/>
  <c r="I191" i="27"/>
  <c r="J190" i="27"/>
  <c r="J192" i="27"/>
  <c r="I293" i="27"/>
  <c r="J293" i="27" l="1"/>
  <c r="H5" i="27" l="1"/>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8" i="27"/>
  <c r="H139" i="27"/>
  <c r="H140" i="27"/>
  <c r="H141" i="27"/>
  <c r="H142" i="27"/>
  <c r="H143" i="27"/>
  <c r="H144" i="27"/>
  <c r="H145" i="27"/>
  <c r="H146" i="27"/>
  <c r="H147" i="27"/>
  <c r="H148" i="27"/>
  <c r="H149" i="27"/>
  <c r="H150" i="27"/>
  <c r="H151" i="27"/>
  <c r="H152" i="27"/>
  <c r="H153" i="27"/>
  <c r="H154" i="27"/>
  <c r="H155" i="27"/>
  <c r="H156" i="27"/>
  <c r="H157" i="27"/>
  <c r="H158" i="27"/>
  <c r="H159" i="27"/>
  <c r="H160" i="27"/>
  <c r="H161" i="27"/>
  <c r="H162" i="27"/>
  <c r="H163" i="27"/>
  <c r="I311" i="27"/>
  <c r="J313" i="27"/>
  <c r="J314" i="27"/>
  <c r="I315" i="27"/>
  <c r="J316" i="27"/>
  <c r="J317" i="27"/>
  <c r="J318" i="27"/>
  <c r="I319" i="27"/>
  <c r="J321" i="27"/>
  <c r="J322" i="27"/>
  <c r="I323" i="27"/>
  <c r="J324" i="27"/>
  <c r="I327" i="27"/>
  <c r="J329" i="27"/>
  <c r="I330" i="27"/>
  <c r="J332" i="27"/>
  <c r="I334" i="27"/>
  <c r="I335" i="27"/>
  <c r="J336" i="27"/>
  <c r="J337" i="27"/>
  <c r="I338" i="27"/>
  <c r="I339" i="27"/>
  <c r="J342" i="27"/>
  <c r="I343" i="27"/>
  <c r="J344" i="27"/>
  <c r="J345" i="27"/>
  <c r="J346" i="27"/>
  <c r="I347" i="27"/>
  <c r="J348" i="27"/>
  <c r="J350" i="27"/>
  <c r="I351" i="27"/>
  <c r="J352" i="27"/>
  <c r="J354" i="27"/>
  <c r="I355" i="27"/>
  <c r="J357" i="27"/>
  <c r="J358" i="27"/>
  <c r="I359" i="27"/>
  <c r="I362" i="27"/>
  <c r="I363" i="27"/>
  <c r="H358" i="32"/>
  <c r="J358" i="32" s="1"/>
  <c r="H357" i="32"/>
  <c r="I357" i="32" s="1"/>
  <c r="H356" i="32"/>
  <c r="J356" i="32" s="1"/>
  <c r="H355" i="32"/>
  <c r="J355" i="32" s="1"/>
  <c r="H354" i="32"/>
  <c r="J354" i="32" s="1"/>
  <c r="H353" i="32"/>
  <c r="I353" i="32" s="1"/>
  <c r="H352" i="32"/>
  <c r="I352" i="32" s="1"/>
  <c r="H351" i="32"/>
  <c r="J351" i="32" s="1"/>
  <c r="H350" i="32"/>
  <c r="J350" i="32" s="1"/>
  <c r="H349" i="32"/>
  <c r="I349" i="32" s="1"/>
  <c r="H348" i="32"/>
  <c r="I348" i="32" s="1"/>
  <c r="H347" i="32"/>
  <c r="I347" i="32" s="1"/>
  <c r="H346" i="32"/>
  <c r="J346" i="32" s="1"/>
  <c r="H345" i="32"/>
  <c r="I345" i="32" s="1"/>
  <c r="H344" i="32"/>
  <c r="I344" i="32" s="1"/>
  <c r="H343" i="32"/>
  <c r="I343" i="32" s="1"/>
  <c r="H342" i="32"/>
  <c r="J342" i="32" s="1"/>
  <c r="H341" i="32"/>
  <c r="I341" i="32" s="1"/>
  <c r="H340" i="32"/>
  <c r="I340" i="32" s="1"/>
  <c r="H339" i="32"/>
  <c r="I339" i="32" s="1"/>
  <c r="H338" i="32"/>
  <c r="J338" i="32" s="1"/>
  <c r="H337" i="32"/>
  <c r="I337" i="32" s="1"/>
  <c r="H336" i="32"/>
  <c r="I336" i="32" s="1"/>
  <c r="H335" i="32"/>
  <c r="J335" i="32" s="1"/>
  <c r="H334" i="32"/>
  <c r="J334" i="32" s="1"/>
  <c r="H333" i="32"/>
  <c r="I333" i="32" s="1"/>
  <c r="H332" i="32"/>
  <c r="I332" i="32" s="1"/>
  <c r="H331" i="32"/>
  <c r="I331" i="32" s="1"/>
  <c r="H330" i="32"/>
  <c r="J330" i="32" s="1"/>
  <c r="H329" i="32"/>
  <c r="I329" i="32" s="1"/>
  <c r="H328" i="32"/>
  <c r="I328" i="32" s="1"/>
  <c r="H327" i="32"/>
  <c r="I327" i="32" s="1"/>
  <c r="H326" i="32"/>
  <c r="J326" i="32" s="1"/>
  <c r="H325" i="32"/>
  <c r="I325" i="32" s="1"/>
  <c r="H324" i="32"/>
  <c r="I324" i="32" s="1"/>
  <c r="H323" i="32"/>
  <c r="I323" i="32" s="1"/>
  <c r="H322" i="32"/>
  <c r="J322" i="32" s="1"/>
  <c r="H321" i="32"/>
  <c r="I321" i="32" s="1"/>
  <c r="H320" i="32"/>
  <c r="I320" i="32" s="1"/>
  <c r="H319" i="32"/>
  <c r="J319" i="32" s="1"/>
  <c r="H318" i="32"/>
  <c r="J318" i="32" s="1"/>
  <c r="H317" i="32"/>
  <c r="I317" i="32" s="1"/>
  <c r="H316" i="32"/>
  <c r="I316" i="32" s="1"/>
  <c r="H315" i="32"/>
  <c r="I315" i="32" s="1"/>
  <c r="H314" i="32"/>
  <c r="J314" i="32" s="1"/>
  <c r="H313" i="32"/>
  <c r="I313" i="32" s="1"/>
  <c r="H312" i="32"/>
  <c r="I312" i="32" s="1"/>
  <c r="H311" i="32"/>
  <c r="I311" i="32" s="1"/>
  <c r="H310" i="32"/>
  <c r="J310" i="32" s="1"/>
  <c r="H309" i="32"/>
  <c r="I309" i="32" s="1"/>
  <c r="H308" i="32"/>
  <c r="I308" i="32" s="1"/>
  <c r="H307" i="32"/>
  <c r="I307" i="32" s="1"/>
  <c r="H306" i="32"/>
  <c r="H305" i="32"/>
  <c r="I305" i="32" s="1"/>
  <c r="H304" i="32"/>
  <c r="I304" i="32" s="1"/>
  <c r="H303" i="32"/>
  <c r="J303" i="32" s="1"/>
  <c r="H302" i="32"/>
  <c r="H301" i="32"/>
  <c r="I301" i="32" s="1"/>
  <c r="H300" i="32"/>
  <c r="I300" i="32" s="1"/>
  <c r="H299" i="32"/>
  <c r="I299" i="32" s="1"/>
  <c r="H298" i="32"/>
  <c r="H297" i="32"/>
  <c r="I297" i="32" s="1"/>
  <c r="H296" i="32"/>
  <c r="I296" i="32" s="1"/>
  <c r="H295" i="32"/>
  <c r="I295" i="32" s="1"/>
  <c r="H294" i="32"/>
  <c r="H293" i="32"/>
  <c r="I293" i="32" s="1"/>
  <c r="H292" i="32"/>
  <c r="I292" i="32" s="1"/>
  <c r="H291" i="32"/>
  <c r="J291" i="32" s="1"/>
  <c r="H290" i="32"/>
  <c r="H289" i="32"/>
  <c r="I289" i="32" s="1"/>
  <c r="H288" i="32"/>
  <c r="I288" i="32" s="1"/>
  <c r="H287" i="32"/>
  <c r="J287" i="32" s="1"/>
  <c r="H286" i="32"/>
  <c r="H285" i="32"/>
  <c r="I285" i="32" s="1"/>
  <c r="H284" i="32"/>
  <c r="I284" i="32" s="1"/>
  <c r="H283" i="32"/>
  <c r="I283" i="32" s="1"/>
  <c r="H282" i="32"/>
  <c r="J282" i="32" s="1"/>
  <c r="H281" i="32"/>
  <c r="H280" i="32"/>
  <c r="I280" i="32" s="1"/>
  <c r="H279" i="32"/>
  <c r="I279" i="32" s="1"/>
  <c r="H278" i="32"/>
  <c r="J278" i="32" s="1"/>
  <c r="H277" i="32"/>
  <c r="H276" i="32"/>
  <c r="I276" i="32" s="1"/>
  <c r="H275" i="32"/>
  <c r="I275" i="32" s="1"/>
  <c r="H274" i="32"/>
  <c r="J274" i="32" s="1"/>
  <c r="H273" i="32"/>
  <c r="H272" i="32"/>
  <c r="I272" i="32" s="1"/>
  <c r="H271" i="32"/>
  <c r="J271" i="32" s="1"/>
  <c r="H270" i="32"/>
  <c r="J270" i="32" s="1"/>
  <c r="H269" i="32"/>
  <c r="H268" i="32"/>
  <c r="I268" i="32" s="1"/>
  <c r="H267" i="32"/>
  <c r="I267" i="32" s="1"/>
  <c r="H266" i="32"/>
  <c r="J266" i="32" s="1"/>
  <c r="H265" i="32"/>
  <c r="H264" i="32"/>
  <c r="I264" i="32" s="1"/>
  <c r="H263" i="32"/>
  <c r="I263" i="32" s="1"/>
  <c r="H262" i="32"/>
  <c r="J262" i="32" s="1"/>
  <c r="H261" i="32"/>
  <c r="H260" i="32"/>
  <c r="I260" i="32" s="1"/>
  <c r="H259" i="32"/>
  <c r="I259" i="32" s="1"/>
  <c r="H258" i="32"/>
  <c r="J258" i="32" s="1"/>
  <c r="H257" i="32"/>
  <c r="H256" i="32"/>
  <c r="I256" i="32" s="1"/>
  <c r="H255" i="32"/>
  <c r="J255" i="32" s="1"/>
  <c r="H254" i="32"/>
  <c r="J254" i="32" s="1"/>
  <c r="H253" i="32"/>
  <c r="H252" i="32"/>
  <c r="I252" i="32" s="1"/>
  <c r="H251" i="32"/>
  <c r="I251" i="32" s="1"/>
  <c r="H250" i="32"/>
  <c r="J250" i="32" s="1"/>
  <c r="H249" i="32"/>
  <c r="H248" i="32"/>
  <c r="I248" i="32" s="1"/>
  <c r="H247" i="32"/>
  <c r="I247" i="32" s="1"/>
  <c r="H246" i="32"/>
  <c r="J246" i="32" s="1"/>
  <c r="H245" i="32"/>
  <c r="H244" i="32"/>
  <c r="I244" i="32" s="1"/>
  <c r="H243" i="32"/>
  <c r="I243" i="32" s="1"/>
  <c r="H242" i="32"/>
  <c r="J242" i="32" s="1"/>
  <c r="H241" i="32"/>
  <c r="H240" i="32"/>
  <c r="I240" i="32" s="1"/>
  <c r="H239" i="32"/>
  <c r="J239" i="32" s="1"/>
  <c r="H238" i="32"/>
  <c r="J238" i="32" s="1"/>
  <c r="H237" i="32"/>
  <c r="H236" i="32"/>
  <c r="I236" i="32" s="1"/>
  <c r="H235" i="32"/>
  <c r="I235" i="32" s="1"/>
  <c r="H234" i="32"/>
  <c r="J234" i="32" s="1"/>
  <c r="H233" i="32"/>
  <c r="H232" i="32"/>
  <c r="I232" i="32" s="1"/>
  <c r="H231" i="32"/>
  <c r="I231" i="32" s="1"/>
  <c r="H230" i="32"/>
  <c r="J230" i="32" s="1"/>
  <c r="H229" i="32"/>
  <c r="H228" i="32"/>
  <c r="I228" i="32" s="1"/>
  <c r="H227" i="32"/>
  <c r="J227" i="32" s="1"/>
  <c r="H226" i="32"/>
  <c r="J226" i="32" s="1"/>
  <c r="H225" i="32"/>
  <c r="H224" i="32"/>
  <c r="I224" i="32" s="1"/>
  <c r="H223" i="32"/>
  <c r="J223" i="32" s="1"/>
  <c r="H222" i="32"/>
  <c r="J222" i="32" s="1"/>
  <c r="H221" i="32"/>
  <c r="J221" i="32" s="1"/>
  <c r="H220" i="32"/>
  <c r="I220" i="32" s="1"/>
  <c r="H219" i="32"/>
  <c r="J219" i="32" s="1"/>
  <c r="H218" i="32"/>
  <c r="I218" i="32" s="1"/>
  <c r="H217" i="32"/>
  <c r="J217" i="32" s="1"/>
  <c r="H216" i="32"/>
  <c r="I216" i="32" s="1"/>
  <c r="H215" i="32"/>
  <c r="J215" i="32" s="1"/>
  <c r="H214" i="32"/>
  <c r="J214" i="32" s="1"/>
  <c r="H213" i="32"/>
  <c r="J213" i="32" s="1"/>
  <c r="H212" i="32"/>
  <c r="I212" i="32" s="1"/>
  <c r="H211" i="32"/>
  <c r="J211" i="32" s="1"/>
  <c r="H210" i="32"/>
  <c r="I210" i="32" s="1"/>
  <c r="H209" i="32"/>
  <c r="J209" i="32" s="1"/>
  <c r="H208" i="32"/>
  <c r="I208" i="32" s="1"/>
  <c r="H207" i="32"/>
  <c r="J207" i="32" s="1"/>
  <c r="H206" i="32"/>
  <c r="J206" i="32" s="1"/>
  <c r="H205" i="32"/>
  <c r="J205" i="32" s="1"/>
  <c r="H204" i="32"/>
  <c r="I204" i="32" s="1"/>
  <c r="H203" i="32"/>
  <c r="J203" i="32" s="1"/>
  <c r="H202" i="32"/>
  <c r="I202" i="32" s="1"/>
  <c r="H201" i="32"/>
  <c r="J201" i="32" s="1"/>
  <c r="H200" i="32"/>
  <c r="I200" i="32" s="1"/>
  <c r="H199" i="32"/>
  <c r="J199" i="32" s="1"/>
  <c r="H198" i="32"/>
  <c r="J198" i="32" s="1"/>
  <c r="H197" i="32"/>
  <c r="J197" i="32" s="1"/>
  <c r="H196" i="32"/>
  <c r="I196" i="32" s="1"/>
  <c r="H195" i="32"/>
  <c r="J195" i="32" s="1"/>
  <c r="H194" i="32"/>
  <c r="I194" i="32" s="1"/>
  <c r="H193" i="32"/>
  <c r="J193" i="32" s="1"/>
  <c r="H192" i="32"/>
  <c r="I192" i="32" s="1"/>
  <c r="H191" i="32"/>
  <c r="J191" i="32" s="1"/>
  <c r="H190" i="32"/>
  <c r="J190" i="32" s="1"/>
  <c r="H189" i="32"/>
  <c r="J189" i="32" s="1"/>
  <c r="H188" i="32"/>
  <c r="I188" i="32" s="1"/>
  <c r="H187" i="32"/>
  <c r="J187" i="32" s="1"/>
  <c r="H186" i="32"/>
  <c r="I186" i="32" s="1"/>
  <c r="H185" i="32"/>
  <c r="I185" i="32" s="1"/>
  <c r="H184" i="32"/>
  <c r="I184" i="32" s="1"/>
  <c r="H183" i="32"/>
  <c r="J183" i="32" s="1"/>
  <c r="H182" i="32"/>
  <c r="I182" i="32" s="1"/>
  <c r="H181" i="32"/>
  <c r="I181" i="32" s="1"/>
  <c r="H180" i="32"/>
  <c r="I180" i="32" s="1"/>
  <c r="H179" i="32"/>
  <c r="J179" i="32" s="1"/>
  <c r="H178" i="32"/>
  <c r="I178" i="32" s="1"/>
  <c r="H177" i="32"/>
  <c r="I177" i="32" s="1"/>
  <c r="H176" i="32"/>
  <c r="I176" i="32" s="1"/>
  <c r="H175" i="32"/>
  <c r="J175" i="32" s="1"/>
  <c r="H174" i="32"/>
  <c r="I174" i="32" s="1"/>
  <c r="H173" i="32"/>
  <c r="I173" i="32" s="1"/>
  <c r="H172" i="32"/>
  <c r="I172" i="32" s="1"/>
  <c r="H171" i="32"/>
  <c r="J171" i="32" s="1"/>
  <c r="H170" i="32"/>
  <c r="I170" i="32" s="1"/>
  <c r="H169" i="32"/>
  <c r="I169" i="32" s="1"/>
  <c r="H168" i="32"/>
  <c r="I168" i="32" s="1"/>
  <c r="H167" i="32"/>
  <c r="J167" i="32" s="1"/>
  <c r="H166" i="32"/>
  <c r="I166" i="32" s="1"/>
  <c r="H165" i="32"/>
  <c r="I165" i="32" s="1"/>
  <c r="H164" i="32"/>
  <c r="J164" i="32" s="1"/>
  <c r="H163" i="32"/>
  <c r="J163" i="32" s="1"/>
  <c r="H162" i="32"/>
  <c r="I162" i="32" s="1"/>
  <c r="H161" i="32"/>
  <c r="I161" i="32" s="1"/>
  <c r="H160" i="32"/>
  <c r="I160" i="32" s="1"/>
  <c r="H159" i="32"/>
  <c r="J159" i="32" s="1"/>
  <c r="H158" i="32"/>
  <c r="I158" i="32" s="1"/>
  <c r="H157" i="32"/>
  <c r="I157" i="32" s="1"/>
  <c r="H156" i="32"/>
  <c r="I156" i="32" s="1"/>
  <c r="H155" i="32"/>
  <c r="J155" i="32" s="1"/>
  <c r="H154" i="32"/>
  <c r="I154" i="32" s="1"/>
  <c r="H153" i="32"/>
  <c r="I153" i="32" s="1"/>
  <c r="H152" i="32"/>
  <c r="J152" i="32" s="1"/>
  <c r="H151" i="32"/>
  <c r="J151" i="32" s="1"/>
  <c r="H150" i="32"/>
  <c r="I150" i="32" s="1"/>
  <c r="H149" i="32"/>
  <c r="I149" i="32" s="1"/>
  <c r="H148" i="32"/>
  <c r="J148" i="32" s="1"/>
  <c r="H147" i="32"/>
  <c r="J147" i="32" s="1"/>
  <c r="H146" i="32"/>
  <c r="I146" i="32" s="1"/>
  <c r="H145" i="32"/>
  <c r="I145" i="32" s="1"/>
  <c r="H144" i="32"/>
  <c r="I144" i="32" s="1"/>
  <c r="H143" i="32"/>
  <c r="J143" i="32" s="1"/>
  <c r="H142" i="32"/>
  <c r="I142" i="32" s="1"/>
  <c r="H141" i="32"/>
  <c r="I141" i="32" s="1"/>
  <c r="H140" i="32"/>
  <c r="I140" i="32" s="1"/>
  <c r="H139" i="32"/>
  <c r="H138" i="32"/>
  <c r="I138" i="32" s="1"/>
  <c r="H137" i="32"/>
  <c r="I137" i="32" s="1"/>
  <c r="H136" i="32"/>
  <c r="J136" i="32" s="1"/>
  <c r="H135" i="32"/>
  <c r="H134" i="32"/>
  <c r="I134" i="32" s="1"/>
  <c r="H133" i="32"/>
  <c r="I133" i="32" s="1"/>
  <c r="H132" i="32"/>
  <c r="I132" i="32" s="1"/>
  <c r="H131" i="32"/>
  <c r="H130" i="32"/>
  <c r="I130" i="32" s="1"/>
  <c r="H129" i="32"/>
  <c r="I129" i="32" s="1"/>
  <c r="H128" i="32"/>
  <c r="I128" i="32" s="1"/>
  <c r="H127" i="32"/>
  <c r="H126" i="32"/>
  <c r="I126" i="32" s="1"/>
  <c r="H125" i="32"/>
  <c r="I125" i="32" s="1"/>
  <c r="H124" i="32"/>
  <c r="I124" i="32" s="1"/>
  <c r="H123" i="32"/>
  <c r="H122" i="32"/>
  <c r="I122" i="32" s="1"/>
  <c r="H121" i="32"/>
  <c r="I121" i="32" s="1"/>
  <c r="H120" i="32"/>
  <c r="J120" i="32" s="1"/>
  <c r="H119" i="32"/>
  <c r="J119" i="32" s="1"/>
  <c r="H118" i="32"/>
  <c r="H117" i="32"/>
  <c r="I117" i="32" s="1"/>
  <c r="H116" i="32"/>
  <c r="J116" i="32" s="1"/>
  <c r="I115" i="32"/>
  <c r="H115" i="32"/>
  <c r="J115" i="32" s="1"/>
  <c r="H114" i="32"/>
  <c r="H113" i="32"/>
  <c r="I113" i="32" s="1"/>
  <c r="H112" i="32"/>
  <c r="J112" i="32" s="1"/>
  <c r="H111" i="32"/>
  <c r="J111" i="32" s="1"/>
  <c r="H110" i="32"/>
  <c r="H109" i="32"/>
  <c r="I109" i="32" s="1"/>
  <c r="H108" i="32"/>
  <c r="J108" i="32" s="1"/>
  <c r="H107" i="32"/>
  <c r="J107" i="32" s="1"/>
  <c r="H106" i="32"/>
  <c r="H105" i="32"/>
  <c r="I105" i="32" s="1"/>
  <c r="H104" i="32"/>
  <c r="J104" i="32" s="1"/>
  <c r="H103" i="32"/>
  <c r="J103" i="32" s="1"/>
  <c r="H102" i="32"/>
  <c r="H101" i="32"/>
  <c r="I101" i="32" s="1"/>
  <c r="H100" i="32"/>
  <c r="J100" i="32" s="1"/>
  <c r="H99" i="32"/>
  <c r="J99" i="32" s="1"/>
  <c r="H98" i="32"/>
  <c r="H97" i="32"/>
  <c r="I97" i="32" s="1"/>
  <c r="I96" i="32"/>
  <c r="H96" i="32"/>
  <c r="J96" i="32" s="1"/>
  <c r="H95" i="32"/>
  <c r="J95" i="32" s="1"/>
  <c r="H94" i="32"/>
  <c r="H93" i="32"/>
  <c r="I93" i="32" s="1"/>
  <c r="H92" i="32"/>
  <c r="J92" i="32" s="1"/>
  <c r="H91" i="32"/>
  <c r="J91" i="32" s="1"/>
  <c r="H90" i="32"/>
  <c r="H89" i="32"/>
  <c r="I89" i="32" s="1"/>
  <c r="H88" i="32"/>
  <c r="J88" i="32" s="1"/>
  <c r="H87" i="32"/>
  <c r="J87" i="32" s="1"/>
  <c r="H86" i="32"/>
  <c r="H85" i="32"/>
  <c r="I85" i="32" s="1"/>
  <c r="H84" i="32"/>
  <c r="J84" i="32" s="1"/>
  <c r="H83" i="32"/>
  <c r="J83" i="32" s="1"/>
  <c r="H82" i="32"/>
  <c r="H81" i="32"/>
  <c r="I81" i="32" s="1"/>
  <c r="H80" i="32"/>
  <c r="I80" i="32" s="1"/>
  <c r="H79" i="32"/>
  <c r="J79" i="32" s="1"/>
  <c r="H78" i="32"/>
  <c r="H77" i="32"/>
  <c r="I77" i="32" s="1"/>
  <c r="H76" i="32"/>
  <c r="J76" i="32" s="1"/>
  <c r="H75" i="32"/>
  <c r="J75" i="32" s="1"/>
  <c r="H74" i="32"/>
  <c r="J73" i="32"/>
  <c r="H73" i="32"/>
  <c r="I73" i="32" s="1"/>
  <c r="H72" i="32"/>
  <c r="I72" i="32" s="1"/>
  <c r="H71" i="32"/>
  <c r="J71" i="32" s="1"/>
  <c r="H70" i="32"/>
  <c r="H69" i="32"/>
  <c r="I69" i="32" s="1"/>
  <c r="H68" i="32"/>
  <c r="J68" i="32" s="1"/>
  <c r="H67" i="32"/>
  <c r="J67" i="32" s="1"/>
  <c r="H66" i="32"/>
  <c r="H65" i="32"/>
  <c r="I65" i="32" s="1"/>
  <c r="H64" i="32"/>
  <c r="I64" i="32" s="1"/>
  <c r="H63" i="32"/>
  <c r="J63" i="32" s="1"/>
  <c r="H62" i="32"/>
  <c r="H61" i="32"/>
  <c r="I61" i="32" s="1"/>
  <c r="H60" i="32"/>
  <c r="I60" i="32" s="1"/>
  <c r="H59" i="32"/>
  <c r="J59" i="32" s="1"/>
  <c r="H58" i="32"/>
  <c r="H57" i="32"/>
  <c r="I57" i="32" s="1"/>
  <c r="H56" i="32"/>
  <c r="I56" i="32" s="1"/>
  <c r="H55" i="32"/>
  <c r="J55" i="32" s="1"/>
  <c r="H54" i="32"/>
  <c r="H53" i="32"/>
  <c r="I53" i="32" s="1"/>
  <c r="H52" i="32"/>
  <c r="J52" i="32" s="1"/>
  <c r="H51" i="32"/>
  <c r="J51" i="32" s="1"/>
  <c r="H50" i="32"/>
  <c r="H49" i="32"/>
  <c r="I49" i="32" s="1"/>
  <c r="H48" i="32"/>
  <c r="I48" i="32" s="1"/>
  <c r="H47" i="32"/>
  <c r="J47" i="32" s="1"/>
  <c r="H46" i="32"/>
  <c r="H45" i="32"/>
  <c r="I45" i="32" s="1"/>
  <c r="H44" i="32"/>
  <c r="I44" i="32" s="1"/>
  <c r="H43" i="32"/>
  <c r="J43" i="32" s="1"/>
  <c r="H42" i="32"/>
  <c r="H41" i="32"/>
  <c r="I41" i="32" s="1"/>
  <c r="H40" i="32"/>
  <c r="I40" i="32" s="1"/>
  <c r="H39" i="32"/>
  <c r="J39" i="32" s="1"/>
  <c r="H38" i="32"/>
  <c r="H37" i="32"/>
  <c r="I37" i="32" s="1"/>
  <c r="H36" i="32"/>
  <c r="J36" i="32" s="1"/>
  <c r="H35" i="32"/>
  <c r="J35" i="32" s="1"/>
  <c r="H34" i="32"/>
  <c r="H33" i="32"/>
  <c r="I33" i="32" s="1"/>
  <c r="H32" i="32"/>
  <c r="I32" i="32" s="1"/>
  <c r="H31" i="32"/>
  <c r="J31" i="32" s="1"/>
  <c r="H30" i="32"/>
  <c r="H29" i="32"/>
  <c r="I29" i="32" s="1"/>
  <c r="H28" i="32"/>
  <c r="J28" i="32" s="1"/>
  <c r="H27" i="32"/>
  <c r="J27" i="32" s="1"/>
  <c r="H26" i="32"/>
  <c r="H25" i="32"/>
  <c r="I25" i="32" s="1"/>
  <c r="B25" i="32"/>
  <c r="H24" i="32"/>
  <c r="I24" i="32" s="1"/>
  <c r="B24" i="32"/>
  <c r="H23" i="32"/>
  <c r="I23" i="32" s="1"/>
  <c r="H22" i="32"/>
  <c r="I22" i="32" s="1"/>
  <c r="B22" i="32"/>
  <c r="H21" i="32"/>
  <c r="I21" i="32" s="1"/>
  <c r="B21" i="32"/>
  <c r="H20" i="32"/>
  <c r="I20" i="32" s="1"/>
  <c r="B20" i="32"/>
  <c r="H19" i="32"/>
  <c r="I19" i="32" s="1"/>
  <c r="B19" i="32"/>
  <c r="H18" i="32"/>
  <c r="I18" i="32" s="1"/>
  <c r="H17" i="32"/>
  <c r="J17" i="32" s="1"/>
  <c r="H16" i="32"/>
  <c r="H15" i="32"/>
  <c r="I15" i="32" s="1"/>
  <c r="H14" i="32"/>
  <c r="I14" i="32" s="1"/>
  <c r="H13" i="32"/>
  <c r="J13" i="32" s="1"/>
  <c r="H12" i="32"/>
  <c r="H11" i="32"/>
  <c r="I11" i="32" s="1"/>
  <c r="H10" i="32"/>
  <c r="I10" i="32" s="1"/>
  <c r="H9" i="32"/>
  <c r="J9" i="32" s="1"/>
  <c r="H8" i="32"/>
  <c r="H7" i="32"/>
  <c r="I7" i="32" s="1"/>
  <c r="H6" i="32"/>
  <c r="J6" i="32" s="1"/>
  <c r="H5" i="32"/>
  <c r="J5" i="32" s="1"/>
  <c r="J312" i="27"/>
  <c r="J320" i="27"/>
  <c r="J325" i="27"/>
  <c r="J326" i="27"/>
  <c r="J328" i="27"/>
  <c r="I331" i="27"/>
  <c r="J333" i="27"/>
  <c r="J340" i="27"/>
  <c r="J341" i="27"/>
  <c r="J349" i="27"/>
  <c r="J353" i="27"/>
  <c r="J356" i="27"/>
  <c r="J360" i="27"/>
  <c r="J361" i="27"/>
  <c r="J362" i="27"/>
  <c r="J40" i="32" l="1"/>
  <c r="J236" i="32"/>
  <c r="I99" i="32"/>
  <c r="J121" i="32"/>
  <c r="I239" i="32"/>
  <c r="J124" i="32"/>
  <c r="I147" i="32"/>
  <c r="J69" i="32"/>
  <c r="J156" i="32"/>
  <c r="J25" i="32"/>
  <c r="I219" i="32"/>
  <c r="I271" i="32"/>
  <c r="J72" i="32"/>
  <c r="I159" i="32"/>
  <c r="I28" i="32"/>
  <c r="J268" i="32"/>
  <c r="J10" i="32"/>
  <c r="J44" i="32"/>
  <c r="J60" i="32"/>
  <c r="J140" i="32"/>
  <c r="J259" i="32"/>
  <c r="J7" i="32"/>
  <c r="J56" i="32"/>
  <c r="J57" i="32"/>
  <c r="I87" i="32"/>
  <c r="I92" i="32"/>
  <c r="I103" i="32"/>
  <c r="I119" i="32"/>
  <c r="I171" i="32"/>
  <c r="J184" i="32"/>
  <c r="I195" i="32"/>
  <c r="J279" i="32"/>
  <c r="J300" i="32"/>
  <c r="I303" i="32"/>
  <c r="J320" i="32"/>
  <c r="J323" i="32"/>
  <c r="J332" i="32"/>
  <c r="J85" i="32"/>
  <c r="I108" i="32"/>
  <c r="I152" i="32"/>
  <c r="I163" i="32"/>
  <c r="J176" i="32"/>
  <c r="I203" i="32"/>
  <c r="J224" i="32"/>
  <c r="I291" i="32"/>
  <c r="J311" i="32"/>
  <c r="J352" i="32"/>
  <c r="I211" i="32"/>
  <c r="J53" i="32"/>
  <c r="J105" i="32"/>
  <c r="J117" i="32"/>
  <c r="I179" i="32"/>
  <c r="I227" i="32"/>
  <c r="J247" i="32"/>
  <c r="J288" i="32"/>
  <c r="I355" i="32"/>
  <c r="J24" i="32"/>
  <c r="I76" i="32"/>
  <c r="I112" i="32"/>
  <c r="J137" i="32"/>
  <c r="I335" i="32"/>
  <c r="J41" i="32"/>
  <c r="J37" i="32"/>
  <c r="J89" i="32"/>
  <c r="J101" i="32"/>
  <c r="J168" i="32"/>
  <c r="I187" i="32"/>
  <c r="J256" i="32"/>
  <c r="J343" i="32"/>
  <c r="J14" i="32"/>
  <c r="J128" i="32"/>
  <c r="J144" i="32"/>
  <c r="J160" i="32"/>
  <c r="J243" i="32"/>
  <c r="J275" i="32"/>
  <c r="J307" i="32"/>
  <c r="J339" i="32"/>
  <c r="I88" i="32"/>
  <c r="I95" i="32"/>
  <c r="J97" i="32"/>
  <c r="I148" i="32"/>
  <c r="I155" i="32"/>
  <c r="I164" i="32"/>
  <c r="I193" i="32"/>
  <c r="I201" i="32"/>
  <c r="I209" i="32"/>
  <c r="I217" i="32"/>
  <c r="I6" i="32"/>
  <c r="J23" i="32"/>
  <c r="I104" i="32"/>
  <c r="I111" i="32"/>
  <c r="J113" i="32"/>
  <c r="I120" i="32"/>
  <c r="J133" i="32"/>
  <c r="I136" i="32"/>
  <c r="J11" i="32"/>
  <c r="J33" i="32"/>
  <c r="I36" i="32"/>
  <c r="J49" i="32"/>
  <c r="I52" i="32"/>
  <c r="J65" i="32"/>
  <c r="I68" i="32"/>
  <c r="J81" i="32"/>
  <c r="I84" i="32"/>
  <c r="I91" i="32"/>
  <c r="J93" i="32"/>
  <c r="I100" i="32"/>
  <c r="I107" i="32"/>
  <c r="J109" i="32"/>
  <c r="I116" i="32"/>
  <c r="J125" i="32"/>
  <c r="J141" i="32"/>
  <c r="I151" i="32"/>
  <c r="I167" i="32"/>
  <c r="J172" i="32"/>
  <c r="I175" i="32"/>
  <c r="J180" i="32"/>
  <c r="I183" i="32"/>
  <c r="J188" i="32"/>
  <c r="I191" i="32"/>
  <c r="J196" i="32"/>
  <c r="I199" i="32"/>
  <c r="J204" i="32"/>
  <c r="I207" i="32"/>
  <c r="J212" i="32"/>
  <c r="I215" i="32"/>
  <c r="J220" i="32"/>
  <c r="I223" i="32"/>
  <c r="J231" i="32"/>
  <c r="J240" i="32"/>
  <c r="J252" i="32"/>
  <c r="I255" i="32"/>
  <c r="J263" i="32"/>
  <c r="J272" i="32"/>
  <c r="J284" i="32"/>
  <c r="I287" i="32"/>
  <c r="J295" i="32"/>
  <c r="J304" i="32"/>
  <c r="J316" i="32"/>
  <c r="I319" i="32"/>
  <c r="J327" i="32"/>
  <c r="J336" i="32"/>
  <c r="J348" i="32"/>
  <c r="I351" i="32"/>
  <c r="I322" i="27"/>
  <c r="I318" i="27"/>
  <c r="J334" i="27"/>
  <c r="J315" i="27"/>
  <c r="J18" i="32"/>
  <c r="J19" i="32"/>
  <c r="J20" i="32"/>
  <c r="J21" i="32"/>
  <c r="J22" i="32"/>
  <c r="J32" i="32"/>
  <c r="J48" i="32"/>
  <c r="J64" i="32"/>
  <c r="J80" i="32"/>
  <c r="J132" i="32"/>
  <c r="I190" i="32"/>
  <c r="J194" i="32"/>
  <c r="I198" i="32"/>
  <c r="J202" i="32"/>
  <c r="I206" i="32"/>
  <c r="J210" i="32"/>
  <c r="I214" i="32"/>
  <c r="J218" i="32"/>
  <c r="I222" i="32"/>
  <c r="J228" i="32"/>
  <c r="J235" i="32"/>
  <c r="J244" i="32"/>
  <c r="J251" i="32"/>
  <c r="J260" i="32"/>
  <c r="J267" i="32"/>
  <c r="J276" i="32"/>
  <c r="J283" i="32"/>
  <c r="J292" i="32"/>
  <c r="J299" i="32"/>
  <c r="J308" i="32"/>
  <c r="J315" i="32"/>
  <c r="J324" i="32"/>
  <c r="J331" i="32"/>
  <c r="J340" i="32"/>
  <c r="J347" i="32"/>
  <c r="J15" i="32"/>
  <c r="J29" i="32"/>
  <c r="J45" i="32"/>
  <c r="J61" i="32"/>
  <c r="J77" i="32"/>
  <c r="J129" i="32"/>
  <c r="J145" i="32"/>
  <c r="J149" i="32"/>
  <c r="J153" i="32"/>
  <c r="J157" i="32"/>
  <c r="J161" i="32"/>
  <c r="J165" i="32"/>
  <c r="J169" i="32"/>
  <c r="J173" i="32"/>
  <c r="J177" i="32"/>
  <c r="J181" i="32"/>
  <c r="J185" i="32"/>
  <c r="J232" i="32"/>
  <c r="J248" i="32"/>
  <c r="J264" i="32"/>
  <c r="J280" i="32"/>
  <c r="J296" i="32"/>
  <c r="J312" i="32"/>
  <c r="J328" i="32"/>
  <c r="J344" i="32"/>
  <c r="I350" i="27"/>
  <c r="J330" i="27"/>
  <c r="I354" i="27"/>
  <c r="J319" i="27"/>
  <c r="J338" i="27"/>
  <c r="I346" i="27"/>
  <c r="I314" i="27"/>
  <c r="I358" i="27"/>
  <c r="I342" i="27"/>
  <c r="I326" i="27"/>
  <c r="J363" i="27"/>
  <c r="J359" i="27"/>
  <c r="J355" i="27"/>
  <c r="J351" i="27"/>
  <c r="J347" i="27"/>
  <c r="J343" i="27"/>
  <c r="J339" i="27"/>
  <c r="J335" i="27"/>
  <c r="J331" i="27"/>
  <c r="J327" i="27"/>
  <c r="J323" i="27"/>
  <c r="J311" i="27"/>
  <c r="I360" i="27"/>
  <c r="I356" i="27"/>
  <c r="I352" i="27"/>
  <c r="I348" i="27"/>
  <c r="I344" i="27"/>
  <c r="I340" i="27"/>
  <c r="I336" i="27"/>
  <c r="I332" i="27"/>
  <c r="I328" i="27"/>
  <c r="I324" i="27"/>
  <c r="I320" i="27"/>
  <c r="I316" i="27"/>
  <c r="I312" i="27"/>
  <c r="I16" i="32"/>
  <c r="J16" i="32"/>
  <c r="I27" i="32"/>
  <c r="I35" i="32"/>
  <c r="I5" i="32"/>
  <c r="I9" i="32"/>
  <c r="I13" i="32"/>
  <c r="I17" i="32"/>
  <c r="I26" i="32"/>
  <c r="J26" i="32"/>
  <c r="J30" i="32"/>
  <c r="I30" i="32"/>
  <c r="I34" i="32"/>
  <c r="J34" i="32"/>
  <c r="I38" i="32"/>
  <c r="J38" i="32"/>
  <c r="I42" i="32"/>
  <c r="J42" i="32"/>
  <c r="J46" i="32"/>
  <c r="I46" i="32"/>
  <c r="I50" i="32"/>
  <c r="J50" i="32"/>
  <c r="J54" i="32"/>
  <c r="I54" i="32"/>
  <c r="I58" i="32"/>
  <c r="J58" i="32"/>
  <c r="J62" i="32"/>
  <c r="I62" i="32"/>
  <c r="J66" i="32"/>
  <c r="I66" i="32"/>
  <c r="I70" i="32"/>
  <c r="J70" i="32"/>
  <c r="J74" i="32"/>
  <c r="I74" i="32"/>
  <c r="I78" i="32"/>
  <c r="J78" i="32"/>
  <c r="J82" i="32"/>
  <c r="I82" i="32"/>
  <c r="I86" i="32"/>
  <c r="J86" i="32"/>
  <c r="J90" i="32"/>
  <c r="I90" i="32"/>
  <c r="J94" i="32"/>
  <c r="I94" i="32"/>
  <c r="I98" i="32"/>
  <c r="J98" i="32"/>
  <c r="J102" i="32"/>
  <c r="I102" i="32"/>
  <c r="J106" i="32"/>
  <c r="I106" i="32"/>
  <c r="I110" i="32"/>
  <c r="J110" i="32"/>
  <c r="I114" i="32"/>
  <c r="J114" i="32"/>
  <c r="I118" i="32"/>
  <c r="J118" i="32"/>
  <c r="J127" i="32"/>
  <c r="I127" i="32"/>
  <c r="J123" i="32"/>
  <c r="I123" i="32"/>
  <c r="J139" i="32"/>
  <c r="I139" i="32"/>
  <c r="J12" i="32"/>
  <c r="I12" i="32"/>
  <c r="I31" i="32"/>
  <c r="I43" i="32"/>
  <c r="I47" i="32"/>
  <c r="I51" i="32"/>
  <c r="I55" i="32"/>
  <c r="I59" i="32"/>
  <c r="I63" i="32"/>
  <c r="I67" i="32"/>
  <c r="I71" i="32"/>
  <c r="I75" i="32"/>
  <c r="I79" i="32"/>
  <c r="I83" i="32"/>
  <c r="J135" i="32"/>
  <c r="I135" i="32"/>
  <c r="I8" i="32"/>
  <c r="J8" i="32"/>
  <c r="I39" i="32"/>
  <c r="J131" i="32"/>
  <c r="I131" i="32"/>
  <c r="J122" i="32"/>
  <c r="J126" i="32"/>
  <c r="J130" i="32"/>
  <c r="J134" i="32"/>
  <c r="J138" i="32"/>
  <c r="J142" i="32"/>
  <c r="J146" i="32"/>
  <c r="J150" i="32"/>
  <c r="J154" i="32"/>
  <c r="J158" i="32"/>
  <c r="J162" i="32"/>
  <c r="J166" i="32"/>
  <c r="J170" i="32"/>
  <c r="J174" i="32"/>
  <c r="J178" i="32"/>
  <c r="J182" i="32"/>
  <c r="J186" i="32"/>
  <c r="I189" i="32"/>
  <c r="J192" i="32"/>
  <c r="I197" i="32"/>
  <c r="J200" i="32"/>
  <c r="I205" i="32"/>
  <c r="J208" i="32"/>
  <c r="I213" i="32"/>
  <c r="J216" i="32"/>
  <c r="I221" i="32"/>
  <c r="J294" i="32"/>
  <c r="I294" i="32"/>
  <c r="I225" i="32"/>
  <c r="J225" i="32"/>
  <c r="I229" i="32"/>
  <c r="J229" i="32"/>
  <c r="I233" i="32"/>
  <c r="J233" i="32"/>
  <c r="I237" i="32"/>
  <c r="J237" i="32"/>
  <c r="I241" i="32"/>
  <c r="J241" i="32"/>
  <c r="I245" i="32"/>
  <c r="J245" i="32"/>
  <c r="I249" i="32"/>
  <c r="J249" i="32"/>
  <c r="I253" i="32"/>
  <c r="J253" i="32"/>
  <c r="I257" i="32"/>
  <c r="J257" i="32"/>
  <c r="I261" i="32"/>
  <c r="J261" i="32"/>
  <c r="I265" i="32"/>
  <c r="J265" i="32"/>
  <c r="I269" i="32"/>
  <c r="J269" i="32"/>
  <c r="I273" i="32"/>
  <c r="J273" i="32"/>
  <c r="I277" i="32"/>
  <c r="J277" i="32"/>
  <c r="I281" i="32"/>
  <c r="J281" i="32"/>
  <c r="J290" i="32"/>
  <c r="I290" i="32"/>
  <c r="J306" i="32"/>
  <c r="I306" i="32"/>
  <c r="J286" i="32"/>
  <c r="I286" i="32"/>
  <c r="J302" i="32"/>
  <c r="I302" i="32"/>
  <c r="I143" i="32"/>
  <c r="I226" i="32"/>
  <c r="I230" i="32"/>
  <c r="I234" i="32"/>
  <c r="I238" i="32"/>
  <c r="I242" i="32"/>
  <c r="I246" i="32"/>
  <c r="I250" i="32"/>
  <c r="I254" i="32"/>
  <c r="I258" i="32"/>
  <c r="I262" i="32"/>
  <c r="I266" i="32"/>
  <c r="I270" i="32"/>
  <c r="I274" i="32"/>
  <c r="I278" i="32"/>
  <c r="I282" i="32"/>
  <c r="J298" i="32"/>
  <c r="I298" i="32"/>
  <c r="J285" i="32"/>
  <c r="J289" i="32"/>
  <c r="J293" i="32"/>
  <c r="J297" i="32"/>
  <c r="J301" i="32"/>
  <c r="J305" i="32"/>
  <c r="J309" i="32"/>
  <c r="J313" i="32"/>
  <c r="J317" i="32"/>
  <c r="J321" i="32"/>
  <c r="J325" i="32"/>
  <c r="J329" i="32"/>
  <c r="J333" i="32"/>
  <c r="J337" i="32"/>
  <c r="J341" i="32"/>
  <c r="J345" i="32"/>
  <c r="J349" i="32"/>
  <c r="J353" i="32"/>
  <c r="I356" i="32"/>
  <c r="J357" i="32"/>
  <c r="I310" i="32"/>
  <c r="I314" i="32"/>
  <c r="I318" i="32"/>
  <c r="I322" i="32"/>
  <c r="I326" i="32"/>
  <c r="I330" i="32"/>
  <c r="I334" i="32"/>
  <c r="I338" i="32"/>
  <c r="I342" i="32"/>
  <c r="I346" i="32"/>
  <c r="I350" i="32"/>
  <c r="I354" i="32"/>
  <c r="I358" i="32"/>
  <c r="I361" i="27"/>
  <c r="I357" i="27"/>
  <c r="I353" i="27"/>
  <c r="I349" i="27"/>
  <c r="I345" i="27"/>
  <c r="I341" i="27"/>
  <c r="I337" i="27"/>
  <c r="I333" i="27"/>
  <c r="I329" i="27"/>
  <c r="I325" i="27"/>
  <c r="I321" i="27"/>
  <c r="I317" i="27"/>
  <c r="I313" i="27"/>
  <c r="H305" i="31"/>
  <c r="J305" i="31" s="1"/>
  <c r="H304" i="31"/>
  <c r="I304" i="31" s="1"/>
  <c r="H303" i="31"/>
  <c r="J303" i="31" s="1"/>
  <c r="H302" i="31"/>
  <c r="I302" i="31" s="1"/>
  <c r="H301" i="31"/>
  <c r="J301" i="31" s="1"/>
  <c r="H300" i="31"/>
  <c r="I300" i="31" s="1"/>
  <c r="H299" i="31"/>
  <c r="J299" i="31" s="1"/>
  <c r="H298" i="31"/>
  <c r="I298" i="31" s="1"/>
  <c r="H297" i="31"/>
  <c r="J297" i="31" s="1"/>
  <c r="H296" i="31"/>
  <c r="I296" i="31" s="1"/>
  <c r="H295" i="31"/>
  <c r="J295" i="31" s="1"/>
  <c r="H294" i="31"/>
  <c r="I294" i="31" s="1"/>
  <c r="H293" i="31"/>
  <c r="J293" i="31" s="1"/>
  <c r="H292" i="31"/>
  <c r="I292" i="31" s="1"/>
  <c r="H291" i="31"/>
  <c r="J291" i="31" s="1"/>
  <c r="H290" i="31"/>
  <c r="I290" i="31" s="1"/>
  <c r="H289" i="31"/>
  <c r="J289" i="31" s="1"/>
  <c r="H288" i="31"/>
  <c r="I288" i="31" s="1"/>
  <c r="H287" i="31"/>
  <c r="J287" i="31" s="1"/>
  <c r="H286" i="31"/>
  <c r="I286" i="31" s="1"/>
  <c r="H285" i="31"/>
  <c r="J285" i="31" s="1"/>
  <c r="H284" i="31"/>
  <c r="I284" i="31" s="1"/>
  <c r="H283" i="31"/>
  <c r="J283" i="31" s="1"/>
  <c r="H282" i="31"/>
  <c r="J282" i="31" s="1"/>
  <c r="H281" i="31"/>
  <c r="J281" i="31" s="1"/>
  <c r="H280" i="31"/>
  <c r="I280" i="31" s="1"/>
  <c r="H279" i="31"/>
  <c r="I279" i="31" s="1"/>
  <c r="H278" i="31"/>
  <c r="J278" i="31" s="1"/>
  <c r="H277" i="31"/>
  <c r="J277" i="31" s="1"/>
  <c r="H276" i="31"/>
  <c r="I276" i="31" s="1"/>
  <c r="H275" i="31"/>
  <c r="J275" i="31" s="1"/>
  <c r="J274" i="31"/>
  <c r="H274" i="31"/>
  <c r="I274" i="31" s="1"/>
  <c r="H273" i="31"/>
  <c r="J273" i="31" s="1"/>
  <c r="H272" i="31"/>
  <c r="I272" i="31" s="1"/>
  <c r="H271" i="31"/>
  <c r="J271" i="31" s="1"/>
  <c r="H270" i="31"/>
  <c r="J270" i="31" s="1"/>
  <c r="H269" i="31"/>
  <c r="J269" i="31" s="1"/>
  <c r="H268" i="31"/>
  <c r="I268" i="31" s="1"/>
  <c r="H267" i="31"/>
  <c r="J267" i="31" s="1"/>
  <c r="H266" i="31"/>
  <c r="J266" i="31" s="1"/>
  <c r="H265" i="31"/>
  <c r="J265" i="31" s="1"/>
  <c r="H264" i="31"/>
  <c r="I264" i="31" s="1"/>
  <c r="H263" i="31"/>
  <c r="I263" i="31" s="1"/>
  <c r="H262" i="31"/>
  <c r="J262" i="31" s="1"/>
  <c r="H261" i="31"/>
  <c r="J261" i="31" s="1"/>
  <c r="H260" i="31"/>
  <c r="H259" i="31"/>
  <c r="J259" i="31" s="1"/>
  <c r="H258" i="31"/>
  <c r="I258" i="31" s="1"/>
  <c r="H257" i="31"/>
  <c r="J257" i="31" s="1"/>
  <c r="H256" i="31"/>
  <c r="H255" i="31"/>
  <c r="J255" i="31" s="1"/>
  <c r="H254" i="31"/>
  <c r="I254" i="31" s="1"/>
  <c r="H253" i="31"/>
  <c r="J253" i="31" s="1"/>
  <c r="H252" i="31"/>
  <c r="H251" i="31"/>
  <c r="J251" i="31" s="1"/>
  <c r="H250" i="31"/>
  <c r="J250" i="31" s="1"/>
  <c r="H249" i="31"/>
  <c r="J249" i="31" s="1"/>
  <c r="H248" i="31"/>
  <c r="H247" i="31"/>
  <c r="J247" i="31" s="1"/>
  <c r="H246" i="31"/>
  <c r="J246" i="31" s="1"/>
  <c r="H245" i="31"/>
  <c r="J245" i="31" s="1"/>
  <c r="H244" i="31"/>
  <c r="H243" i="31"/>
  <c r="J243" i="31" s="1"/>
  <c r="H242" i="31"/>
  <c r="J242" i="31" s="1"/>
  <c r="H241" i="31"/>
  <c r="J241" i="31" s="1"/>
  <c r="H240" i="31"/>
  <c r="I240" i="31" s="1"/>
  <c r="H239" i="31"/>
  <c r="I239" i="31" s="1"/>
  <c r="H238" i="31"/>
  <c r="I238" i="31" s="1"/>
  <c r="H237" i="31"/>
  <c r="J237" i="31" s="1"/>
  <c r="H236" i="31"/>
  <c r="I236" i="31" s="1"/>
  <c r="H235" i="31"/>
  <c r="J235" i="31" s="1"/>
  <c r="H234" i="31"/>
  <c r="J234" i="31" s="1"/>
  <c r="H233" i="31"/>
  <c r="J233" i="31" s="1"/>
  <c r="H232" i="31"/>
  <c r="I232" i="31" s="1"/>
  <c r="H231" i="31"/>
  <c r="I231" i="31" s="1"/>
  <c r="H230" i="31"/>
  <c r="I230" i="31" s="1"/>
  <c r="H229" i="31"/>
  <c r="J229" i="31" s="1"/>
  <c r="H228" i="31"/>
  <c r="I228" i="31" s="1"/>
  <c r="H227" i="31"/>
  <c r="J227" i="31" s="1"/>
  <c r="H226" i="31"/>
  <c r="J226" i="31" s="1"/>
  <c r="H225" i="31"/>
  <c r="J225" i="31" s="1"/>
  <c r="H224" i="31"/>
  <c r="I224" i="31" s="1"/>
  <c r="H223" i="31"/>
  <c r="I223" i="31" s="1"/>
  <c r="H222" i="31"/>
  <c r="I222" i="31" s="1"/>
  <c r="H221" i="31"/>
  <c r="J221" i="31" s="1"/>
  <c r="H220" i="31"/>
  <c r="I220" i="31" s="1"/>
  <c r="H219" i="31"/>
  <c r="J219" i="31" s="1"/>
  <c r="H218" i="31"/>
  <c r="J218" i="31" s="1"/>
  <c r="H217" i="31"/>
  <c r="J217" i="31" s="1"/>
  <c r="H216" i="31"/>
  <c r="I216" i="31" s="1"/>
  <c r="H215" i="31"/>
  <c r="J215" i="31" s="1"/>
  <c r="H214" i="31"/>
  <c r="I214" i="31" s="1"/>
  <c r="H213" i="31"/>
  <c r="J213" i="31" s="1"/>
  <c r="H212" i="31"/>
  <c r="I212" i="31" s="1"/>
  <c r="H211" i="31"/>
  <c r="J211" i="31" s="1"/>
  <c r="H210" i="31"/>
  <c r="J210" i="31" s="1"/>
  <c r="H209" i="31"/>
  <c r="J209" i="31" s="1"/>
  <c r="H208" i="31"/>
  <c r="I208" i="31" s="1"/>
  <c r="H207" i="31"/>
  <c r="J207" i="31" s="1"/>
  <c r="H206" i="31"/>
  <c r="I206" i="31" s="1"/>
  <c r="H205" i="31"/>
  <c r="J205" i="31" s="1"/>
  <c r="H204" i="31"/>
  <c r="I204" i="31" s="1"/>
  <c r="H203" i="31"/>
  <c r="J203" i="31" s="1"/>
  <c r="H202" i="31"/>
  <c r="J202" i="31" s="1"/>
  <c r="H201" i="31"/>
  <c r="J201" i="31" s="1"/>
  <c r="H200" i="31"/>
  <c r="I200" i="31" s="1"/>
  <c r="H199" i="31"/>
  <c r="J199" i="31" s="1"/>
  <c r="H198" i="31"/>
  <c r="I198" i="31" s="1"/>
  <c r="H197" i="31"/>
  <c r="J197" i="31" s="1"/>
  <c r="H196" i="31"/>
  <c r="I196" i="31" s="1"/>
  <c r="H195" i="31"/>
  <c r="J195" i="31" s="1"/>
  <c r="H194" i="31"/>
  <c r="J194" i="31" s="1"/>
  <c r="H193" i="31"/>
  <c r="J193" i="31" s="1"/>
  <c r="H192" i="31"/>
  <c r="I192" i="31" s="1"/>
  <c r="H191" i="31"/>
  <c r="J191" i="31" s="1"/>
  <c r="H190" i="31"/>
  <c r="I190" i="31" s="1"/>
  <c r="H189" i="31"/>
  <c r="J189" i="31" s="1"/>
  <c r="H188" i="31"/>
  <c r="I188" i="31" s="1"/>
  <c r="I187" i="31"/>
  <c r="H187" i="31"/>
  <c r="J187" i="31" s="1"/>
  <c r="H186" i="31"/>
  <c r="J186" i="31" s="1"/>
  <c r="H185" i="31"/>
  <c r="J185" i="31" s="1"/>
  <c r="J184" i="31"/>
  <c r="H184" i="31"/>
  <c r="I184" i="31" s="1"/>
  <c r="H183" i="31"/>
  <c r="J183" i="31" s="1"/>
  <c r="H182" i="31"/>
  <c r="I182" i="31" s="1"/>
  <c r="H181" i="31"/>
  <c r="J181" i="31" s="1"/>
  <c r="H180" i="31"/>
  <c r="I180" i="31" s="1"/>
  <c r="H179" i="31"/>
  <c r="J179" i="31" s="1"/>
  <c r="H178" i="31"/>
  <c r="J178" i="31" s="1"/>
  <c r="H177" i="31"/>
  <c r="J177" i="31" s="1"/>
  <c r="H176" i="31"/>
  <c r="I176" i="31" s="1"/>
  <c r="H175" i="31"/>
  <c r="I175" i="31" s="1"/>
  <c r="H174" i="31"/>
  <c r="I174" i="31" s="1"/>
  <c r="I173" i="31"/>
  <c r="H173" i="31"/>
  <c r="J173" i="31" s="1"/>
  <c r="H172" i="31"/>
  <c r="I172" i="31" s="1"/>
  <c r="H171" i="31"/>
  <c r="J171" i="31" s="1"/>
  <c r="H170" i="31"/>
  <c r="J170" i="31" s="1"/>
  <c r="H169" i="31"/>
  <c r="J169" i="31" s="1"/>
  <c r="H168" i="31"/>
  <c r="I168" i="31" s="1"/>
  <c r="H167" i="31"/>
  <c r="J167" i="31" s="1"/>
  <c r="H166" i="31"/>
  <c r="I166" i="31" s="1"/>
  <c r="H165" i="31"/>
  <c r="J165" i="31" s="1"/>
  <c r="H164" i="31"/>
  <c r="I164" i="31" s="1"/>
  <c r="H163" i="31"/>
  <c r="J163" i="31" s="1"/>
  <c r="H162" i="31"/>
  <c r="J162" i="31" s="1"/>
  <c r="H161" i="31"/>
  <c r="J161" i="31" s="1"/>
  <c r="H160" i="31"/>
  <c r="I160" i="31" s="1"/>
  <c r="H159" i="31"/>
  <c r="J159" i="31" s="1"/>
  <c r="H158" i="31"/>
  <c r="I158" i="31" s="1"/>
  <c r="H157" i="31"/>
  <c r="J157" i="31" s="1"/>
  <c r="H156" i="31"/>
  <c r="I156" i="31" s="1"/>
  <c r="H155" i="31"/>
  <c r="J155" i="31" s="1"/>
  <c r="H154" i="31"/>
  <c r="J154" i="31" s="1"/>
  <c r="H153" i="31"/>
  <c r="J153" i="31" s="1"/>
  <c r="H152" i="31"/>
  <c r="I152" i="31" s="1"/>
  <c r="H151" i="31"/>
  <c r="J151" i="31" s="1"/>
  <c r="H150" i="31"/>
  <c r="I150" i="31" s="1"/>
  <c r="H149" i="31"/>
  <c r="J149" i="31" s="1"/>
  <c r="H148" i="31"/>
  <c r="I148" i="31" s="1"/>
  <c r="H147" i="31"/>
  <c r="J147" i="31" s="1"/>
  <c r="H146" i="31"/>
  <c r="J146" i="31" s="1"/>
  <c r="H145" i="31"/>
  <c r="J145" i="31" s="1"/>
  <c r="H144" i="31"/>
  <c r="I144" i="31" s="1"/>
  <c r="H143" i="31"/>
  <c r="J143" i="31" s="1"/>
  <c r="H142" i="31"/>
  <c r="I142" i="31" s="1"/>
  <c r="H141" i="31"/>
  <c r="J141" i="31" s="1"/>
  <c r="H140" i="31"/>
  <c r="I140" i="31" s="1"/>
  <c r="H139" i="31"/>
  <c r="J139" i="31" s="1"/>
  <c r="H138" i="31"/>
  <c r="J138" i="31" s="1"/>
  <c r="H137" i="31"/>
  <c r="J137" i="31" s="1"/>
  <c r="H136" i="31"/>
  <c r="J136" i="31" s="1"/>
  <c r="H135" i="31"/>
  <c r="I135" i="31" s="1"/>
  <c r="H134" i="31"/>
  <c r="J134" i="31" s="1"/>
  <c r="H133" i="31"/>
  <c r="I133" i="31" s="1"/>
  <c r="H132" i="31"/>
  <c r="J132" i="31" s="1"/>
  <c r="H131" i="31"/>
  <c r="J131" i="31" s="1"/>
  <c r="H130" i="31"/>
  <c r="J130" i="31" s="1"/>
  <c r="H129" i="31"/>
  <c r="I129" i="31" s="1"/>
  <c r="H128" i="31"/>
  <c r="J128" i="31" s="1"/>
  <c r="H127" i="31"/>
  <c r="J127" i="31" s="1"/>
  <c r="H126" i="31"/>
  <c r="J126" i="31" s="1"/>
  <c r="H125" i="31"/>
  <c r="I125" i="31" s="1"/>
  <c r="H124" i="31"/>
  <c r="I124" i="31" s="1"/>
  <c r="H123" i="31"/>
  <c r="J123" i="31" s="1"/>
  <c r="H122" i="31"/>
  <c r="J122" i="31" s="1"/>
  <c r="H121" i="31"/>
  <c r="I121" i="31" s="1"/>
  <c r="H120" i="31"/>
  <c r="J120" i="31" s="1"/>
  <c r="H119" i="31"/>
  <c r="I119" i="31" s="1"/>
  <c r="H118" i="31"/>
  <c r="J118" i="31" s="1"/>
  <c r="H117" i="31"/>
  <c r="I117" i="31" s="1"/>
  <c r="H116" i="31"/>
  <c r="J116" i="31" s="1"/>
  <c r="H115" i="31"/>
  <c r="J115" i="31" s="1"/>
  <c r="H114" i="31"/>
  <c r="J114" i="31" s="1"/>
  <c r="H113" i="31"/>
  <c r="I113" i="31" s="1"/>
  <c r="H112" i="31"/>
  <c r="J112" i="31" s="1"/>
  <c r="H111" i="31"/>
  <c r="J111" i="31" s="1"/>
  <c r="H110" i="31"/>
  <c r="J110" i="31" s="1"/>
  <c r="H109" i="31"/>
  <c r="I109" i="31" s="1"/>
  <c r="H108" i="31"/>
  <c r="I108" i="31" s="1"/>
  <c r="J107" i="31"/>
  <c r="H107" i="31"/>
  <c r="I107" i="31" s="1"/>
  <c r="H106" i="31"/>
  <c r="J106" i="31" s="1"/>
  <c r="H105" i="31"/>
  <c r="I105" i="31" s="1"/>
  <c r="H104" i="31"/>
  <c r="J104" i="31" s="1"/>
  <c r="H103" i="31"/>
  <c r="I103" i="31" s="1"/>
  <c r="H102" i="31"/>
  <c r="J102" i="31" s="1"/>
  <c r="H101" i="31"/>
  <c r="I101" i="31" s="1"/>
  <c r="H100" i="31"/>
  <c r="J100" i="31" s="1"/>
  <c r="H99" i="31"/>
  <c r="J99" i="31" s="1"/>
  <c r="H98" i="31"/>
  <c r="J98" i="31" s="1"/>
  <c r="H97" i="31"/>
  <c r="I97" i="31" s="1"/>
  <c r="H96" i="31"/>
  <c r="J96" i="31" s="1"/>
  <c r="H95" i="31"/>
  <c r="J95" i="31" s="1"/>
  <c r="H94" i="31"/>
  <c r="J94" i="31" s="1"/>
  <c r="H93" i="31"/>
  <c r="I93" i="31" s="1"/>
  <c r="H92" i="31"/>
  <c r="I92" i="31" s="1"/>
  <c r="H91" i="31"/>
  <c r="J91" i="31" s="1"/>
  <c r="H90" i="31"/>
  <c r="J90" i="31" s="1"/>
  <c r="H89" i="31"/>
  <c r="I89" i="31" s="1"/>
  <c r="H88" i="31"/>
  <c r="I88" i="31" s="1"/>
  <c r="H87" i="31"/>
  <c r="J87" i="31" s="1"/>
  <c r="H86" i="31"/>
  <c r="J86" i="31" s="1"/>
  <c r="H85" i="31"/>
  <c r="I85" i="31" s="1"/>
  <c r="H84" i="31"/>
  <c r="I84" i="31" s="1"/>
  <c r="H83" i="31"/>
  <c r="J83" i="31" s="1"/>
  <c r="H82" i="31"/>
  <c r="J82" i="31" s="1"/>
  <c r="H81" i="31"/>
  <c r="I81" i="31" s="1"/>
  <c r="H80" i="31"/>
  <c r="I80" i="31" s="1"/>
  <c r="H79" i="31"/>
  <c r="I79" i="31" s="1"/>
  <c r="H78" i="31"/>
  <c r="J78" i="31" s="1"/>
  <c r="H77" i="31"/>
  <c r="I77" i="31" s="1"/>
  <c r="H76" i="31"/>
  <c r="I76" i="31" s="1"/>
  <c r="H75" i="31"/>
  <c r="J75" i="31" s="1"/>
  <c r="H74" i="31"/>
  <c r="J74" i="31" s="1"/>
  <c r="H73" i="31"/>
  <c r="I73" i="31" s="1"/>
  <c r="H72" i="31"/>
  <c r="I72" i="31" s="1"/>
  <c r="H71" i="31"/>
  <c r="J71" i="31" s="1"/>
  <c r="H70" i="31"/>
  <c r="J70" i="31" s="1"/>
  <c r="H69" i="31"/>
  <c r="I69" i="31" s="1"/>
  <c r="H68" i="31"/>
  <c r="I68" i="31" s="1"/>
  <c r="H67" i="31"/>
  <c r="J67" i="31" s="1"/>
  <c r="H66" i="31"/>
  <c r="J66" i="31" s="1"/>
  <c r="H65" i="31"/>
  <c r="I65" i="31" s="1"/>
  <c r="H64" i="31"/>
  <c r="I64" i="31" s="1"/>
  <c r="H63" i="31"/>
  <c r="J63" i="31" s="1"/>
  <c r="H62" i="31"/>
  <c r="J62" i="31" s="1"/>
  <c r="H61" i="31"/>
  <c r="I61" i="31" s="1"/>
  <c r="H60" i="31"/>
  <c r="I60" i="31" s="1"/>
  <c r="H59" i="31"/>
  <c r="J59" i="31" s="1"/>
  <c r="H58" i="31"/>
  <c r="J58" i="31" s="1"/>
  <c r="H57" i="31"/>
  <c r="I57" i="31" s="1"/>
  <c r="H56" i="31"/>
  <c r="I56" i="31" s="1"/>
  <c r="H55" i="31"/>
  <c r="I55" i="31" s="1"/>
  <c r="H54" i="31"/>
  <c r="J54" i="31" s="1"/>
  <c r="H53" i="31"/>
  <c r="I53" i="31" s="1"/>
  <c r="H52" i="31"/>
  <c r="I52" i="31" s="1"/>
  <c r="H51" i="31"/>
  <c r="J51" i="31" s="1"/>
  <c r="H50" i="31"/>
  <c r="J50" i="31" s="1"/>
  <c r="H49" i="31"/>
  <c r="I49" i="31" s="1"/>
  <c r="H48" i="31"/>
  <c r="I48" i="31" s="1"/>
  <c r="H47" i="31"/>
  <c r="J47" i="31" s="1"/>
  <c r="H46" i="31"/>
  <c r="J46" i="31" s="1"/>
  <c r="H45" i="31"/>
  <c r="I45" i="31" s="1"/>
  <c r="H44" i="31"/>
  <c r="I44" i="31" s="1"/>
  <c r="H43" i="31"/>
  <c r="J43" i="31" s="1"/>
  <c r="H42" i="31"/>
  <c r="J42" i="31" s="1"/>
  <c r="H41" i="31"/>
  <c r="I41" i="31" s="1"/>
  <c r="H40" i="31"/>
  <c r="I40" i="31" s="1"/>
  <c r="H39" i="31"/>
  <c r="I39" i="31" s="1"/>
  <c r="H38" i="31"/>
  <c r="J38" i="31" s="1"/>
  <c r="H37" i="31"/>
  <c r="I37" i="31" s="1"/>
  <c r="H36" i="31"/>
  <c r="I36" i="31" s="1"/>
  <c r="H35" i="31"/>
  <c r="I35" i="31" s="1"/>
  <c r="H34" i="31"/>
  <c r="J34" i="31" s="1"/>
  <c r="H33" i="31"/>
  <c r="I33" i="31" s="1"/>
  <c r="H32" i="31"/>
  <c r="I32" i="31" s="1"/>
  <c r="H31" i="31"/>
  <c r="J31" i="31" s="1"/>
  <c r="H30" i="31"/>
  <c r="J30" i="31" s="1"/>
  <c r="H29" i="31"/>
  <c r="I29" i="31" s="1"/>
  <c r="H28" i="31"/>
  <c r="I28" i="31" s="1"/>
  <c r="H27" i="31"/>
  <c r="J27" i="31" s="1"/>
  <c r="H26" i="31"/>
  <c r="J26" i="31" s="1"/>
  <c r="H25" i="31"/>
  <c r="I25" i="31" s="1"/>
  <c r="B25" i="31"/>
  <c r="H24" i="31"/>
  <c r="I24" i="31" s="1"/>
  <c r="B24" i="31"/>
  <c r="H23" i="31"/>
  <c r="I23" i="31" s="1"/>
  <c r="H22" i="31"/>
  <c r="I22" i="31" s="1"/>
  <c r="B22" i="31"/>
  <c r="H21" i="31"/>
  <c r="I21" i="31" s="1"/>
  <c r="B21" i="31"/>
  <c r="H20" i="31"/>
  <c r="I20" i="31" s="1"/>
  <c r="B20" i="31"/>
  <c r="J19" i="31"/>
  <c r="H19" i="31"/>
  <c r="I19" i="31" s="1"/>
  <c r="B19" i="31"/>
  <c r="H18" i="31"/>
  <c r="I18" i="31" s="1"/>
  <c r="H17" i="31"/>
  <c r="I17" i="31" s="1"/>
  <c r="H16" i="31"/>
  <c r="J16" i="31" s="1"/>
  <c r="H15" i="31"/>
  <c r="I15" i="31" s="1"/>
  <c r="H14" i="31"/>
  <c r="I14" i="31" s="1"/>
  <c r="J13" i="31"/>
  <c r="H13" i="31"/>
  <c r="I13" i="31" s="1"/>
  <c r="H12" i="31"/>
  <c r="J12" i="31" s="1"/>
  <c r="H11" i="31"/>
  <c r="I11" i="31" s="1"/>
  <c r="H10" i="31"/>
  <c r="I10" i="31" s="1"/>
  <c r="H9" i="31"/>
  <c r="J9" i="31" s="1"/>
  <c r="H8" i="31"/>
  <c r="J8" i="31" s="1"/>
  <c r="H7" i="31"/>
  <c r="I7" i="31" s="1"/>
  <c r="H6" i="31"/>
  <c r="I6" i="31" s="1"/>
  <c r="H5" i="31"/>
  <c r="J5" i="31" s="1"/>
  <c r="J64" i="31" l="1"/>
  <c r="I67" i="31"/>
  <c r="J92" i="31"/>
  <c r="J79" i="31"/>
  <c r="I116" i="31"/>
  <c r="J240" i="31"/>
  <c r="I269" i="31"/>
  <c r="I243" i="31"/>
  <c r="I63" i="31"/>
  <c r="I259" i="31"/>
  <c r="I47" i="31"/>
  <c r="J35" i="31"/>
  <c r="J175" i="31"/>
  <c r="J286" i="31"/>
  <c r="I9" i="31"/>
  <c r="J28" i="31"/>
  <c r="J39" i="31"/>
  <c r="I51" i="31"/>
  <c r="J124" i="31"/>
  <c r="I139" i="31"/>
  <c r="J160" i="31"/>
  <c r="I163" i="31"/>
  <c r="I219" i="31"/>
  <c r="J224" i="31"/>
  <c r="I227" i="31"/>
  <c r="J232" i="31"/>
  <c r="I249" i="31"/>
  <c r="I261" i="31"/>
  <c r="J80" i="31"/>
  <c r="I112" i="31"/>
  <c r="I183" i="31"/>
  <c r="I207" i="31"/>
  <c r="J10" i="31"/>
  <c r="J76" i="31"/>
  <c r="I195" i="31"/>
  <c r="I165" i="31"/>
  <c r="I215" i="31"/>
  <c r="J263" i="31"/>
  <c r="I283" i="31"/>
  <c r="J20" i="31"/>
  <c r="J6" i="31"/>
  <c r="J48" i="31"/>
  <c r="J60" i="31"/>
  <c r="I95" i="31"/>
  <c r="I102" i="31"/>
  <c r="J119" i="31"/>
  <c r="J17" i="31"/>
  <c r="I83" i="31"/>
  <c r="I114" i="31"/>
  <c r="I147" i="31"/>
  <c r="I197" i="31"/>
  <c r="I247" i="31"/>
  <c r="I278" i="31"/>
  <c r="I31" i="31"/>
  <c r="J32" i="31"/>
  <c r="J44" i="31"/>
  <c r="J55" i="31"/>
  <c r="I127" i="31"/>
  <c r="I134" i="31"/>
  <c r="I155" i="31"/>
  <c r="J192" i="31"/>
  <c r="I205" i="31"/>
  <c r="J216" i="31"/>
  <c r="I235" i="31"/>
  <c r="J254" i="31"/>
  <c r="I5" i="31"/>
  <c r="J18" i="31"/>
  <c r="I27" i="31"/>
  <c r="J88" i="31"/>
  <c r="I91" i="31"/>
  <c r="I100" i="31"/>
  <c r="I123" i="31"/>
  <c r="I132" i="31"/>
  <c r="I143" i="31"/>
  <c r="I151" i="31"/>
  <c r="I159" i="31"/>
  <c r="J168" i="31"/>
  <c r="I171" i="31"/>
  <c r="I181" i="31"/>
  <c r="I191" i="31"/>
  <c r="J200" i="31"/>
  <c r="I203" i="31"/>
  <c r="I213" i="31"/>
  <c r="J223" i="31"/>
  <c r="J231" i="31"/>
  <c r="J239" i="31"/>
  <c r="I250" i="31"/>
  <c r="I255" i="31"/>
  <c r="I267" i="31"/>
  <c r="J22" i="31"/>
  <c r="J40" i="31"/>
  <c r="I43" i="31"/>
  <c r="J56" i="31"/>
  <c r="I59" i="31"/>
  <c r="J72" i="31"/>
  <c r="I75" i="31"/>
  <c r="J14" i="31"/>
  <c r="J21" i="31"/>
  <c r="J36" i="31"/>
  <c r="J52" i="31"/>
  <c r="J68" i="31"/>
  <c r="I71" i="31"/>
  <c r="J84" i="31"/>
  <c r="I87" i="31"/>
  <c r="I96" i="31"/>
  <c r="I98" i="31"/>
  <c r="J103" i="31"/>
  <c r="J108" i="31"/>
  <c r="I111" i="31"/>
  <c r="I118" i="31"/>
  <c r="I128" i="31"/>
  <c r="I130" i="31"/>
  <c r="J135" i="31"/>
  <c r="I141" i="31"/>
  <c r="I149" i="31"/>
  <c r="I157" i="31"/>
  <c r="I167" i="31"/>
  <c r="J176" i="31"/>
  <c r="I179" i="31"/>
  <c r="I189" i="31"/>
  <c r="I199" i="31"/>
  <c r="J208" i="31"/>
  <c r="I211" i="31"/>
  <c r="I221" i="31"/>
  <c r="I229" i="31"/>
  <c r="I237" i="31"/>
  <c r="J258" i="31"/>
  <c r="I262" i="31"/>
  <c r="I270" i="31"/>
  <c r="I275" i="31"/>
  <c r="I277" i="31"/>
  <c r="J279" i="31"/>
  <c r="I285" i="31"/>
  <c r="I265" i="31"/>
  <c r="I281" i="31"/>
  <c r="J290" i="31"/>
  <c r="J294" i="31"/>
  <c r="J298" i="31"/>
  <c r="J302" i="31"/>
  <c r="I99" i="31"/>
  <c r="I104" i="31"/>
  <c r="I106" i="31"/>
  <c r="I115" i="31"/>
  <c r="I120" i="31"/>
  <c r="I122" i="31"/>
  <c r="I131" i="31"/>
  <c r="I136" i="31"/>
  <c r="I138" i="31"/>
  <c r="I146" i="31"/>
  <c r="I154" i="31"/>
  <c r="I162" i="31"/>
  <c r="I170" i="31"/>
  <c r="I178" i="31"/>
  <c r="I186" i="31"/>
  <c r="I194" i="31"/>
  <c r="I202" i="31"/>
  <c r="I210" i="31"/>
  <c r="I218" i="31"/>
  <c r="I226" i="31"/>
  <c r="I234" i="31"/>
  <c r="I242" i="31"/>
  <c r="I246" i="31"/>
  <c r="I251" i="31"/>
  <c r="I253" i="31"/>
  <c r="I266" i="31"/>
  <c r="I271" i="31"/>
  <c r="I273" i="31"/>
  <c r="I282" i="31"/>
  <c r="I287" i="31"/>
  <c r="I289" i="31"/>
  <c r="I291" i="31"/>
  <c r="I293" i="31"/>
  <c r="I295" i="31"/>
  <c r="I297" i="31"/>
  <c r="I299" i="31"/>
  <c r="I301" i="31"/>
  <c r="I303" i="31"/>
  <c r="I305" i="31"/>
  <c r="I94" i="31"/>
  <c r="I110" i="31"/>
  <c r="I126" i="31"/>
  <c r="J144" i="31"/>
  <c r="J152" i="31"/>
  <c r="J7" i="31"/>
  <c r="J11" i="31"/>
  <c r="J15" i="31"/>
  <c r="J23" i="31"/>
  <c r="J24" i="31"/>
  <c r="J25" i="31"/>
  <c r="J29" i="31"/>
  <c r="J33" i="31"/>
  <c r="J37" i="31"/>
  <c r="J41" i="31"/>
  <c r="J45" i="31"/>
  <c r="J49" i="31"/>
  <c r="J53" i="31"/>
  <c r="J57" i="31"/>
  <c r="J61" i="31"/>
  <c r="J65" i="31"/>
  <c r="J69" i="31"/>
  <c r="J73" i="31"/>
  <c r="J77" i="31"/>
  <c r="J81" i="31"/>
  <c r="J85" i="31"/>
  <c r="J89" i="31"/>
  <c r="J93" i="31"/>
  <c r="J97" i="31"/>
  <c r="J101" i="31"/>
  <c r="J105" i="31"/>
  <c r="J109" i="31"/>
  <c r="J113" i="31"/>
  <c r="J117" i="31"/>
  <c r="J121" i="31"/>
  <c r="J125" i="31"/>
  <c r="J129" i="31"/>
  <c r="J133" i="31"/>
  <c r="J142" i="31"/>
  <c r="J150" i="31"/>
  <c r="J158" i="31"/>
  <c r="J166" i="31"/>
  <c r="J174" i="31"/>
  <c r="J182" i="31"/>
  <c r="J190" i="31"/>
  <c r="J198" i="31"/>
  <c r="J206" i="31"/>
  <c r="J214" i="31"/>
  <c r="J222" i="31"/>
  <c r="J230" i="31"/>
  <c r="J238" i="31"/>
  <c r="I245" i="31"/>
  <c r="I252" i="31"/>
  <c r="J252" i="31"/>
  <c r="I256" i="31"/>
  <c r="J256" i="31"/>
  <c r="I8" i="31"/>
  <c r="I12" i="31"/>
  <c r="I16" i="31"/>
  <c r="I26" i="31"/>
  <c r="I30" i="31"/>
  <c r="I34" i="31"/>
  <c r="I42" i="31"/>
  <c r="I46" i="31"/>
  <c r="I50" i="31"/>
  <c r="I54" i="31"/>
  <c r="I58" i="31"/>
  <c r="I62" i="31"/>
  <c r="I66" i="31"/>
  <c r="I70" i="31"/>
  <c r="I74" i="31"/>
  <c r="I78" i="31"/>
  <c r="I90" i="31"/>
  <c r="I244" i="31"/>
  <c r="J244" i="31"/>
  <c r="I260" i="31"/>
  <c r="J260" i="31"/>
  <c r="I38" i="31"/>
  <c r="I82" i="31"/>
  <c r="I86" i="31"/>
  <c r="I137" i="31"/>
  <c r="J140" i="31"/>
  <c r="I145" i="31"/>
  <c r="J148" i="31"/>
  <c r="I153" i="31"/>
  <c r="J156" i="31"/>
  <c r="I161" i="31"/>
  <c r="J164" i="31"/>
  <c r="I169" i="31"/>
  <c r="J172" i="31"/>
  <c r="I177" i="31"/>
  <c r="J180" i="31"/>
  <c r="I185" i="31"/>
  <c r="J188" i="31"/>
  <c r="I193" i="31"/>
  <c r="J196" i="31"/>
  <c r="I201" i="31"/>
  <c r="J204" i="31"/>
  <c r="I209" i="31"/>
  <c r="J212" i="31"/>
  <c r="I217" i="31"/>
  <c r="J220" i="31"/>
  <c r="I225" i="31"/>
  <c r="J228" i="31"/>
  <c r="I233" i="31"/>
  <c r="J236" i="31"/>
  <c r="I241" i="31"/>
  <c r="I248" i="31"/>
  <c r="J248" i="31"/>
  <c r="I257" i="31"/>
  <c r="J264" i="31"/>
  <c r="J268" i="31"/>
  <c r="J272" i="31"/>
  <c r="J276" i="31"/>
  <c r="J280" i="31"/>
  <c r="J284" i="31"/>
  <c r="J288" i="31"/>
  <c r="J292" i="31"/>
  <c r="J296" i="31"/>
  <c r="J300" i="31"/>
  <c r="J304" i="31"/>
  <c r="I155" i="27"/>
  <c r="J155" i="27" l="1"/>
  <c r="J129" i="27"/>
  <c r="I129" i="27" l="1"/>
  <c r="I292" i="27" l="1"/>
  <c r="I294" i="27"/>
  <c r="I295" i="27"/>
  <c r="J296" i="27"/>
  <c r="I297" i="27"/>
  <c r="I298" i="27"/>
  <c r="I299" i="27"/>
  <c r="J300" i="27"/>
  <c r="I301" i="27"/>
  <c r="I302" i="27"/>
  <c r="I303" i="27"/>
  <c r="J304" i="27"/>
  <c r="I305" i="27"/>
  <c r="J306" i="27"/>
  <c r="I307" i="27"/>
  <c r="J308" i="27"/>
  <c r="I308" i="27"/>
  <c r="I309" i="27"/>
  <c r="J310" i="27"/>
  <c r="I310" i="27" l="1"/>
  <c r="J298" i="27"/>
  <c r="J295" i="27"/>
  <c r="J302" i="27"/>
  <c r="I304" i="27"/>
  <c r="I296" i="27"/>
  <c r="J294" i="27"/>
  <c r="I300" i="27"/>
  <c r="J307" i="27"/>
  <c r="J303" i="27"/>
  <c r="J299" i="27"/>
  <c r="I306" i="27"/>
  <c r="J305" i="27"/>
  <c r="J301" i="27"/>
  <c r="J297" i="27"/>
  <c r="J292" i="27"/>
  <c r="J309" i="27"/>
  <c r="H287" i="28"/>
  <c r="J287" i="28" s="1"/>
  <c r="H286" i="28"/>
  <c r="J286" i="28" s="1"/>
  <c r="H285" i="28"/>
  <c r="J285" i="28" s="1"/>
  <c r="H284" i="28"/>
  <c r="J284" i="28" s="1"/>
  <c r="H283" i="28"/>
  <c r="J283" i="28" s="1"/>
  <c r="H282" i="28"/>
  <c r="J282" i="28" s="1"/>
  <c r="H281" i="28"/>
  <c r="J281" i="28" s="1"/>
  <c r="H280" i="28"/>
  <c r="J280" i="28" s="1"/>
  <c r="H279" i="28"/>
  <c r="J279" i="28" s="1"/>
  <c r="H278" i="28"/>
  <c r="J278" i="28" s="1"/>
  <c r="H277" i="28"/>
  <c r="J277" i="28" s="1"/>
  <c r="H276" i="28"/>
  <c r="J276" i="28" s="1"/>
  <c r="H275" i="28"/>
  <c r="J275" i="28" s="1"/>
  <c r="H274" i="28"/>
  <c r="J274" i="28" s="1"/>
  <c r="H273" i="28"/>
  <c r="J273" i="28" s="1"/>
  <c r="H272" i="28"/>
  <c r="J272" i="28" s="1"/>
  <c r="H271" i="28"/>
  <c r="J271" i="28" s="1"/>
  <c r="H270" i="28"/>
  <c r="J270" i="28" s="1"/>
  <c r="H269" i="28"/>
  <c r="J269" i="28" s="1"/>
  <c r="H268" i="28"/>
  <c r="J268" i="28" s="1"/>
  <c r="H267" i="28"/>
  <c r="J267" i="28" s="1"/>
  <c r="H266" i="28"/>
  <c r="J266" i="28" s="1"/>
  <c r="H265" i="28"/>
  <c r="J265" i="28" s="1"/>
  <c r="H264" i="28"/>
  <c r="J264" i="28" s="1"/>
  <c r="H263" i="28"/>
  <c r="J263" i="28" s="1"/>
  <c r="H262" i="28"/>
  <c r="J262" i="28" s="1"/>
  <c r="H261" i="28"/>
  <c r="J261" i="28" s="1"/>
  <c r="H260" i="28"/>
  <c r="J260" i="28" s="1"/>
  <c r="H259" i="28"/>
  <c r="J259" i="28" s="1"/>
  <c r="H258" i="28"/>
  <c r="J258" i="28" s="1"/>
  <c r="H257" i="28"/>
  <c r="J257" i="28" s="1"/>
  <c r="H256" i="28"/>
  <c r="J256" i="28" s="1"/>
  <c r="H255" i="28"/>
  <c r="J255" i="28" s="1"/>
  <c r="H254" i="28"/>
  <c r="J254" i="28" s="1"/>
  <c r="H253" i="28"/>
  <c r="J253" i="28" s="1"/>
  <c r="H252" i="28"/>
  <c r="J252" i="28" s="1"/>
  <c r="H251" i="28"/>
  <c r="J251" i="28" s="1"/>
  <c r="H250" i="28"/>
  <c r="J250" i="28" s="1"/>
  <c r="H249" i="28"/>
  <c r="J249" i="28" s="1"/>
  <c r="H248" i="28"/>
  <c r="J248" i="28" s="1"/>
  <c r="H247" i="28"/>
  <c r="J247" i="28" s="1"/>
  <c r="H246" i="28"/>
  <c r="J246" i="28" s="1"/>
  <c r="H245" i="28"/>
  <c r="J245" i="28" s="1"/>
  <c r="H244" i="28"/>
  <c r="J244" i="28" s="1"/>
  <c r="H243" i="28"/>
  <c r="J243" i="28" s="1"/>
  <c r="H242" i="28"/>
  <c r="J242" i="28" s="1"/>
  <c r="H241" i="28"/>
  <c r="J241" i="28" s="1"/>
  <c r="H240" i="28"/>
  <c r="J240" i="28" s="1"/>
  <c r="H239" i="28"/>
  <c r="J239" i="28" s="1"/>
  <c r="H238" i="28"/>
  <c r="J238" i="28" s="1"/>
  <c r="H237" i="28"/>
  <c r="J237" i="28" s="1"/>
  <c r="H236" i="28"/>
  <c r="J236" i="28" s="1"/>
  <c r="H235" i="28"/>
  <c r="J235" i="28" s="1"/>
  <c r="H234" i="28"/>
  <c r="J234" i="28" s="1"/>
  <c r="H233" i="28"/>
  <c r="J233" i="28" s="1"/>
  <c r="H232" i="28"/>
  <c r="J232" i="28" s="1"/>
  <c r="H231" i="28"/>
  <c r="I231" i="28" s="1"/>
  <c r="H230" i="28"/>
  <c r="J230" i="28" s="1"/>
  <c r="H229" i="28"/>
  <c r="I229" i="28" s="1"/>
  <c r="H228" i="28"/>
  <c r="J228" i="28" s="1"/>
  <c r="H227" i="28"/>
  <c r="I227" i="28" s="1"/>
  <c r="H226" i="28"/>
  <c r="J226" i="28" s="1"/>
  <c r="H225" i="28"/>
  <c r="I225" i="28" s="1"/>
  <c r="H224" i="28"/>
  <c r="J224" i="28" s="1"/>
  <c r="H223" i="28"/>
  <c r="I223" i="28" s="1"/>
  <c r="H222" i="28"/>
  <c r="J222" i="28" s="1"/>
  <c r="H221" i="28"/>
  <c r="I221" i="28" s="1"/>
  <c r="H220" i="28"/>
  <c r="J220" i="28" s="1"/>
  <c r="H219" i="28"/>
  <c r="I219" i="28" s="1"/>
  <c r="H218" i="28"/>
  <c r="J218" i="28" s="1"/>
  <c r="H217" i="28"/>
  <c r="I217" i="28" s="1"/>
  <c r="H216" i="28"/>
  <c r="J216" i="28" s="1"/>
  <c r="H215" i="28"/>
  <c r="I215" i="28" s="1"/>
  <c r="H214" i="28"/>
  <c r="J214" i="28" s="1"/>
  <c r="H213" i="28"/>
  <c r="I213" i="28" s="1"/>
  <c r="H212" i="28"/>
  <c r="J212" i="28" s="1"/>
  <c r="H211" i="28"/>
  <c r="I211" i="28" s="1"/>
  <c r="H210" i="28"/>
  <c r="J210" i="28" s="1"/>
  <c r="H209" i="28"/>
  <c r="I209" i="28" s="1"/>
  <c r="H208" i="28"/>
  <c r="J208" i="28" s="1"/>
  <c r="H207" i="28"/>
  <c r="I207" i="28" s="1"/>
  <c r="H206" i="28"/>
  <c r="J206" i="28" s="1"/>
  <c r="H205" i="28"/>
  <c r="I205" i="28" s="1"/>
  <c r="H204" i="28"/>
  <c r="J204" i="28" s="1"/>
  <c r="H203" i="28"/>
  <c r="I203" i="28" s="1"/>
  <c r="H202" i="28"/>
  <c r="J202" i="28" s="1"/>
  <c r="H201" i="28"/>
  <c r="I201" i="28" s="1"/>
  <c r="H200" i="28"/>
  <c r="J200" i="28" s="1"/>
  <c r="H199" i="28"/>
  <c r="I199" i="28" s="1"/>
  <c r="H198" i="28"/>
  <c r="J198" i="28" s="1"/>
  <c r="H197" i="28"/>
  <c r="I197" i="28" s="1"/>
  <c r="H196" i="28"/>
  <c r="J196" i="28" s="1"/>
  <c r="H195" i="28"/>
  <c r="I195" i="28" s="1"/>
  <c r="H194" i="28"/>
  <c r="J194" i="28" s="1"/>
  <c r="H193" i="28"/>
  <c r="I193" i="28" s="1"/>
  <c r="H192" i="28"/>
  <c r="J192" i="28" s="1"/>
  <c r="H191" i="28"/>
  <c r="I191" i="28" s="1"/>
  <c r="H190" i="28"/>
  <c r="J190" i="28" s="1"/>
  <c r="H189" i="28"/>
  <c r="I189" i="28" s="1"/>
  <c r="H188" i="28"/>
  <c r="J188" i="28" s="1"/>
  <c r="H187" i="28"/>
  <c r="I187" i="28" s="1"/>
  <c r="H186" i="28"/>
  <c r="J186" i="28" s="1"/>
  <c r="H185" i="28"/>
  <c r="I185" i="28" s="1"/>
  <c r="H184" i="28"/>
  <c r="J184" i="28" s="1"/>
  <c r="H183" i="28"/>
  <c r="I183" i="28" s="1"/>
  <c r="H182" i="28"/>
  <c r="J182" i="28" s="1"/>
  <c r="H181" i="28"/>
  <c r="I181" i="28" s="1"/>
  <c r="H180" i="28"/>
  <c r="J180" i="28" s="1"/>
  <c r="H179" i="28"/>
  <c r="I179" i="28" s="1"/>
  <c r="H178" i="28"/>
  <c r="J178" i="28" s="1"/>
  <c r="H177" i="28"/>
  <c r="I177" i="28" s="1"/>
  <c r="H176" i="28"/>
  <c r="J176" i="28" s="1"/>
  <c r="H175" i="28"/>
  <c r="I175" i="28" s="1"/>
  <c r="H174" i="28"/>
  <c r="J174" i="28" s="1"/>
  <c r="H173" i="28"/>
  <c r="I173" i="28" s="1"/>
  <c r="H172" i="28"/>
  <c r="J172" i="28" s="1"/>
  <c r="H171" i="28"/>
  <c r="I171" i="28" s="1"/>
  <c r="H170" i="28"/>
  <c r="J170" i="28" s="1"/>
  <c r="H169" i="28"/>
  <c r="I169" i="28" s="1"/>
  <c r="H168" i="28"/>
  <c r="J168" i="28" s="1"/>
  <c r="H167" i="28"/>
  <c r="I167" i="28" s="1"/>
  <c r="H166" i="28"/>
  <c r="J166" i="28" s="1"/>
  <c r="H165" i="28"/>
  <c r="I165" i="28" s="1"/>
  <c r="H164" i="28"/>
  <c r="J164" i="28" s="1"/>
  <c r="H163" i="28"/>
  <c r="I163" i="28" s="1"/>
  <c r="H162" i="28"/>
  <c r="J162" i="28" s="1"/>
  <c r="H161" i="28"/>
  <c r="I161" i="28" s="1"/>
  <c r="H160" i="28"/>
  <c r="J160" i="28" s="1"/>
  <c r="H159" i="28"/>
  <c r="I159" i="28" s="1"/>
  <c r="H158" i="28"/>
  <c r="J158" i="28" s="1"/>
  <c r="H157" i="28"/>
  <c r="I157" i="28" s="1"/>
  <c r="H156" i="28"/>
  <c r="J156" i="28" s="1"/>
  <c r="H155" i="28"/>
  <c r="I155" i="28" s="1"/>
  <c r="H154" i="28"/>
  <c r="J154" i="28" s="1"/>
  <c r="H153" i="28"/>
  <c r="I153" i="28" s="1"/>
  <c r="H152" i="28"/>
  <c r="J152" i="28" s="1"/>
  <c r="H151" i="28"/>
  <c r="I151" i="28" s="1"/>
  <c r="H150" i="28"/>
  <c r="J150" i="28" s="1"/>
  <c r="H149" i="28"/>
  <c r="I149" i="28" s="1"/>
  <c r="H148" i="28"/>
  <c r="J148" i="28" s="1"/>
  <c r="H147" i="28"/>
  <c r="I147" i="28" s="1"/>
  <c r="H146" i="28"/>
  <c r="J146" i="28" s="1"/>
  <c r="H145" i="28"/>
  <c r="I145" i="28" s="1"/>
  <c r="H144" i="28"/>
  <c r="J144" i="28" s="1"/>
  <c r="H143" i="28"/>
  <c r="I143" i="28" s="1"/>
  <c r="H142" i="28"/>
  <c r="J142" i="28" s="1"/>
  <c r="H141" i="28"/>
  <c r="I141" i="28" s="1"/>
  <c r="H140" i="28"/>
  <c r="J140" i="28" s="1"/>
  <c r="H139" i="28"/>
  <c r="I139" i="28" s="1"/>
  <c r="H138" i="28"/>
  <c r="J138" i="28" s="1"/>
  <c r="H137" i="28"/>
  <c r="I137" i="28" s="1"/>
  <c r="H136" i="28"/>
  <c r="J136" i="28" s="1"/>
  <c r="H135" i="28"/>
  <c r="I135" i="28" s="1"/>
  <c r="H134" i="28"/>
  <c r="J134" i="28" s="1"/>
  <c r="H133" i="28"/>
  <c r="I133" i="28" s="1"/>
  <c r="H132" i="28"/>
  <c r="J132" i="28" s="1"/>
  <c r="H131" i="28"/>
  <c r="I131" i="28" s="1"/>
  <c r="H130" i="28"/>
  <c r="J130" i="28" s="1"/>
  <c r="H129" i="28"/>
  <c r="I129" i="28" s="1"/>
  <c r="H128" i="28"/>
  <c r="J128" i="28" s="1"/>
  <c r="H127" i="28"/>
  <c r="I127" i="28" s="1"/>
  <c r="H126" i="28"/>
  <c r="J126" i="28" s="1"/>
  <c r="H125" i="28"/>
  <c r="I125" i="28" s="1"/>
  <c r="H124" i="28"/>
  <c r="J124" i="28" s="1"/>
  <c r="H123" i="28"/>
  <c r="I123" i="28" s="1"/>
  <c r="H122" i="28"/>
  <c r="J122" i="28" s="1"/>
  <c r="H121" i="28"/>
  <c r="I121" i="28" s="1"/>
  <c r="H120" i="28"/>
  <c r="J120" i="28" s="1"/>
  <c r="H119" i="28"/>
  <c r="I119" i="28" s="1"/>
  <c r="H118" i="28"/>
  <c r="J118" i="28" s="1"/>
  <c r="H117" i="28"/>
  <c r="I117" i="28" s="1"/>
  <c r="H116" i="28"/>
  <c r="J116" i="28" s="1"/>
  <c r="H115" i="28"/>
  <c r="I115" i="28" s="1"/>
  <c r="H114" i="28"/>
  <c r="J114" i="28" s="1"/>
  <c r="H113" i="28"/>
  <c r="I113" i="28" s="1"/>
  <c r="H112" i="28"/>
  <c r="J112" i="28" s="1"/>
  <c r="H111" i="28"/>
  <c r="I111" i="28" s="1"/>
  <c r="H110" i="28"/>
  <c r="J110" i="28" s="1"/>
  <c r="H109" i="28"/>
  <c r="I109" i="28" s="1"/>
  <c r="H108" i="28"/>
  <c r="J108" i="28" s="1"/>
  <c r="H107" i="28"/>
  <c r="I107" i="28" s="1"/>
  <c r="H106" i="28"/>
  <c r="J106" i="28" s="1"/>
  <c r="H105" i="28"/>
  <c r="I105" i="28" s="1"/>
  <c r="H104" i="28"/>
  <c r="J104" i="28" s="1"/>
  <c r="H103" i="28"/>
  <c r="I103" i="28" s="1"/>
  <c r="H102" i="28"/>
  <c r="J102" i="28" s="1"/>
  <c r="H101" i="28"/>
  <c r="I101" i="28" s="1"/>
  <c r="H100" i="28"/>
  <c r="J100" i="28" s="1"/>
  <c r="H99" i="28"/>
  <c r="I99" i="28" s="1"/>
  <c r="H98" i="28"/>
  <c r="J98" i="28" s="1"/>
  <c r="H97" i="28"/>
  <c r="I97" i="28" s="1"/>
  <c r="H96" i="28"/>
  <c r="J96" i="28" s="1"/>
  <c r="H95" i="28"/>
  <c r="I95" i="28" s="1"/>
  <c r="H94" i="28"/>
  <c r="J94" i="28" s="1"/>
  <c r="H93" i="28"/>
  <c r="I93" i="28" s="1"/>
  <c r="H92" i="28"/>
  <c r="J92" i="28" s="1"/>
  <c r="H91" i="28"/>
  <c r="I91" i="28" s="1"/>
  <c r="H90" i="28"/>
  <c r="J90" i="28" s="1"/>
  <c r="H89" i="28"/>
  <c r="I89" i="28" s="1"/>
  <c r="H88" i="28"/>
  <c r="J88" i="28" s="1"/>
  <c r="H87" i="28"/>
  <c r="I87" i="28" s="1"/>
  <c r="H86" i="28"/>
  <c r="J86" i="28" s="1"/>
  <c r="H85" i="28"/>
  <c r="I85" i="28" s="1"/>
  <c r="H84" i="28"/>
  <c r="J84" i="28" s="1"/>
  <c r="H83" i="28"/>
  <c r="I83" i="28" s="1"/>
  <c r="H82" i="28"/>
  <c r="J82" i="28" s="1"/>
  <c r="H81" i="28"/>
  <c r="I81" i="28" s="1"/>
  <c r="H80" i="28"/>
  <c r="J80" i="28" s="1"/>
  <c r="H79" i="28"/>
  <c r="I79" i="28" s="1"/>
  <c r="H78" i="28"/>
  <c r="J78" i="28" s="1"/>
  <c r="H77" i="28"/>
  <c r="I77" i="28" s="1"/>
  <c r="H76" i="28"/>
  <c r="J76" i="28" s="1"/>
  <c r="H75" i="28"/>
  <c r="I75" i="28" s="1"/>
  <c r="H74" i="28"/>
  <c r="J74" i="28" s="1"/>
  <c r="H73" i="28"/>
  <c r="I73" i="28" s="1"/>
  <c r="H72" i="28"/>
  <c r="J72" i="28" s="1"/>
  <c r="H71" i="28"/>
  <c r="I71" i="28" s="1"/>
  <c r="H70" i="28"/>
  <c r="J70" i="28" s="1"/>
  <c r="H69" i="28"/>
  <c r="I69" i="28" s="1"/>
  <c r="H68" i="28"/>
  <c r="J68" i="28" s="1"/>
  <c r="H67" i="28"/>
  <c r="I67" i="28" s="1"/>
  <c r="H66" i="28"/>
  <c r="J66" i="28" s="1"/>
  <c r="H65" i="28"/>
  <c r="I65" i="28" s="1"/>
  <c r="H64" i="28"/>
  <c r="J64" i="28" s="1"/>
  <c r="H63" i="28"/>
  <c r="I63" i="28" s="1"/>
  <c r="H62" i="28"/>
  <c r="J62" i="28" s="1"/>
  <c r="H61" i="28"/>
  <c r="I61" i="28" s="1"/>
  <c r="H60" i="28"/>
  <c r="J60" i="28" s="1"/>
  <c r="H59" i="28"/>
  <c r="I59" i="28" s="1"/>
  <c r="H58" i="28"/>
  <c r="J58" i="28" s="1"/>
  <c r="H57" i="28"/>
  <c r="I57" i="28" s="1"/>
  <c r="H56" i="28"/>
  <c r="J56" i="28" s="1"/>
  <c r="H55" i="28"/>
  <c r="I55" i="28" s="1"/>
  <c r="H54" i="28"/>
  <c r="J54" i="28" s="1"/>
  <c r="H53" i="28"/>
  <c r="I53" i="28" s="1"/>
  <c r="H52" i="28"/>
  <c r="J52" i="28" s="1"/>
  <c r="H51" i="28"/>
  <c r="I51" i="28" s="1"/>
  <c r="H50" i="28"/>
  <c r="J50" i="28" s="1"/>
  <c r="H49" i="28"/>
  <c r="I49" i="28" s="1"/>
  <c r="H48" i="28"/>
  <c r="J48" i="28" s="1"/>
  <c r="H47" i="28"/>
  <c r="I47" i="28" s="1"/>
  <c r="H46" i="28"/>
  <c r="J46" i="28" s="1"/>
  <c r="H45" i="28"/>
  <c r="I45" i="28" s="1"/>
  <c r="H44" i="28"/>
  <c r="J44" i="28" s="1"/>
  <c r="H43" i="28"/>
  <c r="I43" i="28" s="1"/>
  <c r="T42" i="28"/>
  <c r="S42" i="28"/>
  <c r="H42" i="28"/>
  <c r="J42" i="28" s="1"/>
  <c r="T41" i="28"/>
  <c r="S41" i="28"/>
  <c r="H41" i="28"/>
  <c r="I41" i="28" s="1"/>
  <c r="T40" i="28"/>
  <c r="S40" i="28"/>
  <c r="H40" i="28"/>
  <c r="J40" i="28" s="1"/>
  <c r="T39" i="28"/>
  <c r="S39" i="28"/>
  <c r="H39" i="28"/>
  <c r="I39" i="28" s="1"/>
  <c r="T38" i="28"/>
  <c r="S38" i="28"/>
  <c r="H38" i="28"/>
  <c r="J38" i="28" s="1"/>
  <c r="T37" i="28"/>
  <c r="S37" i="28"/>
  <c r="H37" i="28"/>
  <c r="I37" i="28" s="1"/>
  <c r="T36" i="28"/>
  <c r="S36" i="28"/>
  <c r="H36" i="28"/>
  <c r="J36" i="28" s="1"/>
  <c r="T35" i="28"/>
  <c r="S35" i="28"/>
  <c r="H35" i="28"/>
  <c r="I35" i="28" s="1"/>
  <c r="T34" i="28"/>
  <c r="S34" i="28"/>
  <c r="H34" i="28"/>
  <c r="J34" i="28" s="1"/>
  <c r="T33" i="28"/>
  <c r="S33" i="28"/>
  <c r="H33" i="28"/>
  <c r="I33" i="28" s="1"/>
  <c r="T32" i="28"/>
  <c r="S32" i="28"/>
  <c r="H32" i="28"/>
  <c r="J32" i="28" s="1"/>
  <c r="T31" i="28"/>
  <c r="S31" i="28"/>
  <c r="H31" i="28"/>
  <c r="I31" i="28" s="1"/>
  <c r="T30" i="28"/>
  <c r="S30" i="28"/>
  <c r="H30" i="28"/>
  <c r="J30" i="28" s="1"/>
  <c r="T29" i="28"/>
  <c r="S29" i="28"/>
  <c r="H29" i="28"/>
  <c r="I29" i="28" s="1"/>
  <c r="T28" i="28"/>
  <c r="S28" i="28"/>
  <c r="H28" i="28"/>
  <c r="J28" i="28" s="1"/>
  <c r="T27" i="28"/>
  <c r="S27" i="28"/>
  <c r="H27" i="28"/>
  <c r="I27" i="28" s="1"/>
  <c r="T26" i="28"/>
  <c r="S26" i="28"/>
  <c r="H26" i="28"/>
  <c r="J26" i="28" s="1"/>
  <c r="T25" i="28"/>
  <c r="S25" i="28"/>
  <c r="H25" i="28"/>
  <c r="I25" i="28" s="1"/>
  <c r="B25" i="28"/>
  <c r="T24" i="28"/>
  <c r="S24" i="28"/>
  <c r="H24" i="28"/>
  <c r="I24" i="28" s="1"/>
  <c r="B24" i="28"/>
  <c r="T23" i="28"/>
  <c r="S23" i="28"/>
  <c r="H23" i="28"/>
  <c r="I23" i="28" s="1"/>
  <c r="T22" i="28"/>
  <c r="S22" i="28"/>
  <c r="H22" i="28"/>
  <c r="J22" i="28" s="1"/>
  <c r="B22" i="28"/>
  <c r="T21" i="28"/>
  <c r="S21" i="28"/>
  <c r="H21" i="28"/>
  <c r="J21" i="28" s="1"/>
  <c r="B21" i="28"/>
  <c r="T20" i="28"/>
  <c r="S20" i="28"/>
  <c r="H20" i="28"/>
  <c r="J20" i="28" s="1"/>
  <c r="B20" i="28"/>
  <c r="T19" i="28"/>
  <c r="S19" i="28"/>
  <c r="H19" i="28"/>
  <c r="J19" i="28" s="1"/>
  <c r="B19" i="28"/>
  <c r="T18" i="28"/>
  <c r="S18" i="28"/>
  <c r="H18" i="28"/>
  <c r="J18" i="28" s="1"/>
  <c r="T17" i="28"/>
  <c r="S17" i="28"/>
  <c r="H17" i="28"/>
  <c r="I17" i="28" s="1"/>
  <c r="T16" i="28"/>
  <c r="S16" i="28"/>
  <c r="H16" i="28"/>
  <c r="J16" i="28" s="1"/>
  <c r="T15" i="28"/>
  <c r="S15" i="28"/>
  <c r="H15" i="28"/>
  <c r="I15" i="28" s="1"/>
  <c r="T14" i="28"/>
  <c r="S14" i="28"/>
  <c r="H14" i="28"/>
  <c r="J14" i="28" s="1"/>
  <c r="T13" i="28"/>
  <c r="S13" i="28"/>
  <c r="H13" i="28"/>
  <c r="I13" i="28" s="1"/>
  <c r="T12" i="28"/>
  <c r="S12" i="28"/>
  <c r="H12" i="28"/>
  <c r="J12" i="28" s="1"/>
  <c r="T11" i="28"/>
  <c r="S11" i="28"/>
  <c r="H11" i="28"/>
  <c r="I11" i="28" s="1"/>
  <c r="T10" i="28"/>
  <c r="S10" i="28"/>
  <c r="H10" i="28"/>
  <c r="J10" i="28" s="1"/>
  <c r="T9" i="28"/>
  <c r="S9" i="28"/>
  <c r="H9" i="28"/>
  <c r="I9" i="28" s="1"/>
  <c r="T8" i="28"/>
  <c r="S8" i="28"/>
  <c r="H8" i="28"/>
  <c r="J8" i="28" s="1"/>
  <c r="T7" i="28"/>
  <c r="S7" i="28"/>
  <c r="H7" i="28"/>
  <c r="I7" i="28" s="1"/>
  <c r="T6" i="28"/>
  <c r="S6" i="28"/>
  <c r="H6" i="28"/>
  <c r="J6" i="28" s="1"/>
  <c r="T5" i="28"/>
  <c r="S5" i="28"/>
  <c r="H5" i="28"/>
  <c r="I5" i="28" s="1"/>
  <c r="I156" i="28" l="1"/>
  <c r="I188" i="28"/>
  <c r="I22" i="28"/>
  <c r="I220" i="28"/>
  <c r="I252" i="28"/>
  <c r="I60" i="28"/>
  <c r="I6" i="28"/>
  <c r="I92" i="28"/>
  <c r="I124" i="28"/>
  <c r="I18" i="28"/>
  <c r="I48" i="28"/>
  <c r="I64" i="28"/>
  <c r="I96" i="28"/>
  <c r="I128" i="28"/>
  <c r="I160" i="28"/>
  <c r="I192" i="28"/>
  <c r="I224" i="28"/>
  <c r="I256" i="28"/>
  <c r="I76" i="28"/>
  <c r="I140" i="28"/>
  <c r="I204" i="28"/>
  <c r="I268" i="28"/>
  <c r="I40" i="28"/>
  <c r="I112" i="28"/>
  <c r="I176" i="28"/>
  <c r="I240" i="28"/>
  <c r="I284" i="28"/>
  <c r="I10" i="28"/>
  <c r="I36" i="28"/>
  <c r="I44" i="28"/>
  <c r="I108" i="28"/>
  <c r="I172" i="28"/>
  <c r="I236" i="28"/>
  <c r="I80" i="28"/>
  <c r="I144" i="28"/>
  <c r="I208" i="28"/>
  <c r="I272" i="28"/>
  <c r="I20" i="28"/>
  <c r="I14" i="28"/>
  <c r="I28" i="28"/>
  <c r="I52" i="28"/>
  <c r="I68" i="28"/>
  <c r="I84" i="28"/>
  <c r="I100" i="28"/>
  <c r="I116" i="28"/>
  <c r="I132" i="28"/>
  <c r="I148" i="28"/>
  <c r="I164" i="28"/>
  <c r="I180" i="28"/>
  <c r="I196" i="28"/>
  <c r="I212" i="28"/>
  <c r="I228" i="28"/>
  <c r="I244" i="28"/>
  <c r="I260" i="28"/>
  <c r="I276" i="28"/>
  <c r="I32" i="28"/>
  <c r="I56" i="28"/>
  <c r="I72" i="28"/>
  <c r="I88" i="28"/>
  <c r="I104" i="28"/>
  <c r="I120" i="28"/>
  <c r="I136" i="28"/>
  <c r="I152" i="28"/>
  <c r="I168" i="28"/>
  <c r="I184" i="28"/>
  <c r="I200" i="28"/>
  <c r="I216" i="28"/>
  <c r="I232" i="28"/>
  <c r="I248" i="28"/>
  <c r="I264" i="28"/>
  <c r="I280" i="28"/>
  <c r="I12" i="28"/>
  <c r="I21" i="28"/>
  <c r="I26" i="28"/>
  <c r="I34" i="28"/>
  <c r="I42" i="28"/>
  <c r="I46" i="28"/>
  <c r="I54" i="28"/>
  <c r="I62" i="28"/>
  <c r="I70" i="28"/>
  <c r="I78" i="28"/>
  <c r="I86" i="28"/>
  <c r="I94" i="28"/>
  <c r="I102" i="28"/>
  <c r="I110" i="28"/>
  <c r="I118" i="28"/>
  <c r="I126" i="28"/>
  <c r="I134" i="28"/>
  <c r="I142" i="28"/>
  <c r="I150" i="28"/>
  <c r="I158" i="28"/>
  <c r="I166" i="28"/>
  <c r="I174" i="28"/>
  <c r="I182" i="28"/>
  <c r="I190" i="28"/>
  <c r="I198" i="28"/>
  <c r="I206" i="28"/>
  <c r="I214" i="28"/>
  <c r="I222" i="28"/>
  <c r="I230" i="28"/>
  <c r="I238" i="28"/>
  <c r="I246" i="28"/>
  <c r="I254" i="28"/>
  <c r="I262" i="28"/>
  <c r="I270" i="28"/>
  <c r="I278" i="28"/>
  <c r="I286" i="28"/>
  <c r="I8" i="28"/>
  <c r="I16" i="28"/>
  <c r="I19" i="28"/>
  <c r="I30" i="28"/>
  <c r="I38" i="28"/>
  <c r="I50" i="28"/>
  <c r="I58" i="28"/>
  <c r="I66" i="28"/>
  <c r="I74" i="28"/>
  <c r="I82" i="28"/>
  <c r="I90" i="28"/>
  <c r="I98" i="28"/>
  <c r="I106" i="28"/>
  <c r="I114" i="28"/>
  <c r="I122" i="28"/>
  <c r="I130" i="28"/>
  <c r="I138" i="28"/>
  <c r="I146" i="28"/>
  <c r="I154" i="28"/>
  <c r="I162" i="28"/>
  <c r="I170" i="28"/>
  <c r="I178" i="28"/>
  <c r="I186" i="28"/>
  <c r="I194" i="28"/>
  <c r="I202" i="28"/>
  <c r="I210" i="28"/>
  <c r="I218" i="28"/>
  <c r="I226" i="28"/>
  <c r="I234" i="28"/>
  <c r="I242" i="28"/>
  <c r="I250" i="28"/>
  <c r="I258" i="28"/>
  <c r="I266" i="28"/>
  <c r="I274" i="28"/>
  <c r="I282" i="28"/>
  <c r="J5" i="28"/>
  <c r="J7" i="28"/>
  <c r="J11" i="28"/>
  <c r="J13" i="28"/>
  <c r="J15" i="28"/>
  <c r="J29" i="28"/>
  <c r="J33" i="28"/>
  <c r="J43" i="28"/>
  <c r="J45" i="28"/>
  <c r="J47" i="28"/>
  <c r="J49" i="28"/>
  <c r="J51" i="28"/>
  <c r="J53" i="28"/>
  <c r="J55" i="28"/>
  <c r="J57" i="28"/>
  <c r="J59" i="28"/>
  <c r="J61" i="28"/>
  <c r="J63" i="28"/>
  <c r="J65" i="28"/>
  <c r="J67" i="28"/>
  <c r="J69" i="28"/>
  <c r="J71" i="28"/>
  <c r="J73" i="28"/>
  <c r="J75" i="28"/>
  <c r="J77" i="28"/>
  <c r="J79" i="28"/>
  <c r="J81" i="28"/>
  <c r="J83" i="28"/>
  <c r="J85" i="28"/>
  <c r="J87" i="28"/>
  <c r="J89" i="28"/>
  <c r="J91" i="28"/>
  <c r="J93" i="28"/>
  <c r="J95" i="28"/>
  <c r="J97" i="28"/>
  <c r="J99" i="28"/>
  <c r="J101" i="28"/>
  <c r="J103" i="28"/>
  <c r="J105" i="28"/>
  <c r="J107" i="28"/>
  <c r="J109" i="28"/>
  <c r="J111" i="28"/>
  <c r="J113" i="28"/>
  <c r="J115" i="28"/>
  <c r="J117" i="28"/>
  <c r="J119" i="28"/>
  <c r="J121" i="28"/>
  <c r="J123" i="28"/>
  <c r="J125" i="28"/>
  <c r="J127" i="28"/>
  <c r="J129" i="28"/>
  <c r="J131" i="28"/>
  <c r="J9" i="28"/>
  <c r="J17" i="28"/>
  <c r="J23" i="28"/>
  <c r="J24" i="28"/>
  <c r="J25" i="28"/>
  <c r="J27" i="28"/>
  <c r="J31" i="28"/>
  <c r="J35" i="28"/>
  <c r="J37" i="28"/>
  <c r="J39" i="28"/>
  <c r="J41" i="28"/>
  <c r="J133" i="28"/>
  <c r="J135" i="28"/>
  <c r="J137" i="28"/>
  <c r="J139" i="28"/>
  <c r="J141" i="28"/>
  <c r="J143" i="28"/>
  <c r="J145" i="28"/>
  <c r="J147" i="28"/>
  <c r="J149" i="28"/>
  <c r="J151" i="28"/>
  <c r="J153" i="28"/>
  <c r="J155" i="28"/>
  <c r="J157" i="28"/>
  <c r="J159" i="28"/>
  <c r="J161" i="28"/>
  <c r="J163" i="28"/>
  <c r="J165" i="28"/>
  <c r="J167" i="28"/>
  <c r="J169" i="28"/>
  <c r="J171" i="28"/>
  <c r="J173" i="28"/>
  <c r="J175" i="28"/>
  <c r="J177" i="28"/>
  <c r="J179" i="28"/>
  <c r="J181" i="28"/>
  <c r="J183" i="28"/>
  <c r="J185" i="28"/>
  <c r="J187" i="28"/>
  <c r="J189" i="28"/>
  <c r="J191" i="28"/>
  <c r="J193" i="28"/>
  <c r="J195" i="28"/>
  <c r="J197" i="28"/>
  <c r="J199" i="28"/>
  <c r="J201" i="28"/>
  <c r="J203" i="28"/>
  <c r="J205" i="28"/>
  <c r="J207" i="28"/>
  <c r="J209" i="28"/>
  <c r="J211" i="28"/>
  <c r="J213" i="28"/>
  <c r="J215" i="28"/>
  <c r="J217" i="28"/>
  <c r="J219" i="28"/>
  <c r="J221" i="28"/>
  <c r="J223" i="28"/>
  <c r="J225" i="28"/>
  <c r="J227" i="28"/>
  <c r="J229" i="28"/>
  <c r="J231" i="28"/>
  <c r="I233" i="28"/>
  <c r="I235" i="28"/>
  <c r="I237" i="28"/>
  <c r="I239" i="28"/>
  <c r="I241" i="28"/>
  <c r="I243" i="28"/>
  <c r="I245" i="28"/>
  <c r="I247" i="28"/>
  <c r="I249" i="28"/>
  <c r="I251" i="28"/>
  <c r="I253" i="28"/>
  <c r="I255" i="28"/>
  <c r="I257" i="28"/>
  <c r="I259" i="28"/>
  <c r="I261" i="28"/>
  <c r="I263" i="28"/>
  <c r="I265" i="28"/>
  <c r="I267" i="28"/>
  <c r="I269" i="28"/>
  <c r="I271" i="28"/>
  <c r="I273" i="28"/>
  <c r="I275" i="28"/>
  <c r="I277" i="28"/>
  <c r="I279" i="28"/>
  <c r="I281" i="28"/>
  <c r="I283" i="28"/>
  <c r="I285" i="28"/>
  <c r="I287" i="28"/>
  <c r="I110" i="27"/>
  <c r="J111" i="27"/>
  <c r="I112" i="27"/>
  <c r="J113" i="27"/>
  <c r="J114" i="27"/>
  <c r="J115" i="27"/>
  <c r="I116" i="27"/>
  <c r="J117" i="27"/>
  <c r="I118" i="27"/>
  <c r="J119" i="27"/>
  <c r="I120" i="27"/>
  <c r="J121" i="27"/>
  <c r="I122" i="27"/>
  <c r="J123" i="27"/>
  <c r="J124" i="27"/>
  <c r="J125" i="27"/>
  <c r="I126" i="27"/>
  <c r="J127" i="27"/>
  <c r="I128" i="27"/>
  <c r="I130" i="27"/>
  <c r="J131" i="27"/>
  <c r="I132" i="27"/>
  <c r="J133" i="27"/>
  <c r="I134" i="27"/>
  <c r="J135" i="27"/>
  <c r="I136" i="27"/>
  <c r="J137" i="27"/>
  <c r="I138" i="27"/>
  <c r="I139" i="27"/>
  <c r="J140" i="27"/>
  <c r="J141" i="27"/>
  <c r="I142" i="27"/>
  <c r="J143" i="27"/>
  <c r="I144" i="27"/>
  <c r="J145" i="27"/>
  <c r="I146" i="27"/>
  <c r="J147" i="27"/>
  <c r="J148" i="27"/>
  <c r="J149" i="27"/>
  <c r="I150" i="27"/>
  <c r="J151" i="27"/>
  <c r="I152" i="27"/>
  <c r="J153" i="27"/>
  <c r="I154" i="27"/>
  <c r="J156" i="27"/>
  <c r="J157" i="27"/>
  <c r="I158" i="27"/>
  <c r="J159" i="27"/>
  <c r="I160" i="27"/>
  <c r="J161" i="27"/>
  <c r="I162" i="27"/>
  <c r="J163" i="27"/>
  <c r="J164" i="27"/>
  <c r="I165" i="27"/>
  <c r="J166" i="27"/>
  <c r="I167" i="27"/>
  <c r="I168" i="27"/>
  <c r="I169" i="27"/>
  <c r="J170" i="27"/>
  <c r="I171" i="27"/>
  <c r="J172" i="27"/>
  <c r="J173" i="27"/>
  <c r="J174" i="27"/>
  <c r="I175" i="27"/>
  <c r="J176" i="27"/>
  <c r="I177" i="27"/>
  <c r="J178" i="27"/>
  <c r="I179" i="27"/>
  <c r="J180" i="27"/>
  <c r="J181" i="27"/>
  <c r="J182" i="27"/>
  <c r="I183" i="27"/>
  <c r="J184" i="27"/>
  <c r="I185" i="27"/>
  <c r="J186" i="27"/>
  <c r="J187" i="27"/>
  <c r="J188" i="27"/>
  <c r="I189" i="27"/>
  <c r="J195" i="27"/>
  <c r="I196" i="27"/>
  <c r="J197" i="27"/>
  <c r="I198" i="27"/>
  <c r="J199" i="27"/>
  <c r="J200" i="27"/>
  <c r="J201" i="27"/>
  <c r="J202" i="27"/>
  <c r="J203" i="27"/>
  <c r="I204" i="27"/>
  <c r="I205" i="27"/>
  <c r="I206" i="27"/>
  <c r="I207" i="27"/>
  <c r="J208" i="27"/>
  <c r="J209" i="27"/>
  <c r="I210" i="27"/>
  <c r="J211" i="27"/>
  <c r="I212" i="27"/>
  <c r="J213" i="27"/>
  <c r="I214" i="27"/>
  <c r="J215" i="27"/>
  <c r="J216" i="27"/>
  <c r="J217" i="27"/>
  <c r="J218" i="27"/>
  <c r="J219" i="27"/>
  <c r="I220" i="27"/>
  <c r="I221" i="27"/>
  <c r="I222" i="27"/>
  <c r="J223" i="27"/>
  <c r="I224" i="27"/>
  <c r="J225" i="27"/>
  <c r="I226" i="27"/>
  <c r="J227" i="27"/>
  <c r="I228" i="27"/>
  <c r="J229" i="27"/>
  <c r="I230" i="27"/>
  <c r="J231" i="27"/>
  <c r="J232" i="27"/>
  <c r="J233" i="27"/>
  <c r="J234" i="27"/>
  <c r="J235" i="27"/>
  <c r="I236" i="27"/>
  <c r="J237" i="27"/>
  <c r="I238" i="27"/>
  <c r="J239" i="27"/>
  <c r="J240" i="27"/>
  <c r="J241" i="27"/>
  <c r="J242" i="27"/>
  <c r="J243" i="27"/>
  <c r="I244" i="27"/>
  <c r="I245" i="27"/>
  <c r="I246" i="27"/>
  <c r="J247" i="27"/>
  <c r="J248" i="27"/>
  <c r="J249" i="27"/>
  <c r="I250" i="27"/>
  <c r="J251" i="27"/>
  <c r="I252" i="27"/>
  <c r="I253" i="27"/>
  <c r="I254" i="27"/>
  <c r="J255" i="27"/>
  <c r="I256" i="27"/>
  <c r="J257" i="27"/>
  <c r="I258" i="27"/>
  <c r="J259" i="27"/>
  <c r="I260" i="27"/>
  <c r="I261" i="27"/>
  <c r="I262" i="27"/>
  <c r="I263" i="27"/>
  <c r="J264" i="27"/>
  <c r="J265" i="27"/>
  <c r="J266" i="27"/>
  <c r="J267" i="27"/>
  <c r="I268" i="27"/>
  <c r="J269" i="27"/>
  <c r="I270" i="27"/>
  <c r="I271" i="27"/>
  <c r="J272" i="27"/>
  <c r="J273" i="27"/>
  <c r="J274" i="27"/>
  <c r="J275" i="27"/>
  <c r="I276" i="27"/>
  <c r="J277" i="27"/>
  <c r="I278" i="27"/>
  <c r="J279" i="27"/>
  <c r="J280" i="27"/>
  <c r="J281" i="27"/>
  <c r="I282" i="27"/>
  <c r="J283" i="27"/>
  <c r="I284" i="27"/>
  <c r="J285" i="27"/>
  <c r="I286" i="27"/>
  <c r="J287" i="27"/>
  <c r="J288" i="27"/>
  <c r="J289" i="27"/>
  <c r="J290" i="27"/>
  <c r="J291" i="27"/>
  <c r="AL222" i="23"/>
  <c r="AM222" i="23"/>
  <c r="AM5" i="23"/>
  <c r="AM6" i="23"/>
  <c r="AM7" i="23"/>
  <c r="AM8" i="23"/>
  <c r="AM9" i="23"/>
  <c r="AM10" i="23"/>
  <c r="AM11" i="23"/>
  <c r="AM12" i="23"/>
  <c r="AM13" i="23"/>
  <c r="AM14" i="23"/>
  <c r="AM15" i="23"/>
  <c r="AM16" i="23"/>
  <c r="AM17" i="23"/>
  <c r="AM18" i="23"/>
  <c r="AM19" i="23"/>
  <c r="AM20" i="23"/>
  <c r="AM21" i="23"/>
  <c r="AM22" i="23"/>
  <c r="AM23" i="23"/>
  <c r="AM24" i="23"/>
  <c r="AM25" i="23"/>
  <c r="AM26" i="23"/>
  <c r="AM27" i="23"/>
  <c r="AM28" i="23"/>
  <c r="AM29" i="23"/>
  <c r="AM30" i="23"/>
  <c r="AM31" i="23"/>
  <c r="AM32" i="23"/>
  <c r="AM33" i="23"/>
  <c r="AM34" i="23"/>
  <c r="AM35" i="23"/>
  <c r="AM36" i="23"/>
  <c r="AM37" i="23"/>
  <c r="AM38" i="23"/>
  <c r="AM39" i="23"/>
  <c r="AM40" i="23"/>
  <c r="AM41" i="23"/>
  <c r="AM42" i="23"/>
  <c r="AM43" i="23"/>
  <c r="AM44" i="23"/>
  <c r="AM45" i="23"/>
  <c r="AM46" i="23"/>
  <c r="AM47" i="23"/>
  <c r="AM48" i="23"/>
  <c r="AM49" i="23"/>
  <c r="AM50" i="23"/>
  <c r="AM51" i="23"/>
  <c r="AM52" i="23"/>
  <c r="AM53" i="23"/>
  <c r="AM54" i="23"/>
  <c r="AM55" i="23"/>
  <c r="AM56" i="23"/>
  <c r="AM57" i="23"/>
  <c r="AM58" i="23"/>
  <c r="AM59" i="23"/>
  <c r="AM60" i="23"/>
  <c r="AM61" i="23"/>
  <c r="AM62" i="23"/>
  <c r="AM63" i="23"/>
  <c r="AM64" i="23"/>
  <c r="AM65" i="23"/>
  <c r="AM66" i="23"/>
  <c r="AM67" i="23"/>
  <c r="AM68" i="23"/>
  <c r="AM69" i="23"/>
  <c r="AM70" i="23"/>
  <c r="AM71" i="23"/>
  <c r="AM72" i="23"/>
  <c r="AM73" i="23"/>
  <c r="AM74" i="23"/>
  <c r="AM75" i="23"/>
  <c r="AM76" i="23"/>
  <c r="AM77" i="23"/>
  <c r="AM78" i="23"/>
  <c r="AM79" i="23"/>
  <c r="AM80" i="23"/>
  <c r="AM81" i="23"/>
  <c r="AM82" i="23"/>
  <c r="AM83" i="23"/>
  <c r="AM84" i="23"/>
  <c r="AM85" i="23"/>
  <c r="AM86" i="23"/>
  <c r="AM87" i="23"/>
  <c r="AM88" i="23"/>
  <c r="AM89" i="23"/>
  <c r="AM90" i="23"/>
  <c r="AM91" i="23"/>
  <c r="AM92" i="23"/>
  <c r="AM93" i="23"/>
  <c r="AM94" i="23"/>
  <c r="AM95" i="23"/>
  <c r="AM96" i="23"/>
  <c r="AM97" i="23"/>
  <c r="AM98" i="23"/>
  <c r="AM99" i="23"/>
  <c r="AM100" i="23"/>
  <c r="AM101" i="23"/>
  <c r="AM102" i="23"/>
  <c r="AM103" i="23"/>
  <c r="AM104" i="23"/>
  <c r="AM105" i="23"/>
  <c r="AM106" i="23"/>
  <c r="AM107" i="23"/>
  <c r="AM108" i="23"/>
  <c r="AM109" i="23"/>
  <c r="AM110" i="23"/>
  <c r="AM111" i="23"/>
  <c r="AM112" i="23"/>
  <c r="AM113" i="23"/>
  <c r="AM114" i="23"/>
  <c r="AM115" i="23"/>
  <c r="AM116" i="23"/>
  <c r="AM117" i="23"/>
  <c r="AM118" i="23"/>
  <c r="AM119" i="23"/>
  <c r="AM120" i="23"/>
  <c r="AM121" i="23"/>
  <c r="AM122" i="23"/>
  <c r="AM123" i="23"/>
  <c r="AM124" i="23"/>
  <c r="AM125" i="23"/>
  <c r="AM126" i="23"/>
  <c r="AM127" i="23"/>
  <c r="AM128" i="23"/>
  <c r="AM129" i="23"/>
  <c r="AM130" i="23"/>
  <c r="AM131" i="23"/>
  <c r="AM132" i="23"/>
  <c r="AM133" i="23"/>
  <c r="AM134" i="23"/>
  <c r="AM135" i="23"/>
  <c r="AM136" i="23"/>
  <c r="AM137" i="23"/>
  <c r="AM138" i="23"/>
  <c r="AM139" i="23"/>
  <c r="AM140" i="23"/>
  <c r="AM141" i="23"/>
  <c r="AM142" i="23"/>
  <c r="AM143" i="23"/>
  <c r="AM144" i="23"/>
  <c r="AM145" i="23"/>
  <c r="AM146" i="23"/>
  <c r="AM147" i="23"/>
  <c r="AM148" i="23"/>
  <c r="AM149" i="23"/>
  <c r="AM150" i="23"/>
  <c r="AM151" i="23"/>
  <c r="AM152" i="23"/>
  <c r="AM153" i="23"/>
  <c r="AM154" i="23"/>
  <c r="AM155" i="23"/>
  <c r="AM156" i="23"/>
  <c r="AM157" i="23"/>
  <c r="AM158" i="23"/>
  <c r="AM159" i="23"/>
  <c r="AM160" i="23"/>
  <c r="AM161" i="23"/>
  <c r="AM162" i="23"/>
  <c r="AM163" i="23"/>
  <c r="AM164" i="23"/>
  <c r="AM165" i="23"/>
  <c r="AM166" i="23"/>
  <c r="AM167" i="23"/>
  <c r="AM168" i="23"/>
  <c r="AM169" i="23"/>
  <c r="AM170" i="23"/>
  <c r="AM171" i="23"/>
  <c r="AM172" i="23"/>
  <c r="AM173" i="23"/>
  <c r="AM174" i="23"/>
  <c r="AM175" i="23"/>
  <c r="AM176" i="23"/>
  <c r="AM177" i="23"/>
  <c r="AM178" i="23"/>
  <c r="AM179" i="23"/>
  <c r="AM180" i="23"/>
  <c r="AM181" i="23"/>
  <c r="AM182" i="23"/>
  <c r="AM183" i="23"/>
  <c r="AM184" i="23"/>
  <c r="AM185" i="23"/>
  <c r="AM186" i="23"/>
  <c r="AM187" i="23"/>
  <c r="AM188" i="23"/>
  <c r="AM189" i="23"/>
  <c r="AM190" i="23"/>
  <c r="AM191" i="23"/>
  <c r="AM192" i="23"/>
  <c r="AM193" i="23"/>
  <c r="AM194" i="23"/>
  <c r="AM195" i="23"/>
  <c r="AM196" i="23"/>
  <c r="AM197" i="23"/>
  <c r="AM198" i="23"/>
  <c r="AM199" i="23"/>
  <c r="AM200" i="23"/>
  <c r="AM201" i="23"/>
  <c r="AM202" i="23"/>
  <c r="AM203" i="23"/>
  <c r="AM204" i="23"/>
  <c r="AM205" i="23"/>
  <c r="AM206" i="23"/>
  <c r="AM207" i="23"/>
  <c r="AM208" i="23"/>
  <c r="AM209" i="23"/>
  <c r="AM210" i="23"/>
  <c r="AM211" i="23"/>
  <c r="AM212" i="23"/>
  <c r="AM213" i="23"/>
  <c r="AM214" i="23"/>
  <c r="AM215" i="23"/>
  <c r="AM216" i="23"/>
  <c r="AM217" i="23"/>
  <c r="AM218" i="23"/>
  <c r="AM219" i="23"/>
  <c r="AM220" i="23"/>
  <c r="AM221" i="23"/>
  <c r="AM223" i="23"/>
  <c r="AM224" i="23"/>
  <c r="AM225" i="23"/>
  <c r="AM226" i="23"/>
  <c r="AM227" i="23"/>
  <c r="AM228" i="23"/>
  <c r="AM229" i="23"/>
  <c r="AM230" i="23"/>
  <c r="AM231" i="23"/>
  <c r="AM232" i="23"/>
  <c r="AM233" i="23"/>
  <c r="AM234" i="23"/>
  <c r="AM235" i="23"/>
  <c r="AM236" i="23"/>
  <c r="AM237" i="23"/>
  <c r="AM238" i="23"/>
  <c r="AM239" i="23"/>
  <c r="AM240" i="23"/>
  <c r="AM241" i="23"/>
  <c r="AM242" i="23"/>
  <c r="AM243" i="23"/>
  <c r="AM244" i="23"/>
  <c r="AM245" i="23"/>
  <c r="AM246" i="23"/>
  <c r="AM247" i="23"/>
  <c r="AM248" i="23"/>
  <c r="AM249" i="23"/>
  <c r="AM250" i="23"/>
  <c r="AM251" i="23"/>
  <c r="AM252" i="23"/>
  <c r="AM253" i="23"/>
  <c r="AM254" i="23"/>
  <c r="AM255" i="23"/>
  <c r="AM256" i="23"/>
  <c r="AM257" i="23"/>
  <c r="AM258" i="23"/>
  <c r="AM259" i="23"/>
  <c r="AM260" i="23"/>
  <c r="AM261" i="23"/>
  <c r="AM262" i="23"/>
  <c r="AM263" i="23"/>
  <c r="AM264" i="23"/>
  <c r="AM265" i="23"/>
  <c r="AM266" i="23"/>
  <c r="AM267" i="23"/>
  <c r="AM268" i="23"/>
  <c r="AM269" i="23"/>
  <c r="AM270" i="23"/>
  <c r="AM271" i="23"/>
  <c r="AM272" i="23"/>
  <c r="AM273" i="23"/>
  <c r="AM274" i="23"/>
  <c r="AM275" i="23"/>
  <c r="AM276" i="23"/>
  <c r="AM277" i="23"/>
  <c r="AM278" i="23"/>
  <c r="AM279" i="23"/>
  <c r="AM280" i="23"/>
  <c r="AM281" i="23"/>
  <c r="AM282" i="23"/>
  <c r="AM283" i="23"/>
  <c r="AM284" i="23"/>
  <c r="AM285" i="23"/>
  <c r="AM286" i="23"/>
  <c r="AM287" i="23"/>
  <c r="AM288" i="23"/>
  <c r="AM289" i="23"/>
  <c r="AM290" i="23"/>
  <c r="AM291" i="23"/>
  <c r="AM292" i="23"/>
  <c r="AM293" i="23"/>
  <c r="AM294" i="23"/>
  <c r="AM295" i="23"/>
  <c r="AM296" i="23"/>
  <c r="AM297" i="23"/>
  <c r="AM298" i="23"/>
  <c r="AM299" i="23"/>
  <c r="AM300" i="23"/>
  <c r="AM301" i="23"/>
  <c r="AM302" i="23"/>
  <c r="AM303" i="23"/>
  <c r="AM304" i="23"/>
  <c r="AM305" i="23"/>
  <c r="AM306" i="23"/>
  <c r="AM4" i="23"/>
  <c r="I229" i="27" l="1"/>
  <c r="J253" i="27"/>
  <c r="J207" i="27"/>
  <c r="J185" i="27"/>
  <c r="J221" i="27"/>
  <c r="I178" i="27"/>
  <c r="J110" i="27"/>
  <c r="I201" i="27"/>
  <c r="J245" i="27"/>
  <c r="J230" i="27"/>
  <c r="I161" i="27"/>
  <c r="J254" i="27"/>
  <c r="J165" i="27"/>
  <c r="I208" i="27"/>
  <c r="J250" i="27"/>
  <c r="J238" i="27"/>
  <c r="J226" i="27"/>
  <c r="J132" i="27"/>
  <c r="I279" i="27"/>
  <c r="J286" i="27"/>
  <c r="I273" i="27"/>
  <c r="J258" i="27"/>
  <c r="I234" i="27"/>
  <c r="J205" i="27"/>
  <c r="I199" i="27"/>
  <c r="I148" i="27"/>
  <c r="J134" i="27"/>
  <c r="I176" i="27"/>
  <c r="I213" i="27"/>
  <c r="I145" i="27"/>
  <c r="J210" i="27"/>
  <c r="J179" i="27"/>
  <c r="I149" i="27"/>
  <c r="I163" i="27"/>
  <c r="I140" i="27"/>
  <c r="I131" i="27"/>
  <c r="J126" i="27"/>
  <c r="I281" i="27"/>
  <c r="I266" i="27"/>
  <c r="I277" i="27"/>
  <c r="J271" i="27"/>
  <c r="J261" i="27"/>
  <c r="J246" i="27"/>
  <c r="I242" i="27"/>
  <c r="I237" i="27"/>
  <c r="I181" i="27"/>
  <c r="I172" i="27"/>
  <c r="J146" i="27"/>
  <c r="J222" i="27"/>
  <c r="I218" i="27"/>
  <c r="I137" i="27"/>
  <c r="I127" i="27"/>
  <c r="I290" i="27"/>
  <c r="J262" i="27"/>
  <c r="I188" i="27"/>
  <c r="I269" i="27"/>
  <c r="J214" i="27"/>
  <c r="J169" i="27"/>
  <c r="J138" i="27"/>
  <c r="I265" i="27"/>
  <c r="I287" i="27"/>
  <c r="J282" i="27"/>
  <c r="I274" i="27"/>
  <c r="J270" i="27"/>
  <c r="J206" i="27"/>
  <c r="I202" i="27"/>
  <c r="J189" i="27"/>
  <c r="I186" i="27"/>
  <c r="J171" i="27"/>
  <c r="J168" i="27"/>
  <c r="I164" i="27"/>
  <c r="J162" i="27"/>
  <c r="J150" i="27"/>
  <c r="I147" i="27"/>
  <c r="J139" i="27"/>
  <c r="J278" i="27"/>
  <c r="J158" i="27"/>
  <c r="I124" i="27"/>
  <c r="I239" i="27"/>
  <c r="I215" i="27"/>
  <c r="I187" i="27"/>
  <c r="I184" i="27"/>
  <c r="I255" i="27"/>
  <c r="I247" i="27"/>
  <c r="I231" i="27"/>
  <c r="I223" i="27"/>
  <c r="I289" i="27"/>
  <c r="I285" i="27"/>
  <c r="J263" i="27"/>
  <c r="I200" i="27"/>
  <c r="I197" i="27"/>
  <c r="I180" i="27"/>
  <c r="J177" i="27"/>
  <c r="I173" i="27"/>
  <c r="I170" i="27"/>
  <c r="I156" i="27"/>
  <c r="I153" i="27"/>
  <c r="I133" i="27"/>
  <c r="J130" i="27"/>
  <c r="I141" i="27"/>
  <c r="I121" i="27"/>
  <c r="I257" i="27"/>
  <c r="I249" i="27"/>
  <c r="I241" i="27"/>
  <c r="I233" i="27"/>
  <c r="I225" i="27"/>
  <c r="I217" i="27"/>
  <c r="I209" i="27"/>
  <c r="J198" i="27"/>
  <c r="I157" i="27"/>
  <c r="J154" i="27"/>
  <c r="J142" i="27"/>
  <c r="J116" i="27"/>
  <c r="I125" i="27"/>
  <c r="J122" i="27"/>
  <c r="I123" i="27"/>
  <c r="I119" i="27"/>
  <c r="J118" i="27"/>
  <c r="I115" i="27"/>
  <c r="I113" i="27"/>
  <c r="I117" i="27"/>
  <c r="J284" i="27"/>
  <c r="J276" i="27"/>
  <c r="J268" i="27"/>
  <c r="J260" i="27"/>
  <c r="J252" i="27"/>
  <c r="J244" i="27"/>
  <c r="J236" i="27"/>
  <c r="J228" i="27"/>
  <c r="J220" i="27"/>
  <c r="J212" i="27"/>
  <c r="J204" i="27"/>
  <c r="J196" i="27"/>
  <c r="J183" i="27"/>
  <c r="J175" i="27"/>
  <c r="J167" i="27"/>
  <c r="J160" i="27"/>
  <c r="J152" i="27"/>
  <c r="J144" i="27"/>
  <c r="J136" i="27"/>
  <c r="J128" i="27"/>
  <c r="J120" i="27"/>
  <c r="J112" i="27"/>
  <c r="I272" i="27"/>
  <c r="I264" i="27"/>
  <c r="I240" i="27"/>
  <c r="I216" i="27"/>
  <c r="I288" i="27"/>
  <c r="I280" i="27"/>
  <c r="I248" i="27"/>
  <c r="I232" i="27"/>
  <c r="I291" i="27"/>
  <c r="I283" i="27"/>
  <c r="I275" i="27"/>
  <c r="I267" i="27"/>
  <c r="I259" i="27"/>
  <c r="J256" i="27"/>
  <c r="I251" i="27"/>
  <c r="I243" i="27"/>
  <c r="I235" i="27"/>
  <c r="I227" i="27"/>
  <c r="J224" i="27"/>
  <c r="I219" i="27"/>
  <c r="I211" i="27"/>
  <c r="I203" i="27"/>
  <c r="I195" i="27"/>
  <c r="I182" i="27"/>
  <c r="I174" i="27"/>
  <c r="I166" i="27"/>
  <c r="I159" i="27"/>
  <c r="I151" i="27"/>
  <c r="I143" i="27"/>
  <c r="I135" i="27"/>
  <c r="I111" i="27"/>
  <c r="I114" i="27"/>
  <c r="AL6" i="23"/>
  <c r="AL7" i="23"/>
  <c r="AL8" i="23"/>
  <c r="AL9" i="23"/>
  <c r="AL10" i="23"/>
  <c r="AL11" i="23"/>
  <c r="AL12" i="23"/>
  <c r="AL13" i="23"/>
  <c r="AL14" i="23"/>
  <c r="AL15" i="23"/>
  <c r="AL16" i="23"/>
  <c r="AL17" i="23"/>
  <c r="AL18" i="23"/>
  <c r="AL19" i="23"/>
  <c r="AL20" i="23"/>
  <c r="AL21" i="23"/>
  <c r="AL22" i="23"/>
  <c r="AL23" i="23"/>
  <c r="AL24" i="23"/>
  <c r="AL25" i="23"/>
  <c r="AL26" i="23"/>
  <c r="AL27" i="23"/>
  <c r="AL28" i="23"/>
  <c r="AL29" i="23"/>
  <c r="AL30" i="23"/>
  <c r="AL31" i="23"/>
  <c r="AL32" i="23"/>
  <c r="AL33" i="23"/>
  <c r="AL34" i="23"/>
  <c r="AL35" i="23"/>
  <c r="AL36" i="23"/>
  <c r="AL37" i="23"/>
  <c r="AL38" i="23"/>
  <c r="AL39" i="23"/>
  <c r="AL40" i="23"/>
  <c r="AL41" i="23"/>
  <c r="AL42" i="23"/>
  <c r="AL43" i="23"/>
  <c r="AL44" i="23"/>
  <c r="AL45" i="23"/>
  <c r="AL46" i="23"/>
  <c r="AL47" i="23"/>
  <c r="AL48" i="23"/>
  <c r="AL49" i="23"/>
  <c r="AL50" i="23"/>
  <c r="AL51" i="23"/>
  <c r="AL52" i="23"/>
  <c r="AL53" i="23"/>
  <c r="AL54" i="23"/>
  <c r="AL55" i="23"/>
  <c r="AL56" i="23"/>
  <c r="AL57" i="23"/>
  <c r="AL58" i="23"/>
  <c r="AL59" i="23"/>
  <c r="AL60" i="23"/>
  <c r="AL61" i="23"/>
  <c r="AL62" i="23"/>
  <c r="AL63" i="23"/>
  <c r="AL64" i="23"/>
  <c r="AL65" i="23"/>
  <c r="AL66" i="23"/>
  <c r="AL67" i="23"/>
  <c r="AL68" i="23"/>
  <c r="AL69" i="23"/>
  <c r="AL70" i="23"/>
  <c r="AL71" i="23"/>
  <c r="AL72" i="23"/>
  <c r="AL73" i="23"/>
  <c r="AL74" i="23"/>
  <c r="AL75" i="23"/>
  <c r="AL76" i="23"/>
  <c r="AL77" i="23"/>
  <c r="AL78" i="23"/>
  <c r="AL79" i="23"/>
  <c r="AL80" i="23"/>
  <c r="AL81" i="23"/>
  <c r="AL82" i="23"/>
  <c r="AL83" i="23"/>
  <c r="AL84" i="23"/>
  <c r="AL85" i="23"/>
  <c r="AL86" i="23"/>
  <c r="AL87" i="23"/>
  <c r="AL88" i="23"/>
  <c r="AL89" i="23"/>
  <c r="AL90" i="23"/>
  <c r="AL91" i="23"/>
  <c r="AL92" i="23"/>
  <c r="AL93" i="23"/>
  <c r="AL94" i="23"/>
  <c r="AL95" i="23"/>
  <c r="AL96" i="23"/>
  <c r="AL97" i="23"/>
  <c r="AL98" i="23"/>
  <c r="AL99" i="23"/>
  <c r="AL100" i="23"/>
  <c r="AL101" i="23"/>
  <c r="AL102" i="23"/>
  <c r="AL103" i="23"/>
  <c r="AL104" i="23"/>
  <c r="AL105" i="23"/>
  <c r="AL106" i="23"/>
  <c r="AL107" i="23"/>
  <c r="AL108" i="23"/>
  <c r="AL109" i="23"/>
  <c r="AL110" i="23"/>
  <c r="AL111" i="23"/>
  <c r="AL112" i="23"/>
  <c r="AL113" i="23"/>
  <c r="AL114" i="23"/>
  <c r="AL115" i="23"/>
  <c r="AL116" i="23"/>
  <c r="AL117" i="23"/>
  <c r="AL118" i="23"/>
  <c r="AL119" i="23"/>
  <c r="AL120" i="23"/>
  <c r="AL121" i="23"/>
  <c r="AL122" i="23"/>
  <c r="AL123" i="23"/>
  <c r="AL124" i="23"/>
  <c r="AL125" i="23"/>
  <c r="AL126" i="23"/>
  <c r="AL127" i="23"/>
  <c r="AL128" i="23"/>
  <c r="AL129" i="23"/>
  <c r="AL130" i="23"/>
  <c r="AL131" i="23"/>
  <c r="AL132" i="23"/>
  <c r="AL133" i="23"/>
  <c r="AL134" i="23"/>
  <c r="AL135" i="23"/>
  <c r="AL136" i="23"/>
  <c r="AL137" i="23"/>
  <c r="AL138" i="23"/>
  <c r="AL139" i="23"/>
  <c r="AL140" i="23"/>
  <c r="AL141" i="23"/>
  <c r="AL142" i="23"/>
  <c r="AL143" i="23"/>
  <c r="AL144" i="23"/>
  <c r="AL145" i="23"/>
  <c r="AL146" i="23"/>
  <c r="AL147" i="23"/>
  <c r="AL148" i="23"/>
  <c r="AL149" i="23"/>
  <c r="AL150" i="23"/>
  <c r="AL151" i="23"/>
  <c r="AL152" i="23"/>
  <c r="AL153" i="23"/>
  <c r="AL154" i="23"/>
  <c r="AL155" i="23"/>
  <c r="AL156" i="23"/>
  <c r="AL157" i="23"/>
  <c r="AL158" i="23"/>
  <c r="AL159" i="23"/>
  <c r="AL160" i="23"/>
  <c r="AL161" i="23"/>
  <c r="AL162" i="23"/>
  <c r="AL163" i="23"/>
  <c r="AL164" i="23"/>
  <c r="AL165" i="23"/>
  <c r="AL166" i="23"/>
  <c r="AL167" i="23"/>
  <c r="AL168" i="23"/>
  <c r="AL169" i="23"/>
  <c r="AL170" i="23"/>
  <c r="AL171" i="23"/>
  <c r="AL172" i="23"/>
  <c r="AL173" i="23"/>
  <c r="AL174" i="23"/>
  <c r="AL175" i="23"/>
  <c r="AL176" i="23"/>
  <c r="AL177" i="23"/>
  <c r="AL178" i="23"/>
  <c r="AL179" i="23"/>
  <c r="AL180" i="23"/>
  <c r="AL181" i="23"/>
  <c r="AL182" i="23"/>
  <c r="AL183" i="23"/>
  <c r="AL184" i="23"/>
  <c r="AL185" i="23"/>
  <c r="AL186" i="23"/>
  <c r="AL187" i="23"/>
  <c r="AL188" i="23"/>
  <c r="AL189" i="23"/>
  <c r="AL190" i="23"/>
  <c r="AL191" i="23"/>
  <c r="AL192" i="23"/>
  <c r="AL193" i="23"/>
  <c r="AL194" i="23"/>
  <c r="AL195" i="23"/>
  <c r="AL196" i="23"/>
  <c r="AL197" i="23"/>
  <c r="AL198" i="23"/>
  <c r="AL199" i="23"/>
  <c r="AL200" i="23"/>
  <c r="AL201" i="23"/>
  <c r="AL202" i="23"/>
  <c r="AL203" i="23"/>
  <c r="AL204" i="23"/>
  <c r="AL205" i="23"/>
  <c r="AL206" i="23"/>
  <c r="AL207" i="23"/>
  <c r="AL208" i="23"/>
  <c r="AL209" i="23"/>
  <c r="AL210" i="23"/>
  <c r="AL211" i="23"/>
  <c r="AL212" i="23"/>
  <c r="AL213" i="23"/>
  <c r="AL214" i="23"/>
  <c r="AL215" i="23"/>
  <c r="AL216" i="23"/>
  <c r="AL217" i="23"/>
  <c r="AL218" i="23"/>
  <c r="AL219" i="23"/>
  <c r="AL220" i="23"/>
  <c r="AL221" i="23"/>
  <c r="AL223" i="23"/>
  <c r="AL224" i="23"/>
  <c r="AL225" i="23"/>
  <c r="AL226" i="23"/>
  <c r="AL227" i="23"/>
  <c r="AL228" i="23"/>
  <c r="AL229" i="23"/>
  <c r="AL230" i="23"/>
  <c r="AL231" i="23"/>
  <c r="AL232" i="23"/>
  <c r="AL233" i="23"/>
  <c r="AL234" i="23"/>
  <c r="AL235" i="23"/>
  <c r="AL236" i="23"/>
  <c r="AL237" i="23"/>
  <c r="AL238" i="23"/>
  <c r="AL239" i="23"/>
  <c r="AL240" i="23"/>
  <c r="AL241" i="23"/>
  <c r="AL242" i="23"/>
  <c r="AL243" i="23"/>
  <c r="AL244" i="23"/>
  <c r="AL245" i="23"/>
  <c r="AL246" i="23"/>
  <c r="AL247" i="23"/>
  <c r="AL248" i="23"/>
  <c r="AL249" i="23"/>
  <c r="AL250" i="23"/>
  <c r="AL251" i="23"/>
  <c r="AL252" i="23"/>
  <c r="AL253" i="23"/>
  <c r="AL254" i="23"/>
  <c r="AL255" i="23"/>
  <c r="AL256" i="23"/>
  <c r="AL257" i="23"/>
  <c r="AL258" i="23"/>
  <c r="AL259" i="23"/>
  <c r="AL260" i="23"/>
  <c r="AL261" i="23"/>
  <c r="AL262" i="23"/>
  <c r="AL263" i="23"/>
  <c r="AL264" i="23"/>
  <c r="AL265" i="23"/>
  <c r="AL266" i="23"/>
  <c r="AL267" i="23"/>
  <c r="AL268" i="23"/>
  <c r="AL269" i="23"/>
  <c r="AL270" i="23"/>
  <c r="AL271" i="23"/>
  <c r="AL272" i="23"/>
  <c r="AL273" i="23"/>
  <c r="AL274" i="23"/>
  <c r="AL275" i="23"/>
  <c r="AL276" i="23"/>
  <c r="AL277" i="23"/>
  <c r="AL278" i="23"/>
  <c r="AL279" i="23"/>
  <c r="AL280" i="23"/>
  <c r="AL281" i="23"/>
  <c r="AL282" i="23"/>
  <c r="AL283" i="23"/>
  <c r="AL284" i="23"/>
  <c r="AL285" i="23"/>
  <c r="AL286" i="23"/>
  <c r="AL287" i="23"/>
  <c r="AL288" i="23"/>
  <c r="AL289" i="23"/>
  <c r="AL290" i="23"/>
  <c r="AL291" i="23"/>
  <c r="AL292" i="23"/>
  <c r="AL293" i="23"/>
  <c r="AL294" i="23"/>
  <c r="AL295" i="23"/>
  <c r="AL296" i="23"/>
  <c r="AL297" i="23"/>
  <c r="AL298" i="23"/>
  <c r="AL299" i="23"/>
  <c r="AL300" i="23"/>
  <c r="AL301" i="23"/>
  <c r="AL302" i="23"/>
  <c r="AL303" i="23"/>
  <c r="AL304" i="23"/>
  <c r="AL305" i="23"/>
  <c r="AL306" i="23"/>
  <c r="AL4" i="23"/>
  <c r="AL5" i="23"/>
  <c r="J109" i="27" l="1"/>
  <c r="J108" i="27"/>
  <c r="J107" i="27"/>
  <c r="J106" i="27"/>
  <c r="I105" i="27"/>
  <c r="I104" i="27"/>
  <c r="I103" i="27"/>
  <c r="I102" i="27"/>
  <c r="J101" i="27"/>
  <c r="I100" i="27"/>
  <c r="I99" i="27"/>
  <c r="J98" i="27"/>
  <c r="I97" i="27"/>
  <c r="I96" i="27"/>
  <c r="I95" i="27"/>
  <c r="J94" i="27"/>
  <c r="J93" i="27"/>
  <c r="I92" i="27"/>
  <c r="I91" i="27"/>
  <c r="J90" i="27"/>
  <c r="I89" i="27"/>
  <c r="I88" i="27"/>
  <c r="I87" i="27"/>
  <c r="I86" i="27"/>
  <c r="J85" i="27"/>
  <c r="I84" i="27"/>
  <c r="J83" i="27"/>
  <c r="J82" i="27"/>
  <c r="I81" i="27"/>
  <c r="I80" i="27"/>
  <c r="I79" i="27"/>
  <c r="J78" i="27"/>
  <c r="J77" i="27"/>
  <c r="I76" i="27"/>
  <c r="I75" i="27"/>
  <c r="J74" i="27"/>
  <c r="I73" i="27"/>
  <c r="I72" i="27"/>
  <c r="I71" i="27"/>
  <c r="J70" i="27"/>
  <c r="J69" i="27"/>
  <c r="J68" i="27"/>
  <c r="I67" i="27"/>
  <c r="J66" i="27"/>
  <c r="I65" i="27"/>
  <c r="I64" i="27"/>
  <c r="I63" i="27"/>
  <c r="I62" i="27"/>
  <c r="J61" i="27"/>
  <c r="J60" i="27"/>
  <c r="I59" i="27"/>
  <c r="J58" i="27"/>
  <c r="I57" i="27"/>
  <c r="I56" i="27"/>
  <c r="I55" i="27"/>
  <c r="I54" i="27"/>
  <c r="J53" i="27"/>
  <c r="I52" i="27"/>
  <c r="I51" i="27"/>
  <c r="J50" i="27"/>
  <c r="I49" i="27"/>
  <c r="I48" i="27"/>
  <c r="I47" i="27"/>
  <c r="I46" i="27"/>
  <c r="J45" i="27"/>
  <c r="I44" i="27"/>
  <c r="I43" i="27"/>
  <c r="J42" i="27"/>
  <c r="I41" i="27"/>
  <c r="I40" i="27"/>
  <c r="I39" i="27"/>
  <c r="J38" i="27"/>
  <c r="J37" i="27"/>
  <c r="J36" i="27"/>
  <c r="I35" i="27"/>
  <c r="J34" i="27"/>
  <c r="I33" i="27"/>
  <c r="I32" i="27"/>
  <c r="I31" i="27"/>
  <c r="I30" i="27"/>
  <c r="J29" i="27"/>
  <c r="I28" i="27"/>
  <c r="J27" i="27"/>
  <c r="J26" i="27"/>
  <c r="I25" i="27"/>
  <c r="B25" i="27"/>
  <c r="J24" i="27"/>
  <c r="B24" i="27"/>
  <c r="I23" i="27"/>
  <c r="I22" i="27"/>
  <c r="B22" i="27"/>
  <c r="J21" i="27"/>
  <c r="B21" i="27"/>
  <c r="I20" i="27"/>
  <c r="B20" i="27"/>
  <c r="I19" i="27"/>
  <c r="B19" i="27"/>
  <c r="I18" i="27"/>
  <c r="I17" i="27"/>
  <c r="J16" i="27"/>
  <c r="J15" i="27"/>
  <c r="I14" i="27"/>
  <c r="I13" i="27"/>
  <c r="J12" i="27"/>
  <c r="I11" i="27"/>
  <c r="I10" i="27"/>
  <c r="I9" i="27"/>
  <c r="I8" i="27"/>
  <c r="J7" i="27"/>
  <c r="I6" i="27"/>
  <c r="J5" i="27"/>
  <c r="H282" i="26"/>
  <c r="I282" i="26" s="1"/>
  <c r="H281" i="26"/>
  <c r="I281" i="26" s="1"/>
  <c r="H280" i="26"/>
  <c r="I280" i="26" s="1"/>
  <c r="H279" i="26"/>
  <c r="J279" i="26" s="1"/>
  <c r="H278" i="26"/>
  <c r="I278" i="26" s="1"/>
  <c r="H277" i="26"/>
  <c r="J277" i="26" s="1"/>
  <c r="H276" i="26"/>
  <c r="I276" i="26" s="1"/>
  <c r="H275" i="26"/>
  <c r="J275" i="26" s="1"/>
  <c r="H274" i="26"/>
  <c r="I274" i="26" s="1"/>
  <c r="H273" i="26"/>
  <c r="J273" i="26" s="1"/>
  <c r="H272" i="26"/>
  <c r="I272" i="26" s="1"/>
  <c r="H271" i="26"/>
  <c r="J271" i="26" s="1"/>
  <c r="H270" i="26"/>
  <c r="I270" i="26" s="1"/>
  <c r="H269" i="26"/>
  <c r="J269" i="26" s="1"/>
  <c r="H268" i="26"/>
  <c r="I268" i="26" s="1"/>
  <c r="H267" i="26"/>
  <c r="J267" i="26" s="1"/>
  <c r="H266" i="26"/>
  <c r="I266" i="26" s="1"/>
  <c r="H265" i="26"/>
  <c r="J265" i="26" s="1"/>
  <c r="H264" i="26"/>
  <c r="I264" i="26" s="1"/>
  <c r="H263" i="26"/>
  <c r="J263" i="26" s="1"/>
  <c r="H262" i="26"/>
  <c r="I262" i="26" s="1"/>
  <c r="H261" i="26"/>
  <c r="J261" i="26" s="1"/>
  <c r="H260" i="26"/>
  <c r="I260" i="26" s="1"/>
  <c r="H259" i="26"/>
  <c r="J259" i="26" s="1"/>
  <c r="H258" i="26"/>
  <c r="I258" i="26" s="1"/>
  <c r="H257" i="26"/>
  <c r="J257" i="26" s="1"/>
  <c r="H256" i="26"/>
  <c r="I256" i="26" s="1"/>
  <c r="H255" i="26"/>
  <c r="J255" i="26" s="1"/>
  <c r="H254" i="26"/>
  <c r="I254" i="26" s="1"/>
  <c r="H253" i="26"/>
  <c r="J253" i="26" s="1"/>
  <c r="H252" i="26"/>
  <c r="I252" i="26" s="1"/>
  <c r="H251" i="26"/>
  <c r="J251" i="26" s="1"/>
  <c r="H250" i="26"/>
  <c r="I250" i="26" s="1"/>
  <c r="H249" i="26"/>
  <c r="J249" i="26" s="1"/>
  <c r="H248" i="26"/>
  <c r="I248" i="26" s="1"/>
  <c r="H247" i="26"/>
  <c r="J247" i="26" s="1"/>
  <c r="H246" i="26"/>
  <c r="I246" i="26" s="1"/>
  <c r="H245" i="26"/>
  <c r="I245" i="26" s="1"/>
  <c r="H244" i="26"/>
  <c r="I244" i="26" s="1"/>
  <c r="H243" i="26"/>
  <c r="J243" i="26" s="1"/>
  <c r="H242" i="26"/>
  <c r="I242" i="26" s="1"/>
  <c r="H241" i="26"/>
  <c r="J241" i="26" s="1"/>
  <c r="H240" i="26"/>
  <c r="I240" i="26" s="1"/>
  <c r="H239" i="26"/>
  <c r="J239" i="26" s="1"/>
  <c r="H238" i="26"/>
  <c r="I238" i="26" s="1"/>
  <c r="H237" i="26"/>
  <c r="J237" i="26" s="1"/>
  <c r="H236" i="26"/>
  <c r="I236" i="26" s="1"/>
  <c r="H235" i="26"/>
  <c r="J235" i="26" s="1"/>
  <c r="H234" i="26"/>
  <c r="I234" i="26" s="1"/>
  <c r="H233" i="26"/>
  <c r="J233" i="26" s="1"/>
  <c r="H232" i="26"/>
  <c r="I232" i="26" s="1"/>
  <c r="H231" i="26"/>
  <c r="J231" i="26" s="1"/>
  <c r="H230" i="26"/>
  <c r="I230" i="26" s="1"/>
  <c r="H229" i="26"/>
  <c r="J229" i="26" s="1"/>
  <c r="H228" i="26"/>
  <c r="I228" i="26" s="1"/>
  <c r="H227" i="26"/>
  <c r="J227" i="26" s="1"/>
  <c r="H226" i="26"/>
  <c r="I226" i="26" s="1"/>
  <c r="H225" i="26"/>
  <c r="J225" i="26" s="1"/>
  <c r="H224" i="26"/>
  <c r="I224" i="26" s="1"/>
  <c r="H223" i="26"/>
  <c r="I223" i="26" s="1"/>
  <c r="H222" i="26"/>
  <c r="I222" i="26" s="1"/>
  <c r="H221" i="26"/>
  <c r="J221" i="26" s="1"/>
  <c r="H220" i="26"/>
  <c r="I220" i="26" s="1"/>
  <c r="H219" i="26"/>
  <c r="J219" i="26" s="1"/>
  <c r="H218" i="26"/>
  <c r="I218" i="26" s="1"/>
  <c r="H217" i="26"/>
  <c r="J217" i="26" s="1"/>
  <c r="H216" i="26"/>
  <c r="I216" i="26" s="1"/>
  <c r="H215" i="26"/>
  <c r="J215" i="26" s="1"/>
  <c r="H214" i="26"/>
  <c r="I214" i="26" s="1"/>
  <c r="H213" i="26"/>
  <c r="J213" i="26" s="1"/>
  <c r="H212" i="26"/>
  <c r="I212" i="26" s="1"/>
  <c r="H211" i="26"/>
  <c r="I211" i="26" s="1"/>
  <c r="H210" i="26"/>
  <c r="I210" i="26" s="1"/>
  <c r="H209" i="26"/>
  <c r="I209" i="26" s="1"/>
  <c r="H208" i="26"/>
  <c r="I208" i="26" s="1"/>
  <c r="H207" i="26"/>
  <c r="J207" i="26" s="1"/>
  <c r="H206" i="26"/>
  <c r="I206" i="26" s="1"/>
  <c r="H205" i="26"/>
  <c r="J205" i="26" s="1"/>
  <c r="H204" i="26"/>
  <c r="I204" i="26" s="1"/>
  <c r="H203" i="26"/>
  <c r="I203" i="26" s="1"/>
  <c r="H202" i="26"/>
  <c r="I202" i="26" s="1"/>
  <c r="H201" i="26"/>
  <c r="I201" i="26" s="1"/>
  <c r="H200" i="26"/>
  <c r="I200" i="26" s="1"/>
  <c r="H199" i="26"/>
  <c r="J199" i="26" s="1"/>
  <c r="H198" i="26"/>
  <c r="I198" i="26" s="1"/>
  <c r="H197" i="26"/>
  <c r="J197" i="26" s="1"/>
  <c r="H196" i="26"/>
  <c r="I196" i="26" s="1"/>
  <c r="H195" i="26"/>
  <c r="J195" i="26" s="1"/>
  <c r="H194" i="26"/>
  <c r="I194" i="26" s="1"/>
  <c r="H193" i="26"/>
  <c r="I193" i="26" s="1"/>
  <c r="H192" i="26"/>
  <c r="I192" i="26" s="1"/>
  <c r="H191" i="26"/>
  <c r="J191" i="26" s="1"/>
  <c r="H190" i="26"/>
  <c r="I190" i="26" s="1"/>
  <c r="H189" i="26"/>
  <c r="J189" i="26" s="1"/>
  <c r="H188" i="26"/>
  <c r="I188" i="26" s="1"/>
  <c r="H187" i="26"/>
  <c r="J187" i="26" s="1"/>
  <c r="H186" i="26"/>
  <c r="I186" i="26" s="1"/>
  <c r="H185" i="26"/>
  <c r="I185" i="26" s="1"/>
  <c r="H184" i="26"/>
  <c r="I184" i="26" s="1"/>
  <c r="H183" i="26"/>
  <c r="I183" i="26" s="1"/>
  <c r="H182" i="26"/>
  <c r="I182" i="26" s="1"/>
  <c r="H181" i="26"/>
  <c r="J181" i="26" s="1"/>
  <c r="H180" i="26"/>
  <c r="I180" i="26" s="1"/>
  <c r="H179" i="26"/>
  <c r="I179" i="26" s="1"/>
  <c r="H178" i="26"/>
  <c r="I178" i="26" s="1"/>
  <c r="H177" i="26"/>
  <c r="I177" i="26" s="1"/>
  <c r="H176" i="26"/>
  <c r="I176" i="26" s="1"/>
  <c r="H175" i="26"/>
  <c r="J175" i="26" s="1"/>
  <c r="H174" i="26"/>
  <c r="I174" i="26" s="1"/>
  <c r="H173" i="26"/>
  <c r="J173" i="26" s="1"/>
  <c r="H172" i="26"/>
  <c r="I172" i="26" s="1"/>
  <c r="H171" i="26"/>
  <c r="I171" i="26" s="1"/>
  <c r="H170" i="26"/>
  <c r="I170" i="26" s="1"/>
  <c r="H169" i="26"/>
  <c r="I169" i="26" s="1"/>
  <c r="H168" i="26"/>
  <c r="I168" i="26" s="1"/>
  <c r="H167" i="26"/>
  <c r="I167" i="26" s="1"/>
  <c r="H166" i="26"/>
  <c r="I166" i="26" s="1"/>
  <c r="H165" i="26"/>
  <c r="J165" i="26" s="1"/>
  <c r="H164" i="26"/>
  <c r="I164" i="26" s="1"/>
  <c r="H163" i="26"/>
  <c r="J163" i="26" s="1"/>
  <c r="H162" i="26"/>
  <c r="I162" i="26" s="1"/>
  <c r="H161" i="26"/>
  <c r="I161" i="26" s="1"/>
  <c r="H160" i="26"/>
  <c r="I160" i="26" s="1"/>
  <c r="H159" i="26"/>
  <c r="I159" i="26" s="1"/>
  <c r="H158" i="26"/>
  <c r="I158" i="26" s="1"/>
  <c r="H157" i="26"/>
  <c r="J157" i="26" s="1"/>
  <c r="H156" i="26"/>
  <c r="I156" i="26" s="1"/>
  <c r="H155" i="26"/>
  <c r="J155" i="26" s="1"/>
  <c r="H154" i="26"/>
  <c r="I154" i="26" s="1"/>
  <c r="H153" i="26"/>
  <c r="I153" i="26" s="1"/>
  <c r="H152" i="26"/>
  <c r="I152" i="26" s="1"/>
  <c r="H151" i="26"/>
  <c r="I151" i="26" s="1"/>
  <c r="H150" i="26"/>
  <c r="I150" i="26" s="1"/>
  <c r="H149" i="26"/>
  <c r="J149" i="26" s="1"/>
  <c r="H148" i="26"/>
  <c r="I148" i="26" s="1"/>
  <c r="H147" i="26"/>
  <c r="I147" i="26" s="1"/>
  <c r="H146" i="26"/>
  <c r="I146" i="26" s="1"/>
  <c r="H145" i="26"/>
  <c r="I145" i="26" s="1"/>
  <c r="H144" i="26"/>
  <c r="I144" i="26" s="1"/>
  <c r="H143" i="26"/>
  <c r="I143" i="26" s="1"/>
  <c r="H142" i="26"/>
  <c r="I142" i="26" s="1"/>
  <c r="H141" i="26"/>
  <c r="J141" i="26" s="1"/>
  <c r="H140" i="26"/>
  <c r="I140" i="26" s="1"/>
  <c r="H139" i="26"/>
  <c r="I139" i="26" s="1"/>
  <c r="H138" i="26"/>
  <c r="I138" i="26" s="1"/>
  <c r="H137" i="26"/>
  <c r="I137" i="26" s="1"/>
  <c r="H136" i="26"/>
  <c r="I136" i="26" s="1"/>
  <c r="H135" i="26"/>
  <c r="I135" i="26" s="1"/>
  <c r="H134" i="26"/>
  <c r="I134" i="26" s="1"/>
  <c r="H133" i="26"/>
  <c r="J133" i="26" s="1"/>
  <c r="H132" i="26"/>
  <c r="I132" i="26" s="1"/>
  <c r="H131" i="26"/>
  <c r="J131" i="26" s="1"/>
  <c r="H130" i="26"/>
  <c r="I130" i="26" s="1"/>
  <c r="H129" i="26"/>
  <c r="I129" i="26" s="1"/>
  <c r="H128" i="26"/>
  <c r="I128" i="26" s="1"/>
  <c r="H127" i="26"/>
  <c r="I127" i="26" s="1"/>
  <c r="H126" i="26"/>
  <c r="I126" i="26" s="1"/>
  <c r="H125" i="26"/>
  <c r="J125" i="26" s="1"/>
  <c r="H124" i="26"/>
  <c r="I124" i="26" s="1"/>
  <c r="H123" i="26"/>
  <c r="I123" i="26" s="1"/>
  <c r="H122" i="26"/>
  <c r="I122" i="26" s="1"/>
  <c r="H121" i="26"/>
  <c r="I121" i="26" s="1"/>
  <c r="H120" i="26"/>
  <c r="I120" i="26" s="1"/>
  <c r="H119" i="26"/>
  <c r="J119" i="26" s="1"/>
  <c r="H118" i="26"/>
  <c r="I118" i="26" s="1"/>
  <c r="H117" i="26"/>
  <c r="J117" i="26" s="1"/>
  <c r="H116" i="26"/>
  <c r="I116" i="26" s="1"/>
  <c r="H115" i="26"/>
  <c r="I115" i="26" s="1"/>
  <c r="H114" i="26"/>
  <c r="I114" i="26" s="1"/>
  <c r="H113" i="26"/>
  <c r="I113" i="26" s="1"/>
  <c r="H112" i="26"/>
  <c r="I112" i="26" s="1"/>
  <c r="H111" i="26"/>
  <c r="J111" i="26" s="1"/>
  <c r="H110" i="26"/>
  <c r="I110" i="26" s="1"/>
  <c r="H109" i="26"/>
  <c r="J109" i="26" s="1"/>
  <c r="H108" i="26"/>
  <c r="I108" i="26" s="1"/>
  <c r="H107" i="26"/>
  <c r="I107" i="26" s="1"/>
  <c r="H106" i="26"/>
  <c r="I106" i="26" s="1"/>
  <c r="H105" i="26"/>
  <c r="I105" i="26" s="1"/>
  <c r="H104" i="26"/>
  <c r="I104" i="26" s="1"/>
  <c r="H103" i="26"/>
  <c r="J103" i="26" s="1"/>
  <c r="H102" i="26"/>
  <c r="I102" i="26" s="1"/>
  <c r="H101" i="26"/>
  <c r="J101" i="26" s="1"/>
  <c r="H100" i="26"/>
  <c r="I100" i="26" s="1"/>
  <c r="H99" i="26"/>
  <c r="I99" i="26" s="1"/>
  <c r="H98" i="26"/>
  <c r="I98" i="26" s="1"/>
  <c r="H97" i="26"/>
  <c r="I97" i="26" s="1"/>
  <c r="H96" i="26"/>
  <c r="I96" i="26" s="1"/>
  <c r="H95" i="26"/>
  <c r="I95" i="26" s="1"/>
  <c r="H94" i="26"/>
  <c r="I94" i="26" s="1"/>
  <c r="H93" i="26"/>
  <c r="J93" i="26" s="1"/>
  <c r="H92" i="26"/>
  <c r="I92" i="26" s="1"/>
  <c r="H91" i="26"/>
  <c r="J91" i="26" s="1"/>
  <c r="H90" i="26"/>
  <c r="I90" i="26" s="1"/>
  <c r="H89" i="26"/>
  <c r="I89" i="26" s="1"/>
  <c r="H88" i="26"/>
  <c r="I88" i="26" s="1"/>
  <c r="H87" i="26"/>
  <c r="J87" i="26" s="1"/>
  <c r="H86" i="26"/>
  <c r="I86" i="26" s="1"/>
  <c r="H85" i="26"/>
  <c r="J85" i="26" s="1"/>
  <c r="H84" i="26"/>
  <c r="I84" i="26" s="1"/>
  <c r="H83" i="26"/>
  <c r="I83" i="26" s="1"/>
  <c r="H82" i="26"/>
  <c r="I82" i="26" s="1"/>
  <c r="H81" i="26"/>
  <c r="I81" i="26" s="1"/>
  <c r="H80" i="26"/>
  <c r="I80" i="26" s="1"/>
  <c r="H79" i="26"/>
  <c r="I79" i="26" s="1"/>
  <c r="H78" i="26"/>
  <c r="I78" i="26" s="1"/>
  <c r="H77" i="26"/>
  <c r="J77" i="26" s="1"/>
  <c r="H76" i="26"/>
  <c r="I76" i="26" s="1"/>
  <c r="H75" i="26"/>
  <c r="I75" i="26" s="1"/>
  <c r="H74" i="26"/>
  <c r="I74" i="26" s="1"/>
  <c r="H73" i="26"/>
  <c r="I73" i="26" s="1"/>
  <c r="H72" i="26"/>
  <c r="I72" i="26" s="1"/>
  <c r="H71" i="26"/>
  <c r="I71" i="26" s="1"/>
  <c r="H70" i="26"/>
  <c r="I70" i="26" s="1"/>
  <c r="H69" i="26"/>
  <c r="J69" i="26" s="1"/>
  <c r="H68" i="26"/>
  <c r="I68" i="26" s="1"/>
  <c r="H67" i="26"/>
  <c r="I67" i="26" s="1"/>
  <c r="H66" i="26"/>
  <c r="I66" i="26" s="1"/>
  <c r="H65" i="26"/>
  <c r="I65" i="26" s="1"/>
  <c r="H64" i="26"/>
  <c r="I64" i="26" s="1"/>
  <c r="H63" i="26"/>
  <c r="I63" i="26" s="1"/>
  <c r="H62" i="26"/>
  <c r="I62" i="26" s="1"/>
  <c r="H61" i="26"/>
  <c r="J61" i="26" s="1"/>
  <c r="H60" i="26"/>
  <c r="I60" i="26" s="1"/>
  <c r="H59" i="26"/>
  <c r="I59" i="26" s="1"/>
  <c r="H58" i="26"/>
  <c r="I58" i="26" s="1"/>
  <c r="H57" i="26"/>
  <c r="I57" i="26" s="1"/>
  <c r="H56" i="26"/>
  <c r="I56" i="26" s="1"/>
  <c r="H55" i="26"/>
  <c r="I55" i="26" s="1"/>
  <c r="H54" i="26"/>
  <c r="I54" i="26" s="1"/>
  <c r="H53" i="26"/>
  <c r="J53" i="26" s="1"/>
  <c r="H52" i="26"/>
  <c r="I52" i="26" s="1"/>
  <c r="H51" i="26"/>
  <c r="I51" i="26" s="1"/>
  <c r="H50" i="26"/>
  <c r="I50" i="26" s="1"/>
  <c r="H49" i="26"/>
  <c r="I49" i="26" s="1"/>
  <c r="H48" i="26"/>
  <c r="I48" i="26" s="1"/>
  <c r="H47" i="26"/>
  <c r="I47" i="26" s="1"/>
  <c r="H46" i="26"/>
  <c r="I46" i="26" s="1"/>
  <c r="H45" i="26"/>
  <c r="J45" i="26" s="1"/>
  <c r="H44" i="26"/>
  <c r="I44" i="26" s="1"/>
  <c r="H43" i="26"/>
  <c r="I43" i="26" s="1"/>
  <c r="H42" i="26"/>
  <c r="I42" i="26" s="1"/>
  <c r="H41" i="26"/>
  <c r="I41" i="26" s="1"/>
  <c r="H40" i="26"/>
  <c r="J40" i="26" s="1"/>
  <c r="H39" i="26"/>
  <c r="I39" i="26" s="1"/>
  <c r="H38" i="26"/>
  <c r="J38" i="26" s="1"/>
  <c r="H37" i="26"/>
  <c r="I37" i="26" s="1"/>
  <c r="H36" i="26"/>
  <c r="I36" i="26" s="1"/>
  <c r="H35" i="26"/>
  <c r="I35" i="26" s="1"/>
  <c r="H34" i="26"/>
  <c r="I34" i="26" s="1"/>
  <c r="H33" i="26"/>
  <c r="J33" i="26" s="1"/>
  <c r="H32" i="26"/>
  <c r="I32" i="26" s="1"/>
  <c r="H31" i="26"/>
  <c r="I31" i="26" s="1"/>
  <c r="H30" i="26"/>
  <c r="I30" i="26" s="1"/>
  <c r="H29" i="26"/>
  <c r="I29" i="26" s="1"/>
  <c r="H28" i="26"/>
  <c r="I28" i="26" s="1"/>
  <c r="H27" i="26"/>
  <c r="I27" i="26" s="1"/>
  <c r="H26" i="26"/>
  <c r="I26" i="26" s="1"/>
  <c r="H25" i="26"/>
  <c r="J25" i="26" s="1"/>
  <c r="B25" i="26"/>
  <c r="H24" i="26"/>
  <c r="I24" i="26" s="1"/>
  <c r="B24" i="26"/>
  <c r="H23" i="26"/>
  <c r="J23" i="26" s="1"/>
  <c r="H22" i="26"/>
  <c r="I22" i="26" s="1"/>
  <c r="B22" i="26"/>
  <c r="H21" i="26"/>
  <c r="I21" i="26" s="1"/>
  <c r="B21" i="26"/>
  <c r="H20" i="26"/>
  <c r="I20" i="26" s="1"/>
  <c r="B20" i="26"/>
  <c r="H19" i="26"/>
  <c r="I19" i="26" s="1"/>
  <c r="B19" i="26"/>
  <c r="H18" i="26"/>
  <c r="I18" i="26" s="1"/>
  <c r="H17" i="26"/>
  <c r="I17" i="26" s="1"/>
  <c r="H16" i="26"/>
  <c r="I16" i="26" s="1"/>
  <c r="H15" i="26"/>
  <c r="I15" i="26" s="1"/>
  <c r="H14" i="26"/>
  <c r="I14" i="26" s="1"/>
  <c r="H13" i="26"/>
  <c r="J13" i="26" s="1"/>
  <c r="H12" i="26"/>
  <c r="I12" i="26" s="1"/>
  <c r="H11" i="26"/>
  <c r="J11" i="26" s="1"/>
  <c r="H10" i="26"/>
  <c r="I10" i="26" s="1"/>
  <c r="H9" i="26"/>
  <c r="I9" i="26" s="1"/>
  <c r="H8" i="26"/>
  <c r="I8" i="26" s="1"/>
  <c r="H7" i="26"/>
  <c r="I7" i="26" s="1"/>
  <c r="H6" i="26"/>
  <c r="I6" i="26" s="1"/>
  <c r="H5" i="26"/>
  <c r="J5" i="26" s="1"/>
  <c r="H250" i="23"/>
  <c r="I250" i="23" s="1"/>
  <c r="H251" i="23"/>
  <c r="J251" i="23" s="1"/>
  <c r="H252" i="23"/>
  <c r="I252" i="23" s="1"/>
  <c r="H253" i="23"/>
  <c r="J253" i="23" s="1"/>
  <c r="H254" i="23"/>
  <c r="J254" i="23" s="1"/>
  <c r="H255" i="23"/>
  <c r="I255" i="23" s="1"/>
  <c r="H256" i="23"/>
  <c r="J256" i="23" s="1"/>
  <c r="H257" i="23"/>
  <c r="J257" i="23" s="1"/>
  <c r="H258" i="23"/>
  <c r="J258" i="23" s="1"/>
  <c r="H259" i="23"/>
  <c r="J259" i="23" s="1"/>
  <c r="H260" i="23"/>
  <c r="I260" i="23" s="1"/>
  <c r="H261" i="23"/>
  <c r="I261" i="23" s="1"/>
  <c r="H262" i="23"/>
  <c r="J262" i="23" s="1"/>
  <c r="H263" i="23"/>
  <c r="I263" i="23" s="1"/>
  <c r="H264" i="23"/>
  <c r="J264" i="23" s="1"/>
  <c r="H265" i="23"/>
  <c r="J265" i="23" s="1"/>
  <c r="H266" i="23"/>
  <c r="J266" i="23" s="1"/>
  <c r="H267" i="23"/>
  <c r="J267" i="23" s="1"/>
  <c r="H268" i="23"/>
  <c r="I268" i="23" s="1"/>
  <c r="H269" i="23"/>
  <c r="J269" i="23" s="1"/>
  <c r="H270" i="23"/>
  <c r="J270" i="23" s="1"/>
  <c r="H271" i="23"/>
  <c r="J271" i="23" s="1"/>
  <c r="H272" i="23"/>
  <c r="I272" i="23" s="1"/>
  <c r="H273" i="23"/>
  <c r="J273" i="23" s="1"/>
  <c r="H274" i="23"/>
  <c r="I274" i="23" s="1"/>
  <c r="H275" i="23"/>
  <c r="J275" i="23" s="1"/>
  <c r="H276" i="23"/>
  <c r="I276" i="23" s="1"/>
  <c r="H277" i="23"/>
  <c r="J277" i="23" s="1"/>
  <c r="H278" i="23"/>
  <c r="J278" i="23" s="1"/>
  <c r="H279" i="23"/>
  <c r="J279" i="23" s="1"/>
  <c r="H280" i="23"/>
  <c r="J280" i="23" s="1"/>
  <c r="H281" i="23"/>
  <c r="J281" i="23" s="1"/>
  <c r="H282" i="23"/>
  <c r="J282" i="23" s="1"/>
  <c r="H216" i="23"/>
  <c r="H217" i="23"/>
  <c r="H5" i="24"/>
  <c r="H6" i="24"/>
  <c r="H7" i="24"/>
  <c r="H8" i="24"/>
  <c r="H9" i="24"/>
  <c r="H10" i="24"/>
  <c r="H11" i="24"/>
  <c r="H12" i="24"/>
  <c r="H13" i="24"/>
  <c r="H14" i="24"/>
  <c r="H15" i="24"/>
  <c r="H16" i="24"/>
  <c r="H17" i="24"/>
  <c r="H18" i="24"/>
  <c r="H19" i="24"/>
  <c r="H20" i="24"/>
  <c r="H21" i="24"/>
  <c r="H22" i="24"/>
  <c r="H23" i="24"/>
  <c r="I60" i="27" l="1"/>
  <c r="J49" i="27"/>
  <c r="I70" i="27"/>
  <c r="J99" i="27"/>
  <c r="I74" i="27"/>
  <c r="J103" i="27"/>
  <c r="J73" i="27"/>
  <c r="I108" i="27"/>
  <c r="J59" i="27"/>
  <c r="I36" i="27"/>
  <c r="J100" i="27"/>
  <c r="J92" i="27"/>
  <c r="I98" i="27"/>
  <c r="I12" i="27"/>
  <c r="J84" i="27"/>
  <c r="J97" i="27"/>
  <c r="J57" i="27"/>
  <c r="J62" i="27"/>
  <c r="J87" i="27"/>
  <c r="J19" i="27"/>
  <c r="I38" i="27"/>
  <c r="J51" i="27"/>
  <c r="I68" i="27"/>
  <c r="I78" i="27"/>
  <c r="I83" i="27"/>
  <c r="I107" i="27"/>
  <c r="I5" i="27"/>
  <c r="I21" i="27"/>
  <c r="J25" i="27"/>
  <c r="I82" i="27"/>
  <c r="J30" i="27"/>
  <c r="J76" i="27"/>
  <c r="J81" i="27"/>
  <c r="J95" i="27"/>
  <c r="J8" i="27"/>
  <c r="I34" i="27"/>
  <c r="J47" i="27"/>
  <c r="J89" i="27"/>
  <c r="I94" i="27"/>
  <c r="J86" i="27"/>
  <c r="J75" i="27"/>
  <c r="I16" i="27"/>
  <c r="J23" i="27"/>
  <c r="I27" i="27"/>
  <c r="J31" i="27"/>
  <c r="I42" i="27"/>
  <c r="I90" i="27"/>
  <c r="J105" i="27"/>
  <c r="J91" i="27"/>
  <c r="J102" i="27"/>
  <c r="J6" i="27"/>
  <c r="J17" i="27"/>
  <c r="J28" i="27"/>
  <c r="J79" i="27"/>
  <c r="I106" i="27"/>
  <c r="J13" i="27"/>
  <c r="J52" i="27"/>
  <c r="J71" i="27"/>
  <c r="J9" i="27"/>
  <c r="I26" i="27"/>
  <c r="J41" i="27"/>
  <c r="J44" i="27"/>
  <c r="J63" i="27"/>
  <c r="J67" i="27"/>
  <c r="J33" i="27"/>
  <c r="J55" i="27"/>
  <c r="J39" i="27"/>
  <c r="J43" i="27"/>
  <c r="J54" i="27"/>
  <c r="I66" i="27"/>
  <c r="J11" i="27"/>
  <c r="J14" i="27"/>
  <c r="J35" i="27"/>
  <c r="J46" i="27"/>
  <c r="I58" i="27"/>
  <c r="I50" i="27"/>
  <c r="J65" i="27"/>
  <c r="I7" i="27"/>
  <c r="I15" i="27"/>
  <c r="I24" i="27"/>
  <c r="I29" i="27"/>
  <c r="I37" i="27"/>
  <c r="I45" i="27"/>
  <c r="I53" i="27"/>
  <c r="I61" i="27"/>
  <c r="I69" i="27"/>
  <c r="I77" i="27"/>
  <c r="I85" i="27"/>
  <c r="I93" i="27"/>
  <c r="I101" i="27"/>
  <c r="I109" i="27"/>
  <c r="J32" i="27"/>
  <c r="J40" i="27"/>
  <c r="J48" i="27"/>
  <c r="J56" i="27"/>
  <c r="J64" i="27"/>
  <c r="J72" i="27"/>
  <c r="J80" i="27"/>
  <c r="J88" i="27"/>
  <c r="J96" i="27"/>
  <c r="J104" i="27"/>
  <c r="J10" i="27"/>
  <c r="J18" i="27"/>
  <c r="J20" i="27"/>
  <c r="J22" i="27"/>
  <c r="I187" i="26"/>
  <c r="J176" i="26"/>
  <c r="I5" i="26"/>
  <c r="J159" i="26"/>
  <c r="J211" i="26"/>
  <c r="I225" i="26"/>
  <c r="J18" i="26"/>
  <c r="J35" i="26"/>
  <c r="J223" i="26"/>
  <c r="J51" i="26"/>
  <c r="J52" i="26"/>
  <c r="J75" i="26"/>
  <c r="J248" i="26"/>
  <c r="I111" i="26"/>
  <c r="J79" i="26"/>
  <c r="J245" i="26"/>
  <c r="I13" i="26"/>
  <c r="I119" i="26"/>
  <c r="J17" i="26"/>
  <c r="J92" i="26"/>
  <c r="J147" i="26"/>
  <c r="J183" i="26"/>
  <c r="I243" i="26"/>
  <c r="J10" i="26"/>
  <c r="J84" i="26"/>
  <c r="I91" i="26"/>
  <c r="J96" i="26"/>
  <c r="I103" i="26"/>
  <c r="J116" i="26"/>
  <c r="I215" i="26"/>
  <c r="I221" i="26"/>
  <c r="J83" i="26"/>
  <c r="J95" i="26"/>
  <c r="J115" i="26"/>
  <c r="J144" i="26"/>
  <c r="J200" i="26"/>
  <c r="J220" i="26"/>
  <c r="J260" i="26"/>
  <c r="J179" i="26"/>
  <c r="J224" i="26"/>
  <c r="J20" i="26"/>
  <c r="J56" i="26"/>
  <c r="J55" i="26"/>
  <c r="J9" i="26"/>
  <c r="J28" i="26"/>
  <c r="J43" i="26"/>
  <c r="J32" i="26"/>
  <c r="J71" i="26"/>
  <c r="J64" i="26"/>
  <c r="J104" i="26"/>
  <c r="J120" i="26"/>
  <c r="J151" i="26"/>
  <c r="I163" i="26"/>
  <c r="J168" i="26"/>
  <c r="I175" i="26"/>
  <c r="I191" i="26"/>
  <c r="J203" i="26"/>
  <c r="I213" i="26"/>
  <c r="J228" i="26"/>
  <c r="I241" i="26"/>
  <c r="I251" i="26"/>
  <c r="I263" i="26"/>
  <c r="J276" i="26"/>
  <c r="J132" i="26"/>
  <c r="J167" i="26"/>
  <c r="I207" i="26"/>
  <c r="J212" i="26"/>
  <c r="I227" i="26"/>
  <c r="I233" i="26"/>
  <c r="J143" i="26"/>
  <c r="I155" i="26"/>
  <c r="I189" i="26"/>
  <c r="J244" i="26"/>
  <c r="I255" i="26"/>
  <c r="I261" i="26"/>
  <c r="I279" i="26"/>
  <c r="J107" i="26"/>
  <c r="I131" i="26"/>
  <c r="J136" i="26"/>
  <c r="J135" i="26"/>
  <c r="J164" i="26"/>
  <c r="I199" i="26"/>
  <c r="J204" i="26"/>
  <c r="J236" i="26"/>
  <c r="I247" i="26"/>
  <c r="J264" i="26"/>
  <c r="I271" i="26"/>
  <c r="I277" i="26"/>
  <c r="J123" i="26"/>
  <c r="J127" i="26"/>
  <c r="I87" i="26"/>
  <c r="J100" i="26"/>
  <c r="J140" i="26"/>
  <c r="I149" i="26"/>
  <c r="J172" i="26"/>
  <c r="I181" i="26"/>
  <c r="I195" i="26"/>
  <c r="J208" i="26"/>
  <c r="I217" i="26"/>
  <c r="I231" i="26"/>
  <c r="I235" i="26"/>
  <c r="J240" i="26"/>
  <c r="I253" i="26"/>
  <c r="I257" i="26"/>
  <c r="J76" i="26"/>
  <c r="J99" i="26"/>
  <c r="J108" i="26"/>
  <c r="I117" i="26"/>
  <c r="J139" i="26"/>
  <c r="J148" i="26"/>
  <c r="J152" i="26"/>
  <c r="J171" i="26"/>
  <c r="J180" i="26"/>
  <c r="J184" i="26"/>
  <c r="J216" i="26"/>
  <c r="I239" i="26"/>
  <c r="J252" i="26"/>
  <c r="J256" i="26"/>
  <c r="I265" i="26"/>
  <c r="I275" i="26"/>
  <c r="J80" i="26"/>
  <c r="J112" i="26"/>
  <c r="I125" i="26"/>
  <c r="J156" i="26"/>
  <c r="J188" i="26"/>
  <c r="J88" i="26"/>
  <c r="J124" i="26"/>
  <c r="J128" i="26"/>
  <c r="J196" i="26"/>
  <c r="I219" i="26"/>
  <c r="J232" i="26"/>
  <c r="I259" i="26"/>
  <c r="J268" i="26"/>
  <c r="I273" i="26"/>
  <c r="I249" i="26"/>
  <c r="I267" i="26"/>
  <c r="J272" i="26"/>
  <c r="J59" i="26"/>
  <c r="J68" i="26"/>
  <c r="J27" i="26"/>
  <c r="J36" i="26"/>
  <c r="J63" i="26"/>
  <c r="J72" i="26"/>
  <c r="J6" i="26"/>
  <c r="J22" i="26"/>
  <c r="J31" i="26"/>
  <c r="J44" i="26"/>
  <c r="J67" i="26"/>
  <c r="J19" i="26"/>
  <c r="J48" i="26"/>
  <c r="J14" i="26"/>
  <c r="J21" i="26"/>
  <c r="J47" i="26"/>
  <c r="J60" i="26"/>
  <c r="J8" i="26"/>
  <c r="I11" i="26"/>
  <c r="J16" i="26"/>
  <c r="I23" i="26"/>
  <c r="I25" i="26"/>
  <c r="J30" i="26"/>
  <c r="I33" i="26"/>
  <c r="I38" i="26"/>
  <c r="I40" i="26"/>
  <c r="J42" i="26"/>
  <c r="I45" i="26"/>
  <c r="J50" i="26"/>
  <c r="I53" i="26"/>
  <c r="J58" i="26"/>
  <c r="I61" i="26"/>
  <c r="J66" i="26"/>
  <c r="I69" i="26"/>
  <c r="J74" i="26"/>
  <c r="I77" i="26"/>
  <c r="J82" i="26"/>
  <c r="I85" i="26"/>
  <c r="J90" i="26"/>
  <c r="I93" i="26"/>
  <c r="J98" i="26"/>
  <c r="I101" i="26"/>
  <c r="J106" i="26"/>
  <c r="I109" i="26"/>
  <c r="J114" i="26"/>
  <c r="J122" i="26"/>
  <c r="J130" i="26"/>
  <c r="I133" i="26"/>
  <c r="J138" i="26"/>
  <c r="I141" i="26"/>
  <c r="J146" i="26"/>
  <c r="J154" i="26"/>
  <c r="I157" i="26"/>
  <c r="J162" i="26"/>
  <c r="I165" i="26"/>
  <c r="J170" i="26"/>
  <c r="I173" i="26"/>
  <c r="J178" i="26"/>
  <c r="J186" i="26"/>
  <c r="J194" i="26"/>
  <c r="I197" i="26"/>
  <c r="J202" i="26"/>
  <c r="I205" i="26"/>
  <c r="J210" i="26"/>
  <c r="J218" i="26"/>
  <c r="J226" i="26"/>
  <c r="I229" i="26"/>
  <c r="J234" i="26"/>
  <c r="I237" i="26"/>
  <c r="J242" i="26"/>
  <c r="J250" i="26"/>
  <c r="J258" i="26"/>
  <c r="J266" i="26"/>
  <c r="I269" i="26"/>
  <c r="J274" i="26"/>
  <c r="J282" i="26"/>
  <c r="J7" i="26"/>
  <c r="J15" i="26"/>
  <c r="J24" i="26"/>
  <c r="J29" i="26"/>
  <c r="J37" i="26"/>
  <c r="J39" i="26"/>
  <c r="J41" i="26"/>
  <c r="J49" i="26"/>
  <c r="J57" i="26"/>
  <c r="J65" i="26"/>
  <c r="J73" i="26"/>
  <c r="J81" i="26"/>
  <c r="J89" i="26"/>
  <c r="J97" i="26"/>
  <c r="J105" i="26"/>
  <c r="J113" i="26"/>
  <c r="J121" i="26"/>
  <c r="J129" i="26"/>
  <c r="J137" i="26"/>
  <c r="J145" i="26"/>
  <c r="J153" i="26"/>
  <c r="J161" i="26"/>
  <c r="J169" i="26"/>
  <c r="J177" i="26"/>
  <c r="J185" i="26"/>
  <c r="J193" i="26"/>
  <c r="J201" i="26"/>
  <c r="J209" i="26"/>
  <c r="J281" i="26"/>
  <c r="J12" i="26"/>
  <c r="J26" i="26"/>
  <c r="J34" i="26"/>
  <c r="J46" i="26"/>
  <c r="J54" i="26"/>
  <c r="J62" i="26"/>
  <c r="J70" i="26"/>
  <c r="J78" i="26"/>
  <c r="J86" i="26"/>
  <c r="J94" i="26"/>
  <c r="J102" i="26"/>
  <c r="J110" i="26"/>
  <c r="J118" i="26"/>
  <c r="J126" i="26"/>
  <c r="J134" i="26"/>
  <c r="J142" i="26"/>
  <c r="J150" i="26"/>
  <c r="J158" i="26"/>
  <c r="J166" i="26"/>
  <c r="J174" i="26"/>
  <c r="J182" i="26"/>
  <c r="J190" i="26"/>
  <c r="J198" i="26"/>
  <c r="J206" i="26"/>
  <c r="J214" i="26"/>
  <c r="J222" i="26"/>
  <c r="J230" i="26"/>
  <c r="J238" i="26"/>
  <c r="J246" i="26"/>
  <c r="J254" i="26"/>
  <c r="J262" i="26"/>
  <c r="J270" i="26"/>
  <c r="J278" i="26"/>
  <c r="J160" i="26"/>
  <c r="J192" i="26"/>
  <c r="J280" i="26"/>
  <c r="I262" i="23"/>
  <c r="I269" i="23"/>
  <c r="J263" i="23"/>
  <c r="J260" i="23"/>
  <c r="J255" i="23"/>
  <c r="J268" i="23"/>
  <c r="J250" i="23"/>
  <c r="I282" i="23"/>
  <c r="I279" i="23"/>
  <c r="J274" i="23"/>
  <c r="I270" i="23"/>
  <c r="I266" i="23"/>
  <c r="J252" i="23"/>
  <c r="I278" i="23"/>
  <c r="I258" i="23"/>
  <c r="I271" i="23"/>
  <c r="J276" i="23"/>
  <c r="I254" i="23"/>
  <c r="I253" i="23"/>
  <c r="I280" i="23"/>
  <c r="I264" i="23"/>
  <c r="J261" i="23"/>
  <c r="I256" i="23"/>
  <c r="I275" i="23"/>
  <c r="J272" i="23"/>
  <c r="I267" i="23"/>
  <c r="I259" i="23"/>
  <c r="I251" i="23"/>
  <c r="I281" i="23"/>
  <c r="I273" i="23"/>
  <c r="I265" i="23"/>
  <c r="I257" i="23"/>
  <c r="I277" i="23"/>
  <c r="J15" i="24"/>
  <c r="J16" i="24"/>
  <c r="I17" i="24"/>
  <c r="J18" i="24"/>
  <c r="J19" i="24"/>
  <c r="J20" i="24"/>
  <c r="J21" i="24"/>
  <c r="J22" i="24"/>
  <c r="I20" i="24" l="1"/>
  <c r="I16" i="24"/>
  <c r="J17" i="24"/>
  <c r="I15" i="24"/>
  <c r="I18" i="24"/>
  <c r="I21" i="24"/>
  <c r="I19" i="24"/>
  <c r="I22" i="24"/>
  <c r="H38" i="24"/>
  <c r="I38" i="24" s="1"/>
  <c r="H39" i="24"/>
  <c r="J39" i="24" s="1"/>
  <c r="H40" i="24"/>
  <c r="I40" i="24" s="1"/>
  <c r="H41" i="24"/>
  <c r="J41" i="24" s="1"/>
  <c r="H42" i="24"/>
  <c r="J42" i="24" s="1"/>
  <c r="H43" i="24"/>
  <c r="I43" i="24" s="1"/>
  <c r="H44" i="24"/>
  <c r="I44" i="24" s="1"/>
  <c r="H45" i="24"/>
  <c r="J45" i="24" s="1"/>
  <c r="H46" i="24"/>
  <c r="J46" i="24" s="1"/>
  <c r="H47" i="24"/>
  <c r="J47" i="24" s="1"/>
  <c r="H48" i="24"/>
  <c r="I48" i="24" s="1"/>
  <c r="H49" i="24"/>
  <c r="J49" i="24" s="1"/>
  <c r="H50" i="24"/>
  <c r="J50" i="24" s="1"/>
  <c r="H51" i="24"/>
  <c r="I51" i="24" s="1"/>
  <c r="H52" i="24"/>
  <c r="I52" i="24" s="1"/>
  <c r="H53" i="24"/>
  <c r="J53" i="24" s="1"/>
  <c r="H54" i="24"/>
  <c r="I54" i="24" s="1"/>
  <c r="H55" i="24"/>
  <c r="J55" i="24" s="1"/>
  <c r="H56" i="24"/>
  <c r="I56" i="24" s="1"/>
  <c r="H57" i="24"/>
  <c r="J57" i="24" s="1"/>
  <c r="H58" i="24"/>
  <c r="J58" i="24" s="1"/>
  <c r="H59" i="24"/>
  <c r="I59" i="24" s="1"/>
  <c r="H60" i="24"/>
  <c r="I60" i="24" s="1"/>
  <c r="H61" i="24"/>
  <c r="J61" i="24" s="1"/>
  <c r="H62" i="24"/>
  <c r="J62" i="24" s="1"/>
  <c r="H63" i="24"/>
  <c r="J63" i="24" s="1"/>
  <c r="H64" i="24"/>
  <c r="I64" i="24" s="1"/>
  <c r="H65" i="24"/>
  <c r="J65" i="24" s="1"/>
  <c r="H66" i="24"/>
  <c r="J66" i="24" s="1"/>
  <c r="H67" i="24"/>
  <c r="J67" i="24" s="1"/>
  <c r="H68" i="24"/>
  <c r="I68" i="24" s="1"/>
  <c r="H69" i="24"/>
  <c r="J69" i="24" s="1"/>
  <c r="H70" i="24"/>
  <c r="J70" i="24" s="1"/>
  <c r="H71" i="24"/>
  <c r="I71" i="24" s="1"/>
  <c r="H72" i="24"/>
  <c r="I72" i="24" s="1"/>
  <c r="H73" i="24"/>
  <c r="J73" i="24" s="1"/>
  <c r="H74" i="24"/>
  <c r="J74" i="24" s="1"/>
  <c r="H75" i="24"/>
  <c r="J75" i="24" s="1"/>
  <c r="H76" i="24"/>
  <c r="I76" i="24" s="1"/>
  <c r="H77" i="24"/>
  <c r="J77" i="24" s="1"/>
  <c r="H78" i="24"/>
  <c r="J78" i="24" s="1"/>
  <c r="H79" i="24"/>
  <c r="J79" i="24" s="1"/>
  <c r="H80" i="24"/>
  <c r="I80" i="24" s="1"/>
  <c r="H81" i="24"/>
  <c r="J81" i="24" s="1"/>
  <c r="H82" i="24"/>
  <c r="J82" i="24" s="1"/>
  <c r="H83" i="24"/>
  <c r="J83" i="24" s="1"/>
  <c r="H84" i="24"/>
  <c r="I84" i="24" s="1"/>
  <c r="H85" i="24"/>
  <c r="J85" i="24" s="1"/>
  <c r="H86" i="24"/>
  <c r="I86" i="24" s="1"/>
  <c r="H87" i="24"/>
  <c r="J87" i="24" s="1"/>
  <c r="H88" i="24"/>
  <c r="I88" i="24" s="1"/>
  <c r="H89" i="24"/>
  <c r="J89" i="24" s="1"/>
  <c r="H90" i="24"/>
  <c r="J90" i="24" s="1"/>
  <c r="H91" i="24"/>
  <c r="J91" i="24" s="1"/>
  <c r="H92" i="24"/>
  <c r="I92" i="24" s="1"/>
  <c r="H93" i="24"/>
  <c r="J93" i="24" s="1"/>
  <c r="H94" i="24"/>
  <c r="J94" i="24" s="1"/>
  <c r="H95" i="24"/>
  <c r="J95" i="24" s="1"/>
  <c r="H96" i="24"/>
  <c r="I96" i="24" s="1"/>
  <c r="H97" i="24"/>
  <c r="J97" i="24" s="1"/>
  <c r="H98" i="24"/>
  <c r="J98" i="24" s="1"/>
  <c r="H99" i="24"/>
  <c r="I99" i="24" s="1"/>
  <c r="H100" i="24"/>
  <c r="I100" i="24" s="1"/>
  <c r="H101" i="24"/>
  <c r="J101" i="24" s="1"/>
  <c r="H102" i="24"/>
  <c r="J102" i="24" s="1"/>
  <c r="H103" i="24"/>
  <c r="I103" i="24" s="1"/>
  <c r="H104" i="24"/>
  <c r="I104" i="24" s="1"/>
  <c r="H105" i="24"/>
  <c r="J105" i="24" s="1"/>
  <c r="H106" i="24"/>
  <c r="I106" i="24" s="1"/>
  <c r="H107" i="24"/>
  <c r="J107" i="24" s="1"/>
  <c r="H108" i="24"/>
  <c r="I108" i="24" s="1"/>
  <c r="H109" i="24"/>
  <c r="J109" i="24" s="1"/>
  <c r="H110" i="24"/>
  <c r="J110" i="24" s="1"/>
  <c r="H111" i="24"/>
  <c r="I111" i="24" s="1"/>
  <c r="H112" i="24"/>
  <c r="I112" i="24" s="1"/>
  <c r="H113" i="24"/>
  <c r="J113" i="24" s="1"/>
  <c r="H114" i="24"/>
  <c r="J114" i="24" s="1"/>
  <c r="H115" i="24"/>
  <c r="J115" i="24" s="1"/>
  <c r="H116" i="24"/>
  <c r="I116" i="24" s="1"/>
  <c r="H117" i="24"/>
  <c r="J117" i="24" s="1"/>
  <c r="H118" i="24"/>
  <c r="J118" i="24" s="1"/>
  <c r="H119" i="24"/>
  <c r="J119" i="24" s="1"/>
  <c r="H120" i="24"/>
  <c r="I120" i="24" s="1"/>
  <c r="H121" i="24"/>
  <c r="J121" i="24" s="1"/>
  <c r="H122" i="24"/>
  <c r="J122" i="24" s="1"/>
  <c r="H123" i="24"/>
  <c r="J123" i="24" s="1"/>
  <c r="H124" i="24"/>
  <c r="I124" i="24" s="1"/>
  <c r="H125" i="24"/>
  <c r="J125" i="24" s="1"/>
  <c r="H126" i="24"/>
  <c r="J126" i="24" s="1"/>
  <c r="H127" i="24"/>
  <c r="J127" i="24" s="1"/>
  <c r="H128" i="24"/>
  <c r="I128" i="24" s="1"/>
  <c r="H129" i="24"/>
  <c r="J129" i="24" s="1"/>
  <c r="H130" i="24"/>
  <c r="J130" i="24" s="1"/>
  <c r="H131" i="24"/>
  <c r="J131" i="24" s="1"/>
  <c r="H132" i="24"/>
  <c r="I132" i="24" s="1"/>
  <c r="H133" i="24"/>
  <c r="J133" i="24" s="1"/>
  <c r="H134" i="24"/>
  <c r="J134" i="24" s="1"/>
  <c r="H135" i="24"/>
  <c r="J135" i="24" s="1"/>
  <c r="H136" i="24"/>
  <c r="I136" i="24" s="1"/>
  <c r="H137" i="24"/>
  <c r="J137" i="24" s="1"/>
  <c r="H138" i="24"/>
  <c r="J138" i="24" s="1"/>
  <c r="H139" i="24"/>
  <c r="J139" i="24" s="1"/>
  <c r="H140" i="24"/>
  <c r="I140" i="24" s="1"/>
  <c r="H141" i="24"/>
  <c r="J141" i="24" s="1"/>
  <c r="H142" i="24"/>
  <c r="J142" i="24" s="1"/>
  <c r="H143" i="24"/>
  <c r="J143" i="24" s="1"/>
  <c r="H144" i="24"/>
  <c r="I144" i="24" s="1"/>
  <c r="H145" i="24"/>
  <c r="J145" i="24" s="1"/>
  <c r="H146" i="24"/>
  <c r="J146" i="24" s="1"/>
  <c r="H147" i="24"/>
  <c r="J147" i="24" s="1"/>
  <c r="H148" i="24"/>
  <c r="I148" i="24" s="1"/>
  <c r="H149" i="24"/>
  <c r="J149" i="24" s="1"/>
  <c r="H150" i="24"/>
  <c r="J150" i="24" s="1"/>
  <c r="H151" i="24"/>
  <c r="J151" i="24" s="1"/>
  <c r="H152" i="24"/>
  <c r="I152" i="24" s="1"/>
  <c r="H153" i="24"/>
  <c r="J153" i="24" s="1"/>
  <c r="H154" i="24"/>
  <c r="J154" i="24" s="1"/>
  <c r="H155" i="24"/>
  <c r="J155" i="24" s="1"/>
  <c r="H156" i="24"/>
  <c r="I156" i="24" s="1"/>
  <c r="H157" i="24"/>
  <c r="J157" i="24" s="1"/>
  <c r="H158" i="24"/>
  <c r="J158" i="24" s="1"/>
  <c r="H159" i="24"/>
  <c r="J159" i="24" s="1"/>
  <c r="H160" i="24"/>
  <c r="I160" i="24" s="1"/>
  <c r="H161" i="24"/>
  <c r="J161" i="24" s="1"/>
  <c r="H162" i="24"/>
  <c r="J162" i="24" s="1"/>
  <c r="H163" i="24"/>
  <c r="J163" i="24" s="1"/>
  <c r="H164" i="24"/>
  <c r="I164" i="24" s="1"/>
  <c r="H165" i="24"/>
  <c r="J165" i="24" s="1"/>
  <c r="H166" i="24"/>
  <c r="J166" i="24" s="1"/>
  <c r="H167" i="24"/>
  <c r="J167" i="24" s="1"/>
  <c r="H168" i="24"/>
  <c r="I168" i="24" s="1"/>
  <c r="H169" i="24"/>
  <c r="J169" i="24" s="1"/>
  <c r="H170" i="24"/>
  <c r="J170" i="24" s="1"/>
  <c r="H171" i="24"/>
  <c r="J171" i="24" s="1"/>
  <c r="H172" i="24"/>
  <c r="I172" i="24" s="1"/>
  <c r="H173" i="24"/>
  <c r="J173" i="24" s="1"/>
  <c r="H174" i="24"/>
  <c r="J174" i="24" s="1"/>
  <c r="H175" i="24"/>
  <c r="J175" i="24" s="1"/>
  <c r="H176" i="24"/>
  <c r="I176" i="24" s="1"/>
  <c r="H177" i="24"/>
  <c r="J177" i="24" s="1"/>
  <c r="H178" i="24"/>
  <c r="J178" i="24" s="1"/>
  <c r="H179" i="24"/>
  <c r="J179" i="24" s="1"/>
  <c r="H180" i="24"/>
  <c r="I180" i="24" s="1"/>
  <c r="H181" i="24"/>
  <c r="J181" i="24" s="1"/>
  <c r="H182" i="24"/>
  <c r="J182" i="24" s="1"/>
  <c r="H183" i="24"/>
  <c r="J183" i="24" s="1"/>
  <c r="H184" i="24"/>
  <c r="I184" i="24" s="1"/>
  <c r="H185" i="24"/>
  <c r="J185" i="24" s="1"/>
  <c r="H186" i="24"/>
  <c r="J186" i="24" s="1"/>
  <c r="H187" i="24"/>
  <c r="I187" i="24" s="1"/>
  <c r="H188" i="24"/>
  <c r="I188" i="24" s="1"/>
  <c r="H189" i="24"/>
  <c r="J189" i="24" s="1"/>
  <c r="H190" i="24"/>
  <c r="J190" i="24" s="1"/>
  <c r="H191" i="24"/>
  <c r="I191" i="24" s="1"/>
  <c r="H192" i="24"/>
  <c r="I192" i="24" s="1"/>
  <c r="H193" i="24"/>
  <c r="J193" i="24" s="1"/>
  <c r="H194" i="24"/>
  <c r="I194" i="24" s="1"/>
  <c r="H195" i="24"/>
  <c r="J195" i="24" s="1"/>
  <c r="H196" i="24"/>
  <c r="I196" i="24" s="1"/>
  <c r="H197" i="24"/>
  <c r="J197" i="24" s="1"/>
  <c r="H198" i="24"/>
  <c r="J198" i="24" s="1"/>
  <c r="H199" i="24"/>
  <c r="J199" i="24" s="1"/>
  <c r="H200" i="24"/>
  <c r="I200" i="24" s="1"/>
  <c r="H201" i="24"/>
  <c r="J201" i="24" s="1"/>
  <c r="H202" i="24"/>
  <c r="J202" i="24" s="1"/>
  <c r="H203" i="24"/>
  <c r="I203" i="24" s="1"/>
  <c r="H204" i="24"/>
  <c r="I204" i="24" s="1"/>
  <c r="H205" i="24"/>
  <c r="J205" i="24" s="1"/>
  <c r="H206" i="24"/>
  <c r="J206" i="24" s="1"/>
  <c r="H207" i="24"/>
  <c r="J207" i="24" s="1"/>
  <c r="H208" i="24"/>
  <c r="I208" i="24" s="1"/>
  <c r="H209" i="24"/>
  <c r="J209" i="24" s="1"/>
  <c r="H210" i="24"/>
  <c r="J210" i="24" s="1"/>
  <c r="H211" i="24"/>
  <c r="J211" i="24" s="1"/>
  <c r="H212" i="24"/>
  <c r="I212" i="24" s="1"/>
  <c r="H213" i="24"/>
  <c r="J213" i="24" s="1"/>
  <c r="H214" i="24"/>
  <c r="J214" i="24" s="1"/>
  <c r="H215" i="24"/>
  <c r="J215" i="24" s="1"/>
  <c r="H216" i="24"/>
  <c r="I216" i="24" s="1"/>
  <c r="H217" i="24"/>
  <c r="J217" i="24" s="1"/>
  <c r="H218" i="24"/>
  <c r="J218" i="24" s="1"/>
  <c r="H219" i="24"/>
  <c r="J219" i="24" s="1"/>
  <c r="H220" i="24"/>
  <c r="I220" i="24" s="1"/>
  <c r="H221" i="24"/>
  <c r="J221" i="24" s="1"/>
  <c r="H222" i="24"/>
  <c r="J222" i="24" s="1"/>
  <c r="H223" i="24"/>
  <c r="J223" i="24" s="1"/>
  <c r="H224" i="24"/>
  <c r="I224" i="24" s="1"/>
  <c r="H225" i="24"/>
  <c r="J225" i="24" s="1"/>
  <c r="H226" i="24"/>
  <c r="I226" i="24" s="1"/>
  <c r="H227" i="24"/>
  <c r="J227" i="24" s="1"/>
  <c r="H228" i="24"/>
  <c r="I228" i="24" s="1"/>
  <c r="H229" i="24"/>
  <c r="J229" i="24" s="1"/>
  <c r="H230" i="24"/>
  <c r="J230" i="24" s="1"/>
  <c r="H231" i="24"/>
  <c r="J231" i="24" s="1"/>
  <c r="H232" i="24"/>
  <c r="I232" i="24" s="1"/>
  <c r="H233" i="24"/>
  <c r="J233" i="24" s="1"/>
  <c r="H234" i="24"/>
  <c r="J234" i="24" s="1"/>
  <c r="H235" i="24"/>
  <c r="I235" i="24" s="1"/>
  <c r="H236" i="24"/>
  <c r="I236" i="24" s="1"/>
  <c r="H237" i="24"/>
  <c r="J237" i="24" s="1"/>
  <c r="H238" i="24"/>
  <c r="J238" i="24" s="1"/>
  <c r="H239" i="24"/>
  <c r="J239" i="24" s="1"/>
  <c r="H240" i="24"/>
  <c r="I240" i="24" s="1"/>
  <c r="H241" i="24"/>
  <c r="J241" i="24" s="1"/>
  <c r="H242" i="24"/>
  <c r="I242" i="24" s="1"/>
  <c r="H243" i="24"/>
  <c r="J243" i="24" s="1"/>
  <c r="H244" i="24"/>
  <c r="I244" i="24" s="1"/>
  <c r="H245" i="24"/>
  <c r="J245" i="24" s="1"/>
  <c r="H246" i="24"/>
  <c r="J246" i="24" s="1"/>
  <c r="H247" i="24"/>
  <c r="J247" i="24" s="1"/>
  <c r="H248" i="24"/>
  <c r="I248" i="24" s="1"/>
  <c r="H249" i="24"/>
  <c r="J249" i="24" s="1"/>
  <c r="I163" i="24" l="1"/>
  <c r="I199" i="24"/>
  <c r="J228" i="24"/>
  <c r="J128" i="24"/>
  <c r="I231" i="24"/>
  <c r="J180" i="24"/>
  <c r="J196" i="24"/>
  <c r="J152" i="24"/>
  <c r="J160" i="24"/>
  <c r="I147" i="24"/>
  <c r="I126" i="24"/>
  <c r="J136" i="24"/>
  <c r="I123" i="24"/>
  <c r="J116" i="24"/>
  <c r="J168" i="24"/>
  <c r="I155" i="24"/>
  <c r="J212" i="24"/>
  <c r="I239" i="24"/>
  <c r="J220" i="24"/>
  <c r="I207" i="24"/>
  <c r="I175" i="24"/>
  <c r="I150" i="24"/>
  <c r="J144" i="24"/>
  <c r="I131" i="24"/>
  <c r="I119" i="24"/>
  <c r="I215" i="24"/>
  <c r="I190" i="24"/>
  <c r="I139" i="24"/>
  <c r="J244" i="24"/>
  <c r="I247" i="24"/>
  <c r="J235" i="24"/>
  <c r="J203" i="24"/>
  <c r="J184" i="24"/>
  <c r="I171" i="24"/>
  <c r="I53" i="24"/>
  <c r="I110" i="24"/>
  <c r="J111" i="24"/>
  <c r="I107" i="24"/>
  <c r="J103" i="24"/>
  <c r="I91" i="24"/>
  <c r="J108" i="24"/>
  <c r="J99" i="24"/>
  <c r="I94" i="24"/>
  <c r="J100" i="24"/>
  <c r="I95" i="24"/>
  <c r="J86" i="24"/>
  <c r="I87" i="24"/>
  <c r="J68" i="24"/>
  <c r="J59" i="24"/>
  <c r="J51" i="24"/>
  <c r="I46" i="24"/>
  <c r="J43" i="24"/>
  <c r="I63" i="24"/>
  <c r="J54" i="24"/>
  <c r="J60" i="24"/>
  <c r="I55" i="24"/>
  <c r="I227" i="24"/>
  <c r="J208" i="24"/>
  <c r="J38" i="24"/>
  <c r="I195" i="24"/>
  <c r="I158" i="24"/>
  <c r="I142" i="24"/>
  <c r="I134" i="24"/>
  <c r="I223" i="24"/>
  <c r="I166" i="24"/>
  <c r="J232" i="24"/>
  <c r="I219" i="24"/>
  <c r="J200" i="24"/>
  <c r="J191" i="24"/>
  <c r="J187" i="24"/>
  <c r="I183" i="24"/>
  <c r="I179" i="24"/>
  <c r="I118" i="24"/>
  <c r="J92" i="24"/>
  <c r="J52" i="24"/>
  <c r="I47" i="24"/>
  <c r="J84" i="24"/>
  <c r="I70" i="24"/>
  <c r="I61" i="24"/>
  <c r="J44" i="24"/>
  <c r="J240" i="24"/>
  <c r="I182" i="24"/>
  <c r="J236" i="24"/>
  <c r="I243" i="24"/>
  <c r="J224" i="24"/>
  <c r="I211" i="24"/>
  <c r="J192" i="24"/>
  <c r="J188" i="24"/>
  <c r="I167" i="24"/>
  <c r="I159" i="24"/>
  <c r="I151" i="24"/>
  <c r="I143" i="24"/>
  <c r="I135" i="24"/>
  <c r="I127" i="24"/>
  <c r="I115" i="24"/>
  <c r="I102" i="24"/>
  <c r="I41" i="24"/>
  <c r="J204" i="24"/>
  <c r="I67" i="24"/>
  <c r="I62" i="24"/>
  <c r="I45" i="24"/>
  <c r="I174" i="24"/>
  <c r="J248" i="24"/>
  <c r="J216" i="24"/>
  <c r="J176" i="24"/>
  <c r="J172" i="24"/>
  <c r="J164" i="24"/>
  <c r="J156" i="24"/>
  <c r="J148" i="24"/>
  <c r="J140" i="24"/>
  <c r="J132" i="24"/>
  <c r="J124" i="24"/>
  <c r="J71" i="24"/>
  <c r="J76" i="24"/>
  <c r="I78" i="24"/>
  <c r="I83" i="24"/>
  <c r="I75" i="24"/>
  <c r="I79" i="24"/>
  <c r="J120" i="24"/>
  <c r="J112" i="24"/>
  <c r="J104" i="24"/>
  <c r="J96" i="24"/>
  <c r="J88" i="24"/>
  <c r="J80" i="24"/>
  <c r="J72" i="24"/>
  <c r="J64" i="24"/>
  <c r="J56" i="24"/>
  <c r="J48" i="24"/>
  <c r="J40" i="24"/>
  <c r="I246" i="24"/>
  <c r="I222" i="24"/>
  <c r="I214" i="24"/>
  <c r="I206" i="24"/>
  <c r="I198" i="24"/>
  <c r="I238" i="24"/>
  <c r="I241" i="24"/>
  <c r="I225" i="24"/>
  <c r="I193" i="24"/>
  <c r="I185" i="24"/>
  <c r="I177" i="24"/>
  <c r="I161" i="24"/>
  <c r="I153" i="24"/>
  <c r="I145" i="24"/>
  <c r="I137" i="24"/>
  <c r="I129" i="24"/>
  <c r="I121" i="24"/>
  <c r="I113" i="24"/>
  <c r="I105" i="24"/>
  <c r="I97" i="24"/>
  <c r="I89" i="24"/>
  <c r="I81" i="24"/>
  <c r="I73" i="24"/>
  <c r="I65" i="24"/>
  <c r="I57" i="24"/>
  <c r="I49" i="24"/>
  <c r="I230" i="24"/>
  <c r="I249" i="24"/>
  <c r="I233" i="24"/>
  <c r="I217" i="24"/>
  <c r="I209" i="24"/>
  <c r="I201" i="24"/>
  <c r="I169" i="24"/>
  <c r="I39" i="24"/>
  <c r="I218" i="24"/>
  <c r="I210" i="24"/>
  <c r="I186" i="24"/>
  <c r="I178" i="24"/>
  <c r="I170" i="24"/>
  <c r="I154" i="24"/>
  <c r="I146" i="24"/>
  <c r="I138" i="24"/>
  <c r="I98" i="24"/>
  <c r="I90" i="24"/>
  <c r="I82" i="24"/>
  <c r="I74" i="24"/>
  <c r="I66" i="24"/>
  <c r="I58" i="24"/>
  <c r="I50" i="24"/>
  <c r="I42" i="24"/>
  <c r="I234" i="24"/>
  <c r="I202" i="24"/>
  <c r="I162" i="24"/>
  <c r="I122" i="24"/>
  <c r="I114" i="24"/>
  <c r="J242" i="24"/>
  <c r="I237" i="24"/>
  <c r="I229" i="24"/>
  <c r="J226" i="24"/>
  <c r="J194" i="24"/>
  <c r="I181" i="24"/>
  <c r="I157" i="24"/>
  <c r="I149" i="24"/>
  <c r="I125" i="24"/>
  <c r="I109" i="24"/>
  <c r="J106" i="24"/>
  <c r="I101" i="24"/>
  <c r="I93" i="24"/>
  <c r="I85" i="24"/>
  <c r="I77" i="24"/>
  <c r="I69" i="24"/>
  <c r="I130" i="24"/>
  <c r="I245" i="24"/>
  <c r="I221" i="24"/>
  <c r="I213" i="24"/>
  <c r="I205" i="24"/>
  <c r="I197" i="24"/>
  <c r="I189" i="24"/>
  <c r="I173" i="24"/>
  <c r="I165" i="24"/>
  <c r="I141" i="24"/>
  <c r="I133" i="24"/>
  <c r="I117" i="24"/>
  <c r="H26" i="24"/>
  <c r="I26" i="24" s="1"/>
  <c r="H27" i="24"/>
  <c r="I27" i="24" s="1"/>
  <c r="H28" i="24"/>
  <c r="I28" i="24" s="1"/>
  <c r="H29" i="24"/>
  <c r="I29" i="24" s="1"/>
  <c r="H30" i="24"/>
  <c r="I30" i="24" s="1"/>
  <c r="H31" i="24"/>
  <c r="I31" i="24" s="1"/>
  <c r="H32" i="24"/>
  <c r="I32" i="24" s="1"/>
  <c r="H33" i="24"/>
  <c r="I33" i="24" s="1"/>
  <c r="H34" i="24"/>
  <c r="I34" i="24" s="1"/>
  <c r="H35" i="24"/>
  <c r="I35" i="24" s="1"/>
  <c r="H36" i="24"/>
  <c r="I36" i="24" s="1"/>
  <c r="H37" i="24"/>
  <c r="I37" i="24" s="1"/>
  <c r="H25" i="24"/>
  <c r="I25" i="24" s="1"/>
  <c r="B25" i="24"/>
  <c r="H24" i="24"/>
  <c r="I24" i="24" s="1"/>
  <c r="B24" i="24"/>
  <c r="I23" i="24"/>
  <c r="B22" i="24"/>
  <c r="B21" i="24"/>
  <c r="B20" i="24"/>
  <c r="B19" i="24"/>
  <c r="J14" i="24"/>
  <c r="I13" i="24"/>
  <c r="J12" i="24"/>
  <c r="I11" i="24"/>
  <c r="J10" i="24"/>
  <c r="I9" i="24"/>
  <c r="J8" i="24"/>
  <c r="I7" i="24"/>
  <c r="J6" i="24"/>
  <c r="I5" i="24"/>
  <c r="H246" i="23"/>
  <c r="I246" i="23" s="1"/>
  <c r="H247" i="23"/>
  <c r="J247" i="23" s="1"/>
  <c r="H248" i="23"/>
  <c r="J248" i="23" s="1"/>
  <c r="H249" i="23"/>
  <c r="J249" i="23" s="1"/>
  <c r="H181" i="23"/>
  <c r="I181" i="23" s="1"/>
  <c r="H182" i="23"/>
  <c r="J182" i="23" s="1"/>
  <c r="H183" i="23"/>
  <c r="J183" i="23" s="1"/>
  <c r="H184" i="23"/>
  <c r="I184" i="23" s="1"/>
  <c r="H185" i="23"/>
  <c r="J185" i="23" s="1"/>
  <c r="H186" i="23"/>
  <c r="J186" i="23" s="1"/>
  <c r="H187" i="23"/>
  <c r="J187" i="23" s="1"/>
  <c r="H188" i="23"/>
  <c r="J188" i="23" s="1"/>
  <c r="H189" i="23"/>
  <c r="J189" i="23" s="1"/>
  <c r="H190" i="23"/>
  <c r="J190" i="23" s="1"/>
  <c r="H191" i="23"/>
  <c r="I191" i="23" s="1"/>
  <c r="H192" i="23"/>
  <c r="J192" i="23" s="1"/>
  <c r="H193" i="23"/>
  <c r="J193" i="23" s="1"/>
  <c r="H194" i="23"/>
  <c r="I194" i="23" s="1"/>
  <c r="H195" i="23"/>
  <c r="J195" i="23" s="1"/>
  <c r="H196" i="23"/>
  <c r="J196" i="23" s="1"/>
  <c r="H197" i="23"/>
  <c r="J197" i="23" s="1"/>
  <c r="H198" i="23"/>
  <c r="J198" i="23" s="1"/>
  <c r="H199" i="23"/>
  <c r="I199" i="23" s="1"/>
  <c r="H200" i="23"/>
  <c r="J200" i="23" s="1"/>
  <c r="H201" i="23"/>
  <c r="J201" i="23" s="1"/>
  <c r="H202" i="23"/>
  <c r="I202" i="23" s="1"/>
  <c r="H203" i="23"/>
  <c r="J203" i="23" s="1"/>
  <c r="H204" i="23"/>
  <c r="J204" i="23" s="1"/>
  <c r="H205" i="23"/>
  <c r="J205" i="23" s="1"/>
  <c r="H206" i="23"/>
  <c r="J206" i="23" s="1"/>
  <c r="H207" i="23"/>
  <c r="J207" i="23" s="1"/>
  <c r="H208" i="23"/>
  <c r="J208" i="23" s="1"/>
  <c r="H209" i="23"/>
  <c r="J209" i="23" s="1"/>
  <c r="H210" i="23"/>
  <c r="I210" i="23" s="1"/>
  <c r="H211" i="23"/>
  <c r="J211" i="23" s="1"/>
  <c r="H212" i="23"/>
  <c r="J212" i="23" s="1"/>
  <c r="H213" i="23"/>
  <c r="J213" i="23" s="1"/>
  <c r="H214" i="23"/>
  <c r="J214" i="23" s="1"/>
  <c r="H215" i="23"/>
  <c r="J215" i="23" s="1"/>
  <c r="J216" i="23"/>
  <c r="J217" i="23"/>
  <c r="H218" i="23"/>
  <c r="I218" i="23" s="1"/>
  <c r="H219" i="23"/>
  <c r="J219" i="23" s="1"/>
  <c r="H220" i="23"/>
  <c r="J220" i="23" s="1"/>
  <c r="H221" i="23"/>
  <c r="I221" i="23" s="1"/>
  <c r="H222" i="23"/>
  <c r="J222" i="23" s="1"/>
  <c r="H223" i="23"/>
  <c r="J223" i="23" s="1"/>
  <c r="H224" i="23"/>
  <c r="J224" i="23" s="1"/>
  <c r="H225" i="23"/>
  <c r="J225" i="23" s="1"/>
  <c r="H226" i="23"/>
  <c r="I226" i="23" s="1"/>
  <c r="H227" i="23"/>
  <c r="J227" i="23" s="1"/>
  <c r="H228" i="23"/>
  <c r="J228" i="23" s="1"/>
  <c r="H229" i="23"/>
  <c r="J229" i="23" s="1"/>
  <c r="H230" i="23"/>
  <c r="I230" i="23" s="1"/>
  <c r="H231" i="23"/>
  <c r="J231" i="23" s="1"/>
  <c r="H232" i="23"/>
  <c r="J232" i="23" s="1"/>
  <c r="H233" i="23"/>
  <c r="J233" i="23" s="1"/>
  <c r="H234" i="23"/>
  <c r="I234" i="23" s="1"/>
  <c r="H235" i="23"/>
  <c r="J235" i="23" s="1"/>
  <c r="H236" i="23"/>
  <c r="J236" i="23" s="1"/>
  <c r="H237" i="23"/>
  <c r="J237" i="23" s="1"/>
  <c r="H238" i="23"/>
  <c r="I238" i="23" s="1"/>
  <c r="H239" i="23"/>
  <c r="J239" i="23" s="1"/>
  <c r="H240" i="23"/>
  <c r="J240" i="23" s="1"/>
  <c r="H241" i="23"/>
  <c r="J241" i="23" s="1"/>
  <c r="H242" i="23"/>
  <c r="I242" i="23" s="1"/>
  <c r="H243" i="23"/>
  <c r="J243" i="23" s="1"/>
  <c r="H244" i="23"/>
  <c r="J244" i="23" s="1"/>
  <c r="H245" i="23"/>
  <c r="J245" i="23" s="1"/>
  <c r="J34" i="24" l="1"/>
  <c r="J28" i="24"/>
  <c r="J26" i="24"/>
  <c r="J36" i="24"/>
  <c r="J32" i="24"/>
  <c r="J30" i="24"/>
  <c r="I14" i="24"/>
  <c r="I6" i="24"/>
  <c r="I10" i="24"/>
  <c r="J24" i="24"/>
  <c r="I8" i="24"/>
  <c r="I12" i="24"/>
  <c r="J5" i="24"/>
  <c r="J7" i="24"/>
  <c r="J9" i="24"/>
  <c r="J11" i="24"/>
  <c r="J13" i="24"/>
  <c r="J23" i="24"/>
  <c r="J25" i="24"/>
  <c r="J27" i="24"/>
  <c r="J29" i="24"/>
  <c r="J31" i="24"/>
  <c r="J33" i="24"/>
  <c r="J35" i="24"/>
  <c r="J37" i="24"/>
  <c r="I241" i="23"/>
  <c r="J234" i="23"/>
  <c r="J221" i="23"/>
  <c r="J191" i="23"/>
  <c r="J199" i="23"/>
  <c r="J202" i="23"/>
  <c r="I245" i="23"/>
  <c r="I233" i="23"/>
  <c r="J226" i="23"/>
  <c r="I237" i="23"/>
  <c r="I232" i="23"/>
  <c r="J184" i="23"/>
  <c r="I229" i="23"/>
  <c r="I224" i="23"/>
  <c r="I240" i="23"/>
  <c r="I225" i="23"/>
  <c r="I213" i="23"/>
  <c r="I207" i="23"/>
  <c r="J246" i="23"/>
  <c r="I249" i="23"/>
  <c r="I216" i="23"/>
  <c r="J194" i="23"/>
  <c r="J181" i="23"/>
  <c r="J238" i="23"/>
  <c r="J230" i="23"/>
  <c r="I217" i="23"/>
  <c r="I208" i="23"/>
  <c r="J242" i="23"/>
  <c r="I205" i="23"/>
  <c r="I200" i="23"/>
  <c r="I183" i="23"/>
  <c r="I239" i="23"/>
  <c r="I231" i="23"/>
  <c r="I223" i="23"/>
  <c r="J218" i="23"/>
  <c r="I197" i="23"/>
  <c r="I192" i="23"/>
  <c r="I248" i="23"/>
  <c r="I215" i="23"/>
  <c r="J210" i="23"/>
  <c r="I189" i="23"/>
  <c r="I247" i="23"/>
  <c r="I186" i="23"/>
  <c r="I243" i="23"/>
  <c r="I235" i="23"/>
  <c r="I227" i="23"/>
  <c r="I219" i="23"/>
  <c r="I211" i="23"/>
  <c r="I203" i="23"/>
  <c r="I195" i="23"/>
  <c r="I187" i="23"/>
  <c r="I222" i="23"/>
  <c r="I214" i="23"/>
  <c r="I206" i="23"/>
  <c r="I198" i="23"/>
  <c r="I190" i="23"/>
  <c r="I182" i="23"/>
  <c r="I209" i="23"/>
  <c r="I201" i="23"/>
  <c r="I193" i="23"/>
  <c r="I185" i="23"/>
  <c r="I244" i="23"/>
  <c r="I236" i="23"/>
  <c r="I228" i="23"/>
  <c r="I220" i="23"/>
  <c r="I212" i="23"/>
  <c r="I204" i="23"/>
  <c r="I196" i="23"/>
  <c r="I188" i="23"/>
  <c r="H60" i="23" l="1"/>
  <c r="H61" i="23"/>
  <c r="H62" i="23"/>
  <c r="H63" i="23"/>
  <c r="H64" i="23"/>
  <c r="H65" i="23"/>
  <c r="H66" i="23"/>
  <c r="H67" i="23"/>
  <c r="H68" i="23"/>
  <c r="H47" i="23"/>
  <c r="J47" i="23" s="1"/>
  <c r="H48" i="23"/>
  <c r="J48" i="23" s="1"/>
  <c r="H49" i="23"/>
  <c r="J49" i="23" s="1"/>
  <c r="H50" i="23"/>
  <c r="J50" i="23" s="1"/>
  <c r="H51" i="23"/>
  <c r="I51" i="23" s="1"/>
  <c r="H52" i="23"/>
  <c r="J52" i="23" s="1"/>
  <c r="H53" i="23"/>
  <c r="J53" i="23" s="1"/>
  <c r="H54" i="23"/>
  <c r="J54" i="23" s="1"/>
  <c r="H55" i="23"/>
  <c r="I55" i="23" s="1"/>
  <c r="H56" i="23"/>
  <c r="I56" i="23" s="1"/>
  <c r="H57" i="23"/>
  <c r="J57" i="23" s="1"/>
  <c r="H58" i="23"/>
  <c r="J58" i="23" s="1"/>
  <c r="H59" i="23"/>
  <c r="I59" i="23" s="1"/>
  <c r="H46" i="23"/>
  <c r="I46" i="23" s="1"/>
  <c r="B22" i="23"/>
  <c r="B21" i="23"/>
  <c r="B20" i="23"/>
  <c r="B19" i="23"/>
  <c r="J51" i="23" l="1"/>
  <c r="I52" i="23"/>
  <c r="J59" i="23"/>
  <c r="J46" i="23"/>
  <c r="I53" i="23"/>
  <c r="J55" i="23"/>
  <c r="J56" i="23"/>
  <c r="I57" i="23"/>
  <c r="I48" i="23"/>
  <c r="I49" i="23"/>
  <c r="I58" i="23"/>
  <c r="I54" i="23"/>
  <c r="I50" i="23"/>
  <c r="I47" i="23"/>
  <c r="H37" i="23"/>
  <c r="J37" i="23" s="1"/>
  <c r="H38" i="23"/>
  <c r="J38" i="23" s="1"/>
  <c r="H39" i="23"/>
  <c r="J39" i="23" s="1"/>
  <c r="H40" i="23"/>
  <c r="J40" i="23" s="1"/>
  <c r="H41" i="23"/>
  <c r="J41" i="23" s="1"/>
  <c r="H42" i="23"/>
  <c r="I42" i="23" s="1"/>
  <c r="H43" i="23"/>
  <c r="J43" i="23" s="1"/>
  <c r="H44" i="23"/>
  <c r="J44" i="23" s="1"/>
  <c r="H45" i="23"/>
  <c r="J45" i="23" s="1"/>
  <c r="J60" i="23"/>
  <c r="J61" i="23"/>
  <c r="J62" i="23"/>
  <c r="I63" i="23"/>
  <c r="J64" i="23"/>
  <c r="J65" i="23"/>
  <c r="J66" i="23"/>
  <c r="J67" i="23"/>
  <c r="J68" i="23"/>
  <c r="H69" i="23"/>
  <c r="J69" i="23" s="1"/>
  <c r="H70" i="23"/>
  <c r="J70" i="23" s="1"/>
  <c r="H71" i="23"/>
  <c r="J71" i="23" s="1"/>
  <c r="H72" i="23"/>
  <c r="J72" i="23" s="1"/>
  <c r="H73" i="23"/>
  <c r="J73" i="23" s="1"/>
  <c r="H74" i="23"/>
  <c r="J74" i="23" s="1"/>
  <c r="H75" i="23"/>
  <c r="J75" i="23" s="1"/>
  <c r="H76" i="23"/>
  <c r="J76" i="23" s="1"/>
  <c r="H77" i="23"/>
  <c r="J77" i="23" s="1"/>
  <c r="H78" i="23"/>
  <c r="J78" i="23" s="1"/>
  <c r="H79" i="23"/>
  <c r="J79" i="23" s="1"/>
  <c r="H80" i="23"/>
  <c r="J80" i="23" s="1"/>
  <c r="H81" i="23"/>
  <c r="J81" i="23" s="1"/>
  <c r="H82" i="23"/>
  <c r="J82" i="23" s="1"/>
  <c r="H83" i="23"/>
  <c r="J83" i="23" s="1"/>
  <c r="H84" i="23"/>
  <c r="J84" i="23" s="1"/>
  <c r="H85" i="23"/>
  <c r="J85" i="23" s="1"/>
  <c r="H86" i="23"/>
  <c r="J86" i="23" s="1"/>
  <c r="H87" i="23"/>
  <c r="J87" i="23" s="1"/>
  <c r="H88" i="23"/>
  <c r="J88" i="23" s="1"/>
  <c r="H89" i="23"/>
  <c r="J89" i="23" s="1"/>
  <c r="H90" i="23"/>
  <c r="J90" i="23" s="1"/>
  <c r="H91" i="23"/>
  <c r="J91" i="23" s="1"/>
  <c r="H92" i="23"/>
  <c r="J92" i="23" s="1"/>
  <c r="H93" i="23"/>
  <c r="J93" i="23" s="1"/>
  <c r="H94" i="23"/>
  <c r="I94" i="23" s="1"/>
  <c r="H95" i="23"/>
  <c r="J95" i="23" s="1"/>
  <c r="H96" i="23"/>
  <c r="J96" i="23" s="1"/>
  <c r="H97" i="23"/>
  <c r="J97" i="23" s="1"/>
  <c r="H98" i="23"/>
  <c r="J98" i="23" s="1"/>
  <c r="H99" i="23"/>
  <c r="J99" i="23" s="1"/>
  <c r="H100" i="23"/>
  <c r="J100" i="23" s="1"/>
  <c r="H101" i="23"/>
  <c r="I101" i="23" s="1"/>
  <c r="H102" i="23"/>
  <c r="I102" i="23" s="1"/>
  <c r="H103" i="23"/>
  <c r="J103" i="23" s="1"/>
  <c r="H104" i="23"/>
  <c r="J104" i="23" s="1"/>
  <c r="H105" i="23"/>
  <c r="J105" i="23" s="1"/>
  <c r="H106" i="23"/>
  <c r="J106" i="23" s="1"/>
  <c r="H107" i="23"/>
  <c r="J107" i="23" s="1"/>
  <c r="H108" i="23"/>
  <c r="J108" i="23" s="1"/>
  <c r="H109" i="23"/>
  <c r="I109" i="23" s="1"/>
  <c r="H110" i="23"/>
  <c r="I110" i="23" s="1"/>
  <c r="H111" i="23"/>
  <c r="J111" i="23" s="1"/>
  <c r="H112" i="23"/>
  <c r="J112" i="23" s="1"/>
  <c r="H113" i="23"/>
  <c r="J113" i="23" s="1"/>
  <c r="H114" i="23"/>
  <c r="I114" i="23" s="1"/>
  <c r="H115" i="23"/>
  <c r="J115" i="23" s="1"/>
  <c r="H116" i="23"/>
  <c r="J116" i="23" s="1"/>
  <c r="H117" i="23"/>
  <c r="I117" i="23" s="1"/>
  <c r="H118" i="23"/>
  <c r="I118" i="23" s="1"/>
  <c r="H119" i="23"/>
  <c r="J119" i="23" s="1"/>
  <c r="H120" i="23"/>
  <c r="J120" i="23" s="1"/>
  <c r="H121" i="23"/>
  <c r="J121" i="23" s="1"/>
  <c r="H122" i="23"/>
  <c r="J122" i="23" s="1"/>
  <c r="H123" i="23"/>
  <c r="J123" i="23" s="1"/>
  <c r="H124" i="23"/>
  <c r="J124" i="23" s="1"/>
  <c r="H125" i="23"/>
  <c r="I125" i="23" s="1"/>
  <c r="H126" i="23"/>
  <c r="I126" i="23" s="1"/>
  <c r="H127" i="23"/>
  <c r="J127" i="23" s="1"/>
  <c r="H128" i="23"/>
  <c r="J128" i="23" s="1"/>
  <c r="H129" i="23"/>
  <c r="J129" i="23" s="1"/>
  <c r="H130" i="23"/>
  <c r="I130" i="23" s="1"/>
  <c r="H131" i="23"/>
  <c r="J131" i="23" s="1"/>
  <c r="H132" i="23"/>
  <c r="J132" i="23" s="1"/>
  <c r="H133" i="23"/>
  <c r="J133" i="23" s="1"/>
  <c r="H134" i="23"/>
  <c r="I134" i="23" s="1"/>
  <c r="H135" i="23"/>
  <c r="I135" i="23" s="1"/>
  <c r="H136" i="23"/>
  <c r="J136" i="23" s="1"/>
  <c r="H137" i="23"/>
  <c r="J137" i="23" s="1"/>
  <c r="H138" i="23"/>
  <c r="J138" i="23" s="1"/>
  <c r="H139" i="23"/>
  <c r="J139" i="23" s="1"/>
  <c r="H140" i="23"/>
  <c r="J140" i="23" s="1"/>
  <c r="H141" i="23"/>
  <c r="I141" i="23" s="1"/>
  <c r="H142" i="23"/>
  <c r="I142" i="23" s="1"/>
  <c r="H143" i="23"/>
  <c r="J143" i="23" s="1"/>
  <c r="H144" i="23"/>
  <c r="J144" i="23" s="1"/>
  <c r="H145" i="23"/>
  <c r="J145" i="23" s="1"/>
  <c r="H146" i="23"/>
  <c r="J146" i="23" s="1"/>
  <c r="H147" i="23"/>
  <c r="J147" i="23" s="1"/>
  <c r="H148" i="23"/>
  <c r="J148" i="23" s="1"/>
  <c r="H149" i="23"/>
  <c r="J149" i="23" s="1"/>
  <c r="H150" i="23"/>
  <c r="I150" i="23" s="1"/>
  <c r="H151" i="23"/>
  <c r="J151" i="23" s="1"/>
  <c r="H152" i="23"/>
  <c r="J152" i="23" s="1"/>
  <c r="H153" i="23"/>
  <c r="J153" i="23" s="1"/>
  <c r="H154" i="23"/>
  <c r="J154" i="23" s="1"/>
  <c r="H155" i="23"/>
  <c r="J155" i="23" s="1"/>
  <c r="H156" i="23"/>
  <c r="J156" i="23" s="1"/>
  <c r="H157" i="23"/>
  <c r="I157" i="23" s="1"/>
  <c r="H158" i="23"/>
  <c r="I158" i="23" s="1"/>
  <c r="H159" i="23"/>
  <c r="J159" i="23" s="1"/>
  <c r="H160" i="23"/>
  <c r="J160" i="23" s="1"/>
  <c r="H161" i="23"/>
  <c r="J161" i="23" s="1"/>
  <c r="H162" i="23"/>
  <c r="J162" i="23" s="1"/>
  <c r="H163" i="23"/>
  <c r="J163" i="23" s="1"/>
  <c r="H164" i="23"/>
  <c r="J164" i="23" s="1"/>
  <c r="H165" i="23"/>
  <c r="J165" i="23" s="1"/>
  <c r="H166" i="23"/>
  <c r="I166" i="23" s="1"/>
  <c r="H167" i="23"/>
  <c r="I167" i="23" s="1"/>
  <c r="H168" i="23"/>
  <c r="I168" i="23" s="1"/>
  <c r="H169" i="23"/>
  <c r="J169" i="23" s="1"/>
  <c r="H170" i="23"/>
  <c r="J170" i="23" s="1"/>
  <c r="H171" i="23"/>
  <c r="J171" i="23" s="1"/>
  <c r="H172" i="23"/>
  <c r="J172" i="23" s="1"/>
  <c r="H173" i="23"/>
  <c r="I173" i="23" s="1"/>
  <c r="H174" i="23"/>
  <c r="I174" i="23" s="1"/>
  <c r="H175" i="23"/>
  <c r="J175" i="23" s="1"/>
  <c r="H176" i="23"/>
  <c r="J176" i="23" s="1"/>
  <c r="H177" i="23"/>
  <c r="J177" i="23" s="1"/>
  <c r="H178" i="23"/>
  <c r="I178" i="23" s="1"/>
  <c r="H179" i="23"/>
  <c r="J179" i="23" s="1"/>
  <c r="H180" i="23"/>
  <c r="J180" i="23" s="1"/>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B41" i="23"/>
  <c r="B40" i="23"/>
  <c r="B39" i="23"/>
  <c r="B38" i="23"/>
  <c r="J130" i="23" l="1"/>
  <c r="I162" i="23"/>
  <c r="J178" i="23"/>
  <c r="J158" i="23"/>
  <c r="J167" i="23"/>
  <c r="I169" i="23"/>
  <c r="J142" i="23"/>
  <c r="J135" i="23"/>
  <c r="I175" i="23"/>
  <c r="I170" i="23"/>
  <c r="I153" i="23"/>
  <c r="I137" i="23"/>
  <c r="J126" i="23"/>
  <c r="I151" i="23"/>
  <c r="I146" i="23"/>
  <c r="J114" i="23"/>
  <c r="I177" i="23"/>
  <c r="J174" i="23"/>
  <c r="I74" i="23"/>
  <c r="J63" i="23"/>
  <c r="I73" i="23"/>
  <c r="I121" i="23"/>
  <c r="J110" i="23"/>
  <c r="I105" i="23"/>
  <c r="I69" i="23"/>
  <c r="I119" i="23"/>
  <c r="J42" i="23"/>
  <c r="J94" i="23"/>
  <c r="I103" i="23"/>
  <c r="I98" i="23"/>
  <c r="I85" i="23"/>
  <c r="I79" i="23"/>
  <c r="I66" i="23"/>
  <c r="I39" i="23"/>
  <c r="I45" i="23"/>
  <c r="I90" i="23"/>
  <c r="I81" i="23"/>
  <c r="I77" i="23"/>
  <c r="I154" i="23"/>
  <c r="I127" i="23"/>
  <c r="I122" i="23"/>
  <c r="J118" i="23"/>
  <c r="I113" i="23"/>
  <c r="I95" i="23"/>
  <c r="I159" i="23"/>
  <c r="J150" i="23"/>
  <c r="I145" i="23"/>
  <c r="I87" i="23"/>
  <c r="I82" i="23"/>
  <c r="I65" i="23"/>
  <c r="I61" i="23"/>
  <c r="J166" i="23"/>
  <c r="I161" i="23"/>
  <c r="I143" i="23"/>
  <c r="I138" i="23"/>
  <c r="J134" i="23"/>
  <c r="I129" i="23"/>
  <c r="I111" i="23"/>
  <c r="I106" i="23"/>
  <c r="J102" i="23"/>
  <c r="I97" i="23"/>
  <c r="I93" i="23"/>
  <c r="I71" i="23"/>
  <c r="I89" i="23"/>
  <c r="I149" i="23"/>
  <c r="I37" i="23"/>
  <c r="J173" i="23"/>
  <c r="I152" i="23"/>
  <c r="J141" i="23"/>
  <c r="I136" i="23"/>
  <c r="I120" i="23"/>
  <c r="I112" i="23"/>
  <c r="J109" i="23"/>
  <c r="I104" i="23"/>
  <c r="J101" i="23"/>
  <c r="I96" i="23"/>
  <c r="I88" i="23"/>
  <c r="I80" i="23"/>
  <c r="I72" i="23"/>
  <c r="I64" i="23"/>
  <c r="I40" i="23"/>
  <c r="I176" i="23"/>
  <c r="I160" i="23"/>
  <c r="I144" i="23"/>
  <c r="I128" i="23"/>
  <c r="J125" i="23"/>
  <c r="J117" i="23"/>
  <c r="I179" i="23"/>
  <c r="I171" i="23"/>
  <c r="J168" i="23"/>
  <c r="I155" i="23"/>
  <c r="I147" i="23"/>
  <c r="I139" i="23"/>
  <c r="I131" i="23"/>
  <c r="I123" i="23"/>
  <c r="I115" i="23"/>
  <c r="I107" i="23"/>
  <c r="I99" i="23"/>
  <c r="I91" i="23"/>
  <c r="I83" i="23"/>
  <c r="I75" i="23"/>
  <c r="I67" i="23"/>
  <c r="I43" i="23"/>
  <c r="I165" i="23"/>
  <c r="I133" i="23"/>
  <c r="J157" i="23"/>
  <c r="I163" i="23"/>
  <c r="I86" i="23"/>
  <c r="I78" i="23"/>
  <c r="I70" i="23"/>
  <c r="I62" i="23"/>
  <c r="I38" i="23"/>
  <c r="I41" i="23"/>
  <c r="I180" i="23"/>
  <c r="I172" i="23"/>
  <c r="I164" i="23"/>
  <c r="I156" i="23"/>
  <c r="I148" i="23"/>
  <c r="I140" i="23"/>
  <c r="I132" i="23"/>
  <c r="I124" i="23"/>
  <c r="I116" i="23"/>
  <c r="I108" i="23"/>
  <c r="I100" i="23"/>
  <c r="I92" i="23"/>
  <c r="I84" i="23"/>
  <c r="I76" i="23"/>
  <c r="I68" i="23"/>
  <c r="I60" i="23"/>
  <c r="I44" i="23"/>
  <c r="I5" i="23"/>
  <c r="J5" i="23"/>
  <c r="J6" i="23"/>
  <c r="I7" i="23"/>
  <c r="J8" i="23"/>
  <c r="J9" i="23"/>
  <c r="I10" i="23"/>
  <c r="J11" i="23"/>
  <c r="I12" i="23"/>
  <c r="J13" i="23"/>
  <c r="J14" i="23"/>
  <c r="I15" i="23"/>
  <c r="J16" i="23"/>
  <c r="J17" i="23"/>
  <c r="I18" i="23"/>
  <c r="I19" i="23"/>
  <c r="I20" i="23"/>
  <c r="J21" i="23"/>
  <c r="J22" i="23"/>
  <c r="J23" i="23"/>
  <c r="B24" i="23"/>
  <c r="J24" i="23"/>
  <c r="B25" i="23"/>
  <c r="J25" i="23"/>
  <c r="I26" i="23"/>
  <c r="I27" i="23"/>
  <c r="I28" i="23"/>
  <c r="J29" i="23"/>
  <c r="J30" i="23"/>
  <c r="I31" i="23"/>
  <c r="J32" i="23"/>
  <c r="J33" i="23"/>
  <c r="I34" i="23"/>
  <c r="I35" i="23"/>
  <c r="I36" i="23"/>
  <c r="I24" i="23" l="1"/>
  <c r="J20" i="23"/>
  <c r="J31" i="23"/>
  <c r="J19" i="23"/>
  <c r="J15" i="23"/>
  <c r="I17" i="23"/>
  <c r="J27" i="23"/>
  <c r="J12" i="23"/>
  <c r="J34" i="23"/>
  <c r="I29" i="23"/>
  <c r="I13" i="23"/>
  <c r="J18" i="23"/>
  <c r="J35" i="23"/>
  <c r="J26" i="23"/>
  <c r="J10" i="23"/>
  <c r="I30" i="23"/>
  <c r="J7" i="23"/>
  <c r="J36" i="23"/>
  <c r="J28" i="23"/>
  <c r="I32" i="23"/>
  <c r="I22" i="23"/>
  <c r="I16" i="23"/>
  <c r="I8" i="23"/>
  <c r="I33" i="23"/>
  <c r="I25" i="23"/>
  <c r="I23" i="23"/>
  <c r="I11" i="23"/>
  <c r="I21" i="23"/>
  <c r="I14" i="23"/>
  <c r="I6" i="23"/>
  <c r="I9" i="23"/>
</calcChain>
</file>

<file path=xl/comments1.xml><?xml version="1.0" encoding="utf-8"?>
<comments xmlns="http://schemas.openxmlformats.org/spreadsheetml/2006/main">
  <authors>
    <author>Author</author>
  </authors>
  <commentList>
    <comment ref="W17" authorId="0" shapeId="0">
      <text>
        <r>
          <rPr>
            <b/>
            <sz val="9"/>
            <color indexed="81"/>
            <rFont val="Tahoma"/>
            <family val="2"/>
          </rPr>
          <t>Author:</t>
        </r>
        <r>
          <rPr>
            <sz val="9"/>
            <color indexed="81"/>
            <rFont val="Tahoma"/>
            <family val="2"/>
          </rPr>
          <t xml:space="preserve">
BAD HOV</t>
        </r>
      </text>
    </comment>
    <comment ref="X17" authorId="0" shapeId="0">
      <text>
        <r>
          <rPr>
            <b/>
            <sz val="9"/>
            <color indexed="81"/>
            <rFont val="Tahoma"/>
            <family val="2"/>
          </rPr>
          <t>Author:</t>
        </r>
        <r>
          <rPr>
            <sz val="9"/>
            <color indexed="81"/>
            <rFont val="Tahoma"/>
            <family val="2"/>
          </rPr>
          <t xml:space="preserve">
BAD HOV</t>
        </r>
      </text>
    </comment>
  </commentList>
</comments>
</file>

<file path=xl/sharedStrings.xml><?xml version="1.0" encoding="utf-8"?>
<sst xmlns="http://schemas.openxmlformats.org/spreadsheetml/2006/main" count="4865" uniqueCount="294">
  <si>
    <t>full year</t>
  </si>
  <si>
    <t>weekdays</t>
  </si>
  <si>
    <t>box_night</t>
  </si>
  <si>
    <t>box_pm</t>
  </si>
  <si>
    <t>box_mid</t>
  </si>
  <si>
    <t>box_am</t>
  </si>
  <si>
    <t>finish number</t>
  </si>
  <si>
    <t>start number</t>
  </si>
  <si>
    <t># of rows in aggregation</t>
  </si>
  <si>
    <t>analysis year</t>
  </si>
  <si>
    <t>calc template name</t>
  </si>
  <si>
    <t>blank template name</t>
  </si>
  <si>
    <t>blank2010.xlsx</t>
  </si>
  <si>
    <t>path: templates</t>
  </si>
  <si>
    <t>path: source data</t>
  </si>
  <si>
    <t>save path</t>
  </si>
  <si>
    <t>source path</t>
  </si>
  <si>
    <t>file name</t>
  </si>
  <si>
    <t>detector</t>
  </si>
  <si>
    <t>number</t>
  </si>
  <si>
    <t>- Green cells are be specified by the user</t>
  </si>
  <si>
    <t>Specification Panel for FMS Detector Data Processing Macro</t>
  </si>
  <si>
    <t>C_EB</t>
  </si>
  <si>
    <t>I_EB</t>
  </si>
  <si>
    <t>A_EB</t>
  </si>
  <si>
    <t>B_WB</t>
  </si>
  <si>
    <t>P_SB</t>
  </si>
  <si>
    <t>E1:X4393</t>
  </si>
  <si>
    <t>E1:X2929</t>
  </si>
  <si>
    <t>E1:X8053</t>
  </si>
  <si>
    <t>E1:X2197</t>
  </si>
  <si>
    <t>march 9th start date</t>
  </si>
  <si>
    <t>Origional</t>
  </si>
  <si>
    <t>2010 missing dates</t>
  </si>
  <si>
    <t>E1:X3889</t>
  </si>
  <si>
    <t>E1:X7777</t>
  </si>
  <si>
    <t>E1:X5185</t>
  </si>
  <si>
    <t>E1:X14256</t>
  </si>
  <si>
    <t>gp lanes</t>
  </si>
  <si>
    <t>hov lane</t>
  </si>
  <si>
    <t>W:\Performance Measurement\1. Freeway\1. raw data\2010_new\data files</t>
  </si>
  <si>
    <t>16h</t>
  </si>
  <si>
    <t>?</t>
  </si>
  <si>
    <t>14h</t>
  </si>
  <si>
    <t>13h</t>
  </si>
  <si>
    <t>15h</t>
  </si>
  <si>
    <t>template</t>
  </si>
  <si>
    <t>W:\Performance Measurement\1. Freeway\2. processed data_quality control\a. template files</t>
  </si>
  <si>
    <t>W:\Performance Measurement\1. Freeway\1. raw data\2011\data files</t>
  </si>
  <si>
    <t>blank2011.xlsx</t>
  </si>
  <si>
    <t>missing</t>
  </si>
  <si>
    <t>status</t>
  </si>
  <si>
    <t>done</t>
  </si>
  <si>
    <t>rerun with 15h</t>
  </si>
  <si>
    <t>rerun</t>
  </si>
  <si>
    <t>rerun?</t>
  </si>
  <si>
    <t>get</t>
  </si>
  <si>
    <t>Cor_ID</t>
  </si>
  <si>
    <t>A</t>
  </si>
  <si>
    <t>B</t>
  </si>
  <si>
    <t>C</t>
  </si>
  <si>
    <t>D</t>
  </si>
  <si>
    <t>E</t>
  </si>
  <si>
    <t>F</t>
  </si>
  <si>
    <t>G</t>
  </si>
  <si>
    <t>H</t>
  </si>
  <si>
    <t>I</t>
  </si>
  <si>
    <t>J</t>
  </si>
  <si>
    <t>K</t>
  </si>
  <si>
    <t>L</t>
  </si>
  <si>
    <t>M</t>
  </si>
  <si>
    <t>N</t>
  </si>
  <si>
    <t>O</t>
  </si>
  <si>
    <t>P</t>
  </si>
  <si>
    <t>p</t>
  </si>
  <si>
    <t>Q</t>
  </si>
  <si>
    <t>R</t>
  </si>
  <si>
    <t>S</t>
  </si>
  <si>
    <t>T</t>
  </si>
  <si>
    <t>X</t>
  </si>
  <si>
    <t>order</t>
  </si>
  <si>
    <t>comments</t>
  </si>
  <si>
    <t xml:space="preserve"> </t>
  </si>
  <si>
    <t>lane 2 and/or 4 missing most of the year</t>
  </si>
  <si>
    <t>lane 2 dat missing most of the year; messy dot charts</t>
  </si>
  <si>
    <t>lane 2 missing most of the year; messy dot charts</t>
  </si>
  <si>
    <t>good</t>
  </si>
  <si>
    <t>messy dot charts</t>
  </si>
  <si>
    <t>I'll take it</t>
  </si>
  <si>
    <t>hov speed is just too high</t>
  </si>
  <si>
    <t>hov profile looks wrong</t>
  </si>
  <si>
    <t>valid</t>
  </si>
  <si>
    <t xml:space="preserve"> hov speed shouldn't be lower than gp speed but I'll take it </t>
  </si>
  <si>
    <t xml:space="preserve"> hov speed way too high; messy dot charts; too much data missing/lane 2 </t>
  </si>
  <si>
    <t>lane 1 speed missing most of the year; messy dot chart</t>
  </si>
  <si>
    <t>missing lanes 1 and 2 first few months and more; messy dot charts</t>
  </si>
  <si>
    <t>messy dot charts; rerun with 15</t>
  </si>
  <si>
    <t>speeds too high/and too low; lane 4 data missing most of the year</t>
  </si>
  <si>
    <t>rerun with 3 lanes (13h)</t>
  </si>
  <si>
    <t>lane 6 data missing most of the year</t>
  </si>
  <si>
    <t>lane 2 missing most of the year</t>
  </si>
  <si>
    <t>lanes hov and 3 were missing much of the year; messy dot charts</t>
  </si>
  <si>
    <t>lanes 1 and 2 missing first four months</t>
  </si>
  <si>
    <t>striation</t>
  </si>
  <si>
    <t>lanes 1 and 2 missing most of the time</t>
  </si>
  <si>
    <t>dot charts show speeds above 85 mph for much of the year; speed here should probably be disregarded</t>
  </si>
  <si>
    <t>hov speed lower than gp/Good</t>
  </si>
  <si>
    <t>lots of speed values above 85 mph; hov off peak probably too high</t>
  </si>
  <si>
    <t>tons of speed values above 85 mph; hov off peak probably too high</t>
  </si>
  <si>
    <t>some speed values above 85 mph; hov off peak probably too high</t>
  </si>
  <si>
    <t>double pattern on the dot charts</t>
  </si>
  <si>
    <t>tons of high speeds</t>
  </si>
  <si>
    <t>difference errors; missing data; maybe redeamable</t>
  </si>
  <si>
    <t>missing data, messy dot charts</t>
  </si>
  <si>
    <t>pretty good</t>
  </si>
  <si>
    <t>striated speed; pretty good</t>
  </si>
  <si>
    <t>striated speed and density; messy dot charts; first half of year missing</t>
  </si>
  <si>
    <t>okay</t>
  </si>
  <si>
    <t>hov speed too high</t>
  </si>
  <si>
    <t>striated speed</t>
  </si>
  <si>
    <t>some striated speeds but only a little</t>
  </si>
  <si>
    <t>striated speed; hov too high</t>
  </si>
  <si>
    <t>striated speed; speed overall is too low</t>
  </si>
  <si>
    <t>Okay</t>
  </si>
  <si>
    <t>Speed way too high</t>
  </si>
  <si>
    <t>Speed looks wrong</t>
  </si>
  <si>
    <t>hov volume way too high</t>
  </si>
  <si>
    <t>interchange location not needed</t>
  </si>
  <si>
    <t>decent</t>
  </si>
  <si>
    <t>some striated speeds</t>
  </si>
  <si>
    <t xml:space="preserve">missing data; striated speed </t>
  </si>
  <si>
    <t>some striated speeds but pretty good</t>
  </si>
  <si>
    <t>GP speed too high</t>
  </si>
  <si>
    <t>speed seems too high</t>
  </si>
  <si>
    <t>real zeros at night filtered out</t>
  </si>
  <si>
    <t>GP speed seems too high; real zeros at night filtered out</t>
  </si>
  <si>
    <t>striated speed; real zeros at night filtered out</t>
  </si>
  <si>
    <t>no file?</t>
  </si>
  <si>
    <t>offpeak GP way too high; real zeros at night filtered out</t>
  </si>
  <si>
    <t>messy dot charts; hov speed lower than GP</t>
  </si>
  <si>
    <t>straiated speed; pretty decent</t>
  </si>
  <si>
    <t>messy dot charts; hov doesn't look right</t>
  </si>
  <si>
    <t>difference error at night - does that mean traffic identified at only one of the two loops?</t>
  </si>
  <si>
    <t>12h</t>
  </si>
  <si>
    <t>hov doesn't look right</t>
  </si>
  <si>
    <t>hov volume missing from 2:40 to end of day in Nov-Dec, Weird?</t>
  </si>
  <si>
    <t>dot chart wierdness; hov speed lower than GP</t>
  </si>
  <si>
    <t>striated speed; hov speed pretty high</t>
  </si>
  <si>
    <t>real zeros filtered out at night</t>
  </si>
  <si>
    <t>messy dot charts; real zeros filtered out at night</t>
  </si>
  <si>
    <t>why is there a 10 mph difference between night and day?</t>
  </si>
  <si>
    <t>mostly missing</t>
  </si>
  <si>
    <t>tons of speed errors</t>
  </si>
  <si>
    <t>last nine months missing; real zeros filtered out</t>
  </si>
  <si>
    <t>first month and a half only</t>
  </si>
  <si>
    <t>good; last four months missing</t>
  </si>
  <si>
    <t>good; first 9 weeks only</t>
  </si>
  <si>
    <t>good; first four months only</t>
  </si>
  <si>
    <t>last four months missing</t>
  </si>
  <si>
    <t>messy dot charts; first month and a half only</t>
  </si>
  <si>
    <t>real zeros filtered out</t>
  </si>
  <si>
    <t>real zeros filtered out; there's something wrong with chart 4</t>
  </si>
  <si>
    <t>lots of missing data</t>
  </si>
  <si>
    <t>most of the year is missing</t>
  </si>
  <si>
    <t>striated speeds; real zeros filtered out; speeds way too high</t>
  </si>
  <si>
    <t>real zeros filtered out; speeds way too high</t>
  </si>
  <si>
    <t>interchange</t>
  </si>
  <si>
    <t>no data</t>
  </si>
  <si>
    <t>striated speed; real zeros filtered out</t>
  </si>
  <si>
    <t>lane 2 is pretty well bad</t>
  </si>
  <si>
    <t>striated speeds; lots of missing data</t>
  </si>
  <si>
    <t>messy dot charts!</t>
  </si>
  <si>
    <t>striated speeds; real zeros filtered out</t>
  </si>
  <si>
    <t>real zeros and difference error at night filtered out</t>
  </si>
  <si>
    <t>real zeros and difference error at night filtered out; messy dot charts</t>
  </si>
  <si>
    <t>13h - see cor file</t>
  </si>
  <si>
    <t>15h - see cor file</t>
  </si>
  <si>
    <t>14h - see cor file</t>
  </si>
  <si>
    <t>hov looks wrong</t>
  </si>
  <si>
    <t>Use this v1 version with higher volume; need 13h for first 4.5 months</t>
  </si>
  <si>
    <t>striated speed; use this v1 version with higher volume; need 13h for first 4.5 months</t>
  </si>
  <si>
    <t>Use this v2 version with higher volume; need 13h for first 4.5 months; hov looks wrong</t>
  </si>
  <si>
    <t>three lanes only; hov doesn't look right; messy dot charts</t>
  </si>
  <si>
    <t>four lanes only; hov doesn't look right</t>
  </si>
  <si>
    <t>no lane 4; hov doesn't look valid</t>
  </si>
  <si>
    <t>decent; dot charts</t>
  </si>
  <si>
    <t>hov lane not available without recreating the txt file with modification; pretty good</t>
  </si>
  <si>
    <t>no hov which is missing for speed</t>
  </si>
  <si>
    <t>no hov; 2012 shows 4+hov and 2010 data shows 4 gp only.</t>
  </si>
  <si>
    <t>real zeros and difference errors at night filtered out</t>
  </si>
  <si>
    <t>hov lower than gp</t>
  </si>
  <si>
    <t>missing past May; good</t>
  </si>
  <si>
    <t>lane 3 volume low</t>
  </si>
  <si>
    <t>messy dot charts; summer and fall missing</t>
  </si>
  <si>
    <t>rerun 5-1 with lane 4 speed calculated as the average of adjacent lanes</t>
  </si>
  <si>
    <t>hov volume too high</t>
  </si>
  <si>
    <t>gp valid</t>
  </si>
  <si>
    <t>hov valid</t>
  </si>
  <si>
    <t>good enough</t>
  </si>
  <si>
    <t>messy dot charts; missing speed and vol in select lanes</t>
  </si>
  <si>
    <t>messy dot charts; lane 1 speed as average of 2-4 for much of the year</t>
  </si>
  <si>
    <t>rerun 15/hov lane missing</t>
  </si>
  <si>
    <t>striated speed; lane 2 partially missing</t>
  </si>
  <si>
    <t>messy dot charts; lane 3 speed missing</t>
  </si>
  <si>
    <t>volume low; good enough</t>
  </si>
  <si>
    <t>lane 1-2 and hov missing; could rerun for lanes 3-4 only</t>
  </si>
  <si>
    <t>gp speed a little low; flow-density dot chart; good enough I guess</t>
  </si>
  <si>
    <t>flow-density dot chart; okay</t>
  </si>
  <si>
    <t>speed errors in second half of year; striated flow/density</t>
  </si>
  <si>
    <t>striated dot charts</t>
  </si>
  <si>
    <t>lane 1 missing 1st half of year; speed errors in second half of year (lane 3); striated flow/density</t>
  </si>
  <si>
    <t>hov looks wrong; first 3.5 months missing; okay</t>
  </si>
  <si>
    <t>lane 4 often missing; hov looks wrong; real zeros at night filtered out</t>
  </si>
  <si>
    <t>hov looks wrong; lane 3 way low; three months only</t>
  </si>
  <si>
    <t>rerun 3-0; no hov</t>
  </si>
  <si>
    <t>hov speed lower than gp</t>
  </si>
  <si>
    <t>real zeros at night</t>
  </si>
  <si>
    <t>real zeros at night; volume filtered out in peak period</t>
  </si>
  <si>
    <t>hov looks wrong; real zeros at night</t>
  </si>
  <si>
    <t>real zeros at night; messy dot charts</t>
  </si>
  <si>
    <t>decent; hov speed looks weird</t>
  </si>
  <si>
    <t xml:space="preserve">good </t>
  </si>
  <si>
    <t>hov &lt; gp</t>
  </si>
  <si>
    <t>speed high; flow-density dot chart; real zeros at night</t>
  </si>
  <si>
    <t>hov lower than gp; real zeros at night</t>
  </si>
  <si>
    <t>hov too high; real zeros at night</t>
  </si>
  <si>
    <t>-</t>
  </si>
  <si>
    <t>Missing Data</t>
  </si>
  <si>
    <t>messy dot charts; lots of missing data</t>
  </si>
  <si>
    <t>Rerun with modified data</t>
  </si>
  <si>
    <t>striated flow/density; tons of speed errors 2nd half of year</t>
  </si>
  <si>
    <t>striated flow/density</t>
  </si>
  <si>
    <t>speed way to high; tons of speed errors second half of year</t>
  </si>
  <si>
    <t>speed too low; striated flow/density; speed errors second half of year</t>
  </si>
  <si>
    <t>striated flow/density; speed errors second half of year</t>
  </si>
  <si>
    <t>hov volume too high; striated flow/density; messy dot charts</t>
  </si>
  <si>
    <t>missing data; ramp data only</t>
  </si>
  <si>
    <t>striated flow/density; speed errors 2nd half of year</t>
  </si>
  <si>
    <t>striated flow/density; speed errors 2nd half of year; hov vol too high</t>
  </si>
  <si>
    <t>striated flow/density; real zeros at night</t>
  </si>
  <si>
    <t>okay; real zeros at night</t>
  </si>
  <si>
    <t>hov looks wrong; striated flow/density</t>
  </si>
  <si>
    <t>hov looks wrong; striated dot charts</t>
  </si>
  <si>
    <t>decent; real zeros at night</t>
  </si>
  <si>
    <t>missing data</t>
  </si>
  <si>
    <t>real zeros at night; straited flow/density</t>
  </si>
  <si>
    <t>good enough; hov lower than gp</t>
  </si>
  <si>
    <t>real zeros at night; okay</t>
  </si>
  <si>
    <t>messy dot charts; lane 2 mostly missing</t>
  </si>
  <si>
    <t>hov is pretty high; real zeros at night</t>
  </si>
  <si>
    <t>great</t>
  </si>
  <si>
    <t>hov speed high</t>
  </si>
  <si>
    <t>good; hov not valid</t>
  </si>
  <si>
    <t>straited speed; messy dot charts; lane 2 as average of adjacent lanes for much of the year</t>
  </si>
  <si>
    <t>hov not valid; striated flow/density; speed errors 2nd half of year</t>
  </si>
  <si>
    <t>strated flow/density; hov is wrong; speed errors lane3 in second half of year</t>
  </si>
  <si>
    <t>strated speed; hov is wrong; speed errors second half of year</t>
  </si>
  <si>
    <t>hov not valid; decent</t>
  </si>
  <si>
    <t>hov not valid; pretty decent</t>
  </si>
  <si>
    <t>hov not valid; okay</t>
  </si>
  <si>
    <t>Template.xlsx</t>
  </si>
  <si>
    <t>hov not valid</t>
  </si>
  <si>
    <t>striated speed; hov way too low; lane 2 speed average of adjacent lanes</t>
  </si>
  <si>
    <t>not valid</t>
  </si>
  <si>
    <t>no hov data; good</t>
  </si>
  <si>
    <t>striated flow/density; okay</t>
  </si>
  <si>
    <t>volume high</t>
  </si>
  <si>
    <t>night congestion?; otherwise good</t>
  </si>
  <si>
    <t>volume high but okay</t>
  </si>
  <si>
    <t>peak period speed errors; striated flow/density</t>
  </si>
  <si>
    <t>ADT low after interchange; good</t>
  </si>
  <si>
    <t>blank2012.xlsx</t>
  </si>
  <si>
    <t>W:\Performance Measurement\1. Freeway\1. raw data\2012\data files</t>
  </si>
  <si>
    <t>O/P</t>
  </si>
  <si>
    <t>det#</t>
  </si>
  <si>
    <t>cor</t>
  </si>
  <si>
    <t>Jothan</t>
  </si>
  <si>
    <t>W:\Performance Measurement\1. Freeway\1. raw data\2013\data files</t>
  </si>
  <si>
    <t>blank2013.xlsx</t>
  </si>
  <si>
    <t>These columns are our base selection… will need to be changed after manual result checks</t>
  </si>
  <si>
    <t>W:\Performance Measurement\1. Freeway\1. raw data\2014\data files</t>
  </si>
  <si>
    <t>blank2014.xlsx</t>
  </si>
  <si>
    <t>U</t>
  </si>
  <si>
    <t>V</t>
  </si>
  <si>
    <t>W</t>
  </si>
  <si>
    <t>blank2015.xlsx</t>
  </si>
  <si>
    <t>W:\Performance Measurement\1. Freeway\1. raw data\2015\data files</t>
  </si>
  <si>
    <t>W:\Performance Measurement\1. Freeway\1. raw data\2016\data files</t>
  </si>
  <si>
    <t>blank2016.xlsx</t>
  </si>
  <si>
    <t>W:\Performance Measurement\1. Freeway\1. raw data\2017\data files</t>
  </si>
  <si>
    <t>blank2017.xlsx</t>
  </si>
  <si>
    <t>blank2018.xlsx</t>
  </si>
  <si>
    <t>I:\Transportation Performance\Data\ADOT FMS\2. Processed Data\a. Template Files</t>
  </si>
  <si>
    <t>I:\Transportation Performance\Data\ADOT FMS\1. Raw Data\2018\data files\test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</si>
</sst>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quot;$&quot;* #,##0.00_);_(&quot;$&quot;* \(#,##0.00\);_(&quot;$&quot;* &quot;-&quot;??_);_(@_)"/>
    <numFmt numFmtId="43" formatCode="_(* #,##0.00_);_(* \(#,##0.00\);_(* &quot;-&quot;??_);_(@_)"/>
    <numFmt numFmtId="164" formatCode="_(* #,##0_);_(* \(#,##0\);_(* &quot;-&quot;??_);_(@_)"/>
  </numFmts>
  <fonts count="40" x14ac:knownFonts="1">
    <font>
      <sz val="11"/>
      <color theme="1"/>
      <name val="Calibri"/>
      <family val="2"/>
      <scheme val="minor"/>
    </font>
    <font>
      <sz val="11"/>
      <color theme="1"/>
      <name val="Calibri"/>
      <family val="2"/>
      <scheme val="minor"/>
    </font>
    <font>
      <sz val="11"/>
      <color rgb="FFFF0000"/>
      <name val="Calibri"/>
      <family val="2"/>
      <scheme val="minor"/>
    </font>
    <font>
      <sz val="11"/>
      <color rgb="FF002060"/>
      <name val="Calibri"/>
      <family val="2"/>
      <scheme val="minor"/>
    </font>
    <font>
      <sz val="11"/>
      <color theme="3"/>
      <name val="Calibri"/>
      <family val="2"/>
      <scheme val="minor"/>
    </font>
    <font>
      <sz val="10"/>
      <name val="Arial"/>
      <family val="2"/>
    </font>
    <font>
      <sz val="10"/>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4"/>
      <color rgb="FF02359A"/>
      <name val="Calibri"/>
      <family val="2"/>
      <scheme val="minor"/>
    </font>
    <font>
      <sz val="9"/>
      <color indexed="81"/>
      <name val="Tahoma"/>
      <family val="2"/>
    </font>
    <font>
      <b/>
      <sz val="9"/>
      <color indexed="81"/>
      <name val="Tahoma"/>
      <family val="2"/>
    </font>
    <font>
      <i/>
      <sz val="11"/>
      <color rgb="FFFF0000"/>
      <name val="Calibri"/>
      <family val="2"/>
      <scheme val="minor"/>
    </font>
    <font>
      <b/>
      <sz val="8"/>
      <name val="Arial"/>
      <family val="2"/>
    </font>
    <font>
      <b/>
      <sz val="8"/>
      <color rgb="FFFF0000"/>
      <name val="Arial"/>
      <family val="2"/>
    </font>
    <font>
      <b/>
      <sz val="8"/>
      <color rgb="FFC00000"/>
      <name val="Arial"/>
      <family val="2"/>
    </font>
    <font>
      <sz val="11"/>
      <color theme="0" tint="-0.499984740745262"/>
      <name val="Calibri"/>
      <family val="2"/>
      <scheme val="minor"/>
    </font>
    <font>
      <sz val="11"/>
      <color rgb="FFC00000"/>
      <name val="Calibri"/>
      <family val="2"/>
      <scheme val="minor"/>
    </font>
    <font>
      <b/>
      <sz val="8"/>
      <color rgb="FF00B0F0"/>
      <name val="Arial"/>
      <family val="2"/>
    </font>
    <font>
      <sz val="8"/>
      <name val="Arial"/>
      <family val="2"/>
    </font>
    <font>
      <sz val="11"/>
      <color theme="1" tint="0.499984740745262"/>
      <name val="Calibri"/>
      <family val="2"/>
      <scheme val="minor"/>
    </font>
    <font>
      <sz val="8"/>
      <color rgb="FFFF0000"/>
      <name val="Arial"/>
      <family val="2"/>
    </font>
    <font>
      <sz val="8"/>
      <color theme="1"/>
      <name val="Arial"/>
      <family val="2"/>
    </font>
    <font>
      <sz val="7"/>
      <name val="Arial"/>
      <family val="2"/>
    </font>
    <font>
      <sz val="7"/>
      <color rgb="FFFF0000"/>
      <name val="Arial"/>
      <family val="2"/>
    </font>
    <font>
      <sz val="11"/>
      <color rgb="FF333399"/>
      <name val="Calibri"/>
      <family val="2"/>
    </font>
  </fonts>
  <fills count="40">
    <fill>
      <patternFill patternType="none"/>
    </fill>
    <fill>
      <patternFill patternType="gray125"/>
    </fill>
    <fill>
      <patternFill patternType="solid">
        <fgColor rgb="FFCCFFCC"/>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C000"/>
        <bgColor indexed="64"/>
      </patternFill>
    </fill>
    <fill>
      <patternFill patternType="solid">
        <fgColor theme="0" tint="-0.499984740745262"/>
        <bgColor indexed="64"/>
      </patternFill>
    </fill>
    <fill>
      <patternFill patternType="solid">
        <fgColor theme="7" tint="0.39997558519241921"/>
        <bgColor indexed="64"/>
      </patternFill>
    </fill>
    <fill>
      <patternFill patternType="solid">
        <fgColor theme="9"/>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s>
  <cellStyleXfs count="57">
    <xf numFmtId="0" fontId="0"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4"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6" fillId="0" borderId="0"/>
    <xf numFmtId="0" fontId="1" fillId="0" borderId="0"/>
    <xf numFmtId="0" fontId="6" fillId="0" borderId="0"/>
    <xf numFmtId="0" fontId="7" fillId="0" borderId="0" applyNumberFormat="0" applyFill="0" applyBorder="0" applyAlignment="0" applyProtection="0"/>
    <xf numFmtId="0" fontId="8" fillId="0" borderId="2" applyNumberFormat="0" applyFill="0" applyAlignment="0" applyProtection="0"/>
    <xf numFmtId="0" fontId="9" fillId="0" borderId="3" applyNumberFormat="0" applyFill="0" applyAlignment="0" applyProtection="0"/>
    <xf numFmtId="0" fontId="10" fillId="0" borderId="4" applyNumberFormat="0" applyFill="0" applyAlignment="0" applyProtection="0"/>
    <xf numFmtId="0" fontId="10" fillId="0" borderId="0" applyNumberFormat="0" applyFill="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0" applyNumberFormat="0" applyBorder="0" applyAlignment="0" applyProtection="0"/>
    <xf numFmtId="0" fontId="14" fillId="6" borderId="5" applyNumberFormat="0" applyAlignment="0" applyProtection="0"/>
    <xf numFmtId="0" fontId="15" fillId="7" borderId="6" applyNumberFormat="0" applyAlignment="0" applyProtection="0"/>
    <xf numFmtId="0" fontId="16" fillId="7" borderId="5" applyNumberFormat="0" applyAlignment="0" applyProtection="0"/>
    <xf numFmtId="0" fontId="17" fillId="0" borderId="7" applyNumberFormat="0" applyFill="0" applyAlignment="0" applyProtection="0"/>
    <xf numFmtId="0" fontId="18" fillId="8" borderId="8" applyNumberFormat="0" applyAlignment="0" applyProtection="0"/>
    <xf numFmtId="0" fontId="2" fillId="0" borderId="0" applyNumberFormat="0" applyFill="0" applyBorder="0" applyAlignment="0" applyProtection="0"/>
    <xf numFmtId="0" fontId="1" fillId="9" borderId="9" applyNumberFormat="0" applyFont="0" applyAlignment="0" applyProtection="0"/>
    <xf numFmtId="0" fontId="19" fillId="0" borderId="0" applyNumberFormat="0" applyFill="0" applyBorder="0" applyAlignment="0" applyProtection="0"/>
    <xf numFmtId="0" fontId="20" fillId="0" borderId="10" applyNumberFormat="0" applyFill="0" applyAlignment="0" applyProtection="0"/>
    <xf numFmtId="0" fontId="2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21" fillId="13" borderId="0" applyNumberFormat="0" applyBorder="0" applyAlignment="0" applyProtection="0"/>
    <xf numFmtId="0" fontId="2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33" borderId="0" applyNumberFormat="0" applyBorder="0" applyAlignment="0" applyProtection="0"/>
    <xf numFmtId="0" fontId="1" fillId="0" borderId="0"/>
    <xf numFmtId="9" fontId="1" fillId="0" borderId="0" applyFont="0" applyFill="0" applyBorder="0" applyAlignment="0" applyProtection="0"/>
  </cellStyleXfs>
  <cellXfs count="120">
    <xf numFmtId="0" fontId="0" fillId="0" borderId="0" xfId="0"/>
    <xf numFmtId="0" fontId="0" fillId="0" borderId="0" xfId="0" applyFill="1" applyBorder="1"/>
    <xf numFmtId="0" fontId="0" fillId="2" borderId="1" xfId="0" applyFill="1" applyBorder="1" applyAlignment="1"/>
    <xf numFmtId="0" fontId="3" fillId="2" borderId="1" xfId="0" applyFont="1" applyFill="1" applyBorder="1"/>
    <xf numFmtId="164" fontId="3" fillId="0" borderId="0" xfId="1" applyNumberFormat="1" applyFont="1" applyAlignment="1">
      <alignment horizontal="left"/>
    </xf>
    <xf numFmtId="0" fontId="3" fillId="0" borderId="0" xfId="0" applyFont="1"/>
    <xf numFmtId="0" fontId="0" fillId="0" borderId="0" xfId="0" applyAlignment="1"/>
    <xf numFmtId="0" fontId="4" fillId="0" borderId="0" xfId="0" applyFont="1"/>
    <xf numFmtId="0" fontId="0" fillId="0" borderId="0" xfId="0"/>
    <xf numFmtId="0" fontId="0" fillId="2" borderId="1" xfId="0" applyFill="1" applyBorder="1"/>
    <xf numFmtId="0" fontId="22" fillId="2" borderId="1" xfId="0" applyFont="1" applyFill="1" applyBorder="1"/>
    <xf numFmtId="0" fontId="2" fillId="2" borderId="1" xfId="0" applyFont="1" applyFill="1" applyBorder="1"/>
    <xf numFmtId="0" fontId="20" fillId="0" borderId="0" xfId="0" quotePrefix="1" applyFont="1"/>
    <xf numFmtId="0" fontId="23" fillId="0" borderId="0" xfId="0" applyFont="1" applyAlignment="1"/>
    <xf numFmtId="0" fontId="0" fillId="2" borderId="1" xfId="0" applyFill="1" applyBorder="1" applyAlignment="1">
      <alignment horizontal="center"/>
    </xf>
    <xf numFmtId="0" fontId="26" fillId="2" borderId="1" xfId="0" applyFont="1" applyFill="1" applyBorder="1"/>
    <xf numFmtId="0" fontId="22" fillId="2" borderId="1" xfId="0" applyFont="1" applyFill="1" applyBorder="1" applyAlignment="1">
      <alignment horizontal="center"/>
    </xf>
    <xf numFmtId="0" fontId="0" fillId="2" borderId="1" xfId="0" applyFill="1" applyBorder="1"/>
    <xf numFmtId="0" fontId="22" fillId="2" borderId="1" xfId="0" applyNumberFormat="1" applyFont="1" applyFill="1" applyBorder="1"/>
    <xf numFmtId="0" fontId="27" fillId="0" borderId="1" xfId="2" applyFont="1" applyFill="1" applyBorder="1" applyAlignment="1">
      <alignment horizontal="center" vertical="center"/>
    </xf>
    <xf numFmtId="0" fontId="28" fillId="0" borderId="1" xfId="2" applyFont="1" applyFill="1" applyBorder="1" applyAlignment="1">
      <alignment horizontal="center" vertical="center"/>
    </xf>
    <xf numFmtId="0" fontId="27" fillId="0" borderId="1" xfId="2" applyFont="1" applyBorder="1" applyAlignment="1">
      <alignment horizontal="center" vertical="center"/>
    </xf>
    <xf numFmtId="0" fontId="27" fillId="0" borderId="11" xfId="2" applyFont="1" applyBorder="1" applyAlignment="1">
      <alignment horizontal="center" vertical="center"/>
    </xf>
    <xf numFmtId="0" fontId="27" fillId="0" borderId="11" xfId="2" applyFont="1" applyFill="1" applyBorder="1" applyAlignment="1">
      <alignment horizontal="center" vertical="center"/>
    </xf>
    <xf numFmtId="0" fontId="28" fillId="0" borderId="11" xfId="2" applyFont="1" applyFill="1" applyBorder="1" applyAlignment="1">
      <alignment horizontal="center" vertical="center"/>
    </xf>
    <xf numFmtId="0" fontId="30" fillId="2" borderId="1" xfId="0" applyFont="1" applyFill="1" applyBorder="1"/>
    <xf numFmtId="0" fontId="30" fillId="34" borderId="1" xfId="0" applyFont="1" applyFill="1" applyBorder="1"/>
    <xf numFmtId="0" fontId="30" fillId="2" borderId="1" xfId="0" applyNumberFormat="1" applyFont="1" applyFill="1" applyBorder="1"/>
    <xf numFmtId="0" fontId="30" fillId="34" borderId="1" xfId="0" applyNumberFormat="1" applyFont="1" applyFill="1" applyBorder="1"/>
    <xf numFmtId="0" fontId="31" fillId="2" borderId="1" xfId="0" applyFont="1" applyFill="1" applyBorder="1"/>
    <xf numFmtId="0" fontId="30" fillId="2" borderId="1" xfId="0" applyNumberFormat="1" applyFont="1" applyFill="1" applyBorder="1" applyAlignment="1">
      <alignment horizontal="left"/>
    </xf>
    <xf numFmtId="0" fontId="22" fillId="0" borderId="0" xfId="0" applyFont="1"/>
    <xf numFmtId="0" fontId="22" fillId="2" borderId="1" xfId="0" applyNumberFormat="1" applyFont="1" applyFill="1" applyBorder="1" applyAlignment="1">
      <alignment horizontal="left"/>
    </xf>
    <xf numFmtId="0" fontId="22" fillId="35" borderId="1" xfId="0" applyFont="1" applyFill="1" applyBorder="1"/>
    <xf numFmtId="0" fontId="29" fillId="0" borderId="1" xfId="2" applyFont="1" applyFill="1" applyBorder="1" applyAlignment="1">
      <alignment horizontal="center" vertical="center"/>
    </xf>
    <xf numFmtId="0" fontId="32" fillId="0" borderId="1" xfId="2" applyFont="1" applyFill="1" applyBorder="1" applyAlignment="1">
      <alignment horizontal="center" vertical="center"/>
    </xf>
    <xf numFmtId="0" fontId="27" fillId="0" borderId="0" xfId="2" applyFont="1" applyFill="1" applyBorder="1" applyAlignment="1">
      <alignment horizontal="center" vertical="center"/>
    </xf>
    <xf numFmtId="0" fontId="27" fillId="0" borderId="0" xfId="2" applyFont="1" applyBorder="1" applyAlignment="1">
      <alignment horizontal="center" vertical="center"/>
    </xf>
    <xf numFmtId="0" fontId="28" fillId="0" borderId="0" xfId="2" applyFont="1" applyFill="1" applyBorder="1" applyAlignment="1">
      <alignment horizontal="center" vertical="center"/>
    </xf>
    <xf numFmtId="0" fontId="33" fillId="0" borderId="0" xfId="2" applyFont="1" applyFill="1" applyBorder="1" applyAlignment="1">
      <alignment horizontal="center" vertical="center"/>
    </xf>
    <xf numFmtId="0" fontId="33" fillId="0" borderId="0" xfId="2" applyFont="1" applyBorder="1" applyAlignment="1">
      <alignment horizontal="center" vertical="center"/>
    </xf>
    <xf numFmtId="0" fontId="22" fillId="35" borderId="1" xfId="0" applyNumberFormat="1" applyFont="1" applyFill="1" applyBorder="1"/>
    <xf numFmtId="0" fontId="22" fillId="34" borderId="1" xfId="0" applyFont="1" applyFill="1" applyBorder="1"/>
    <xf numFmtId="0" fontId="22" fillId="36" borderId="1" xfId="0" applyFont="1" applyFill="1" applyBorder="1"/>
    <xf numFmtId="0" fontId="33" fillId="0" borderId="0" xfId="2" applyFont="1" applyFill="1" applyBorder="1" applyAlignment="1">
      <alignment horizontal="left" vertical="center"/>
    </xf>
    <xf numFmtId="0" fontId="33" fillId="0" borderId="0" xfId="2" applyFont="1" applyFill="1" applyBorder="1" applyAlignment="1">
      <alignment horizontal="center" vertical="top" wrapText="1"/>
    </xf>
    <xf numFmtId="0" fontId="0" fillId="0" borderId="0" xfId="0" applyFont="1" applyBorder="1"/>
    <xf numFmtId="0" fontId="5" fillId="0" borderId="0" xfId="2" applyFont="1" applyBorder="1"/>
    <xf numFmtId="0" fontId="34" fillId="2" borderId="1" xfId="0" applyFont="1" applyFill="1" applyBorder="1"/>
    <xf numFmtId="0" fontId="0" fillId="0" borderId="0" xfId="0" applyAlignment="1">
      <alignment horizontal="left"/>
    </xf>
    <xf numFmtId="0" fontId="22" fillId="0" borderId="0" xfId="0" applyFont="1" applyAlignment="1">
      <alignment horizontal="left"/>
    </xf>
    <xf numFmtId="0" fontId="0" fillId="0" borderId="0" xfId="0" applyFont="1" applyAlignment="1">
      <alignment horizontal="left"/>
    </xf>
    <xf numFmtId="0" fontId="33" fillId="0" borderId="0" xfId="2" applyFont="1" applyBorder="1" applyAlignment="1">
      <alignment horizontal="left" vertical="center"/>
    </xf>
    <xf numFmtId="14" fontId="22" fillId="0" borderId="0" xfId="0" applyNumberFormat="1" applyFont="1" applyFill="1" applyBorder="1" applyAlignment="1"/>
    <xf numFmtId="0" fontId="22" fillId="0" borderId="0" xfId="0" applyFont="1" applyAlignment="1">
      <alignment horizontal="center"/>
    </xf>
    <xf numFmtId="0" fontId="0" fillId="0" borderId="0" xfId="0" applyAlignment="1">
      <alignment horizontal="center"/>
    </xf>
    <xf numFmtId="0" fontId="28" fillId="0" borderId="1" xfId="2" applyFont="1" applyFill="1" applyBorder="1" applyAlignment="1">
      <alignment horizontal="center" vertical="center"/>
    </xf>
    <xf numFmtId="0" fontId="27" fillId="0" borderId="0" xfId="2" applyFont="1" applyFill="1" applyBorder="1" applyAlignment="1">
      <alignment horizontal="center" vertical="center"/>
    </xf>
    <xf numFmtId="14" fontId="2" fillId="0" borderId="0" xfId="0" applyNumberFormat="1" applyFont="1" applyFill="1" applyBorder="1" applyAlignment="1"/>
    <xf numFmtId="14" fontId="2" fillId="0" borderId="1" xfId="0" applyNumberFormat="1" applyFont="1" applyFill="1" applyBorder="1" applyAlignment="1"/>
    <xf numFmtId="0" fontId="2" fillId="0" borderId="1" xfId="0" applyFont="1" applyBorder="1"/>
    <xf numFmtId="14" fontId="2" fillId="0" borderId="1" xfId="0" applyNumberFormat="1" applyFont="1" applyFill="1" applyBorder="1" applyAlignment="1">
      <alignment wrapText="1"/>
    </xf>
    <xf numFmtId="164" fontId="0" fillId="0" borderId="1" xfId="1" applyNumberFormat="1" applyFont="1" applyFill="1" applyBorder="1"/>
    <xf numFmtId="0" fontId="0" fillId="0" borderId="1" xfId="0" applyBorder="1"/>
    <xf numFmtId="0" fontId="33" fillId="0" borderId="1" xfId="2" applyFont="1" applyFill="1" applyBorder="1" applyAlignment="1">
      <alignment horizontal="center" vertical="center"/>
    </xf>
    <xf numFmtId="0" fontId="35" fillId="0" borderId="1" xfId="2" applyFont="1" applyFill="1" applyBorder="1" applyAlignment="1">
      <alignment horizontal="center" vertical="center"/>
    </xf>
    <xf numFmtId="0" fontId="28" fillId="0" borderId="1" xfId="2" applyFont="1" applyFill="1" applyBorder="1" applyAlignment="1">
      <alignment horizontal="left" vertical="center"/>
    </xf>
    <xf numFmtId="0" fontId="2" fillId="0" borderId="0" xfId="0" applyFont="1"/>
    <xf numFmtId="0" fontId="33" fillId="0" borderId="1" xfId="2" applyFont="1" applyBorder="1" applyAlignment="1">
      <alignment horizontal="left" vertical="center"/>
    </xf>
    <xf numFmtId="0" fontId="2" fillId="0" borderId="0" xfId="0" applyFont="1" applyBorder="1"/>
    <xf numFmtId="0" fontId="0" fillId="0" borderId="0" xfId="0" applyBorder="1"/>
    <xf numFmtId="14" fontId="2" fillId="0" borderId="0" xfId="0" applyNumberFormat="1" applyFont="1" applyFill="1" applyAlignment="1"/>
    <xf numFmtId="164" fontId="0" fillId="0" borderId="0" xfId="1" applyNumberFormat="1" applyFont="1" applyFill="1" applyBorder="1"/>
    <xf numFmtId="0" fontId="0" fillId="0" borderId="1" xfId="0" applyBorder="1" applyAlignment="1">
      <alignment horizontal="center"/>
    </xf>
    <xf numFmtId="0" fontId="0" fillId="0" borderId="0" xfId="0" applyFont="1" applyBorder="1" applyAlignment="1">
      <alignment horizontal="left"/>
    </xf>
    <xf numFmtId="0" fontId="0" fillId="0" borderId="0" xfId="0" applyBorder="1" applyAlignment="1">
      <alignment horizontal="center"/>
    </xf>
    <xf numFmtId="0" fontId="33" fillId="0" borderId="1" xfId="2" applyFont="1" applyFill="1" applyBorder="1" applyAlignment="1">
      <alignment horizontal="left" vertical="center"/>
    </xf>
    <xf numFmtId="0" fontId="22" fillId="37" borderId="1" xfId="0" applyFont="1" applyFill="1" applyBorder="1"/>
    <xf numFmtId="0" fontId="22" fillId="37" borderId="1" xfId="0" applyNumberFormat="1" applyFont="1" applyFill="1" applyBorder="1"/>
    <xf numFmtId="0" fontId="0" fillId="0" borderId="0" xfId="0" applyBorder="1" applyAlignment="1">
      <alignment horizontal="left"/>
    </xf>
    <xf numFmtId="0" fontId="0" fillId="0" borderId="1" xfId="0" applyFont="1" applyBorder="1" applyAlignment="1">
      <alignment horizontal="left"/>
    </xf>
    <xf numFmtId="0" fontId="34" fillId="2" borderId="1" xfId="0" applyNumberFormat="1" applyFont="1" applyFill="1" applyBorder="1"/>
    <xf numFmtId="0" fontId="35" fillId="0" borderId="0" xfId="2" applyFont="1" applyFill="1" applyBorder="1" applyAlignment="1">
      <alignment horizontal="center" vertical="center"/>
    </xf>
    <xf numFmtId="1" fontId="36" fillId="0" borderId="0" xfId="0" applyNumberFormat="1" applyFont="1" applyBorder="1" applyAlignment="1">
      <alignment horizontal="center"/>
    </xf>
    <xf numFmtId="1" fontId="36" fillId="0" borderId="1" xfId="0" applyNumberFormat="1" applyFont="1" applyBorder="1" applyAlignment="1">
      <alignment horizontal="center"/>
    </xf>
    <xf numFmtId="0" fontId="33" fillId="0" borderId="1" xfId="2" applyNumberFormat="1" applyFont="1" applyFill="1" applyBorder="1" applyAlignment="1">
      <alignment horizontal="center" vertical="center"/>
    </xf>
    <xf numFmtId="0" fontId="27" fillId="0" borderId="1" xfId="2" applyFont="1" applyFill="1" applyBorder="1" applyAlignment="1">
      <alignment horizontal="center" vertical="top" wrapText="1"/>
    </xf>
    <xf numFmtId="0" fontId="33" fillId="0" borderId="0" xfId="2" applyNumberFormat="1" applyFont="1" applyFill="1" applyBorder="1" applyAlignment="1">
      <alignment horizontal="center" vertical="center"/>
    </xf>
    <xf numFmtId="0" fontId="0" fillId="0" borderId="0" xfId="0" applyAlignment="1">
      <alignment horizontal="center"/>
    </xf>
    <xf numFmtId="1" fontId="36" fillId="0" borderId="0" xfId="0" applyNumberFormat="1" applyFont="1" applyBorder="1" applyAlignment="1">
      <alignment horizontal="center"/>
    </xf>
    <xf numFmtId="0" fontId="2" fillId="0" borderId="0" xfId="0" applyFont="1"/>
    <xf numFmtId="0" fontId="27" fillId="0" borderId="1" xfId="2" applyFont="1" applyBorder="1" applyAlignment="1">
      <alignment horizontal="center" vertical="center"/>
    </xf>
    <xf numFmtId="0" fontId="2" fillId="0" borderId="0" xfId="0" applyFont="1"/>
    <xf numFmtId="0" fontId="27" fillId="0" borderId="1" xfId="2" applyFont="1" applyFill="1" applyBorder="1" applyAlignment="1">
      <alignment horizontal="center" vertical="center"/>
    </xf>
    <xf numFmtId="49" fontId="33" fillId="0" borderId="0" xfId="2" applyNumberFormat="1" applyFont="1" applyFill="1" applyBorder="1" applyAlignment="1">
      <alignment horizontal="center" vertical="center"/>
    </xf>
    <xf numFmtId="0" fontId="0" fillId="0" borderId="0" xfId="0"/>
    <xf numFmtId="0" fontId="2" fillId="0" borderId="0" xfId="0" applyFont="1"/>
    <xf numFmtId="49" fontId="33" fillId="0" borderId="1" xfId="2" applyNumberFormat="1" applyFont="1" applyFill="1" applyBorder="1" applyAlignment="1">
      <alignment horizontal="center" vertical="center"/>
    </xf>
    <xf numFmtId="0" fontId="0" fillId="0" borderId="0" xfId="0" applyAlignment="1">
      <alignment horizontal="center"/>
    </xf>
    <xf numFmtId="0" fontId="36" fillId="0" borderId="0" xfId="0" applyNumberFormat="1" applyFont="1" applyBorder="1" applyAlignment="1">
      <alignment horizontal="center"/>
    </xf>
    <xf numFmtId="0" fontId="33" fillId="0" borderId="0" xfId="2" applyNumberFormat="1" applyFont="1" applyFill="1" applyAlignment="1">
      <alignment horizontal="center" vertical="center"/>
    </xf>
    <xf numFmtId="0" fontId="37" fillId="0" borderId="0" xfId="5" applyFont="1" applyBorder="1" applyAlignment="1">
      <alignment horizontal="center" vertical="center" wrapText="1"/>
    </xf>
    <xf numFmtId="0" fontId="37" fillId="0" borderId="0" xfId="5" applyNumberFormat="1" applyFont="1" applyBorder="1" applyAlignment="1">
      <alignment horizontal="center" vertical="center" wrapText="1"/>
    </xf>
    <xf numFmtId="0" fontId="38" fillId="0" borderId="0" xfId="5" applyNumberFormat="1" applyFont="1" applyBorder="1" applyAlignment="1">
      <alignment horizontal="center" vertical="center" wrapText="1"/>
    </xf>
    <xf numFmtId="0" fontId="0" fillId="34" borderId="0" xfId="0" applyFill="1" applyAlignment="1">
      <alignment horizontal="center"/>
    </xf>
    <xf numFmtId="0" fontId="0" fillId="0" borderId="1" xfId="0"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0" fontId="13" fillId="5" borderId="1" xfId="21" applyBorder="1"/>
    <xf numFmtId="0" fontId="0" fillId="0" borderId="0" xfId="0" applyAlignment="1">
      <alignment horizontal="center"/>
    </xf>
    <xf numFmtId="0" fontId="0" fillId="0" borderId="0" xfId="0" applyAlignment="1">
      <alignment horizontal="center"/>
    </xf>
    <xf numFmtId="0" fontId="22" fillId="38" borderId="1" xfId="0" applyFont="1" applyFill="1" applyBorder="1"/>
    <xf numFmtId="0" fontId="13" fillId="38" borderId="1" xfId="21" applyFill="1" applyBorder="1"/>
    <xf numFmtId="0" fontId="0" fillId="0" borderId="0" xfId="0" applyAlignment="1">
      <alignment horizontal="center"/>
    </xf>
    <xf numFmtId="0" fontId="22" fillId="39" borderId="1" xfId="0" applyFont="1" applyFill="1" applyBorder="1"/>
    <xf numFmtId="0" fontId="0" fillId="0" borderId="0" xfId="0" applyAlignment="1">
      <alignment horizontal="center"/>
    </xf>
  </cellXfs>
  <cellStyles count="57">
    <cellStyle name="20% - Accent1" xfId="32" builtinId="30" customBuiltin="1"/>
    <cellStyle name="20% - Accent2" xfId="36" builtinId="34" customBuiltin="1"/>
    <cellStyle name="20% - Accent3" xfId="40" builtinId="38" customBuiltin="1"/>
    <cellStyle name="20% - Accent4" xfId="44" builtinId="42" customBuiltin="1"/>
    <cellStyle name="20% - Accent5" xfId="48" builtinId="46" customBuiltin="1"/>
    <cellStyle name="20% - Accent6" xfId="52" builtinId="50" customBuiltin="1"/>
    <cellStyle name="40% - Accent1" xfId="33" builtinId="31" customBuiltin="1"/>
    <cellStyle name="40% - Accent2" xfId="37" builtinId="35" customBuiltin="1"/>
    <cellStyle name="40% - Accent3" xfId="41" builtinId="39" customBuiltin="1"/>
    <cellStyle name="40% - Accent4" xfId="45" builtinId="43" customBuiltin="1"/>
    <cellStyle name="40% - Accent5" xfId="49" builtinId="47" customBuiltin="1"/>
    <cellStyle name="40% - Accent6" xfId="53" builtinId="51" customBuiltin="1"/>
    <cellStyle name="60% - Accent1" xfId="34" builtinId="32" customBuiltin="1"/>
    <cellStyle name="60% - Accent2" xfId="38" builtinId="36" customBuiltin="1"/>
    <cellStyle name="60% - Accent3" xfId="42" builtinId="40" customBuiltin="1"/>
    <cellStyle name="60% - Accent4" xfId="46" builtinId="44" customBuiltin="1"/>
    <cellStyle name="60% - Accent5" xfId="50" builtinId="48" customBuiltin="1"/>
    <cellStyle name="60% - Accent6" xfId="54" builtinId="52" customBuiltin="1"/>
    <cellStyle name="Accent1" xfId="31" builtinId="29" customBuiltin="1"/>
    <cellStyle name="Accent2" xfId="35" builtinId="33" customBuiltin="1"/>
    <cellStyle name="Accent3" xfId="39" builtinId="37" customBuiltin="1"/>
    <cellStyle name="Accent4" xfId="43" builtinId="41" customBuiltin="1"/>
    <cellStyle name="Accent5" xfId="47" builtinId="45" customBuiltin="1"/>
    <cellStyle name="Accent6" xfId="51" builtinId="49" customBuiltin="1"/>
    <cellStyle name="Bad" xfId="20" builtinId="27" customBuiltin="1"/>
    <cellStyle name="Calculation" xfId="24" builtinId="22" customBuiltin="1"/>
    <cellStyle name="Check Cell" xfId="26" builtinId="23" customBuiltin="1"/>
    <cellStyle name="Comma" xfId="1" builtinId="3"/>
    <cellStyle name="Currency 2" xfId="6"/>
    <cellStyle name="Currency 2 2" xfId="7"/>
    <cellStyle name="Explanatory Text" xfId="29"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Input" xfId="22" builtinId="20" customBuiltin="1"/>
    <cellStyle name="Linked Cell" xfId="25" builtinId="24" customBuiltin="1"/>
    <cellStyle name="Neutral" xfId="21" builtinId="28" customBuiltin="1"/>
    <cellStyle name="Normal" xfId="0" builtinId="0"/>
    <cellStyle name="Normal 2" xfId="2"/>
    <cellStyle name="Normal 2 2" xfId="8"/>
    <cellStyle name="Normal 2 2 2" xfId="5"/>
    <cellStyle name="Normal 2 3" xfId="9"/>
    <cellStyle name="Normal 3" xfId="3"/>
    <cellStyle name="Normal 3 2" xfId="10"/>
    <cellStyle name="Normal 3 3" xfId="4"/>
    <cellStyle name="Normal 4" xfId="11"/>
    <cellStyle name="Normal 5" xfId="12"/>
    <cellStyle name="Normal 6" xfId="13"/>
    <cellStyle name="Normal 7" xfId="55"/>
    <cellStyle name="Note" xfId="28" builtinId="10" customBuiltin="1"/>
    <cellStyle name="Output" xfId="23" builtinId="21" customBuiltin="1"/>
    <cellStyle name="Percent 3" xfId="56"/>
    <cellStyle name="Title" xfId="14" builtinId="15" customBuiltin="1"/>
    <cellStyle name="Total" xfId="30" builtinId="25" customBuiltin="1"/>
    <cellStyle name="Warning Text" xfId="27" builtinId="11" customBuiltin="1"/>
  </cellStyles>
  <dxfs count="8">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ndense val="0"/>
        <extend val="0"/>
        <color rgb="FF9C0006"/>
      </font>
      <fill>
        <patternFill>
          <bgColor rgb="FFFFC7CE"/>
        </patternFill>
      </fill>
    </dxf>
    <dxf>
      <font>
        <color rgb="FF9C6500"/>
      </font>
      <fill>
        <patternFill>
          <bgColor rgb="FFFFEB9C"/>
        </patternFill>
      </fill>
    </dxf>
  </dxfs>
  <tableStyles count="0" defaultTableStyle="TableStyleMedium9" defaultPivotStyle="PivotStyleLight16"/>
  <colors>
    <mruColors>
      <color rgb="FF008000"/>
      <color rgb="FF0066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7</xdr:col>
      <xdr:colOff>685800</xdr:colOff>
      <xdr:row>8</xdr:row>
      <xdr:rowOff>76201</xdr:rowOff>
    </xdr:from>
    <xdr:to>
      <xdr:col>11</xdr:col>
      <xdr:colOff>47625</xdr:colOff>
      <xdr:row>53</xdr:row>
      <xdr:rowOff>180974</xdr:rowOff>
    </xdr:to>
    <xdr:sp macro="" textlink="">
      <xdr:nvSpPr>
        <xdr:cNvPr id="2" name="TextBox 1"/>
        <xdr:cNvSpPr txBox="1"/>
      </xdr:nvSpPr>
      <xdr:spPr>
        <a:xfrm>
          <a:off x="5848350" y="1647826"/>
          <a:ext cx="3886200" cy="8677273"/>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extrusionH="177800">
          <a:bevelT w="38100"/>
          <a:bevelB w="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accent6">
                  <a:lumMod val="50000"/>
                </a:schemeClr>
              </a:solidFill>
            </a:rPr>
            <a:t>This</a:t>
          </a:r>
          <a:r>
            <a:rPr lang="en-US" sz="1100" baseline="0">
              <a:solidFill>
                <a:schemeClr val="accent6">
                  <a:lumMod val="50000"/>
                </a:schemeClr>
              </a:solidFill>
            </a:rPr>
            <a:t> worksheet contains specifications for the associated macro. Included here are some needt-to-know points for utilizing the macro. </a:t>
          </a:r>
        </a:p>
        <a:p>
          <a:endParaRPr lang="en-US" sz="1100" b="1" u="none" baseline="0">
            <a:solidFill>
              <a:schemeClr val="accent6">
                <a:lumMod val="50000"/>
              </a:schemeClr>
            </a:solidFill>
          </a:endParaRPr>
        </a:p>
        <a:p>
          <a:r>
            <a:rPr lang="en-US" sz="1100" b="1" u="none" baseline="0">
              <a:solidFill>
                <a:schemeClr val="accent6">
                  <a:lumMod val="50000"/>
                </a:schemeClr>
              </a:solidFill>
            </a:rPr>
            <a:t>GREEN CELLS SHOULD BE SPECIFIED BY THE USER</a:t>
          </a:r>
        </a:p>
        <a:p>
          <a:endParaRPr lang="en-US" sz="1100" baseline="0">
            <a:solidFill>
              <a:schemeClr val="accent6">
                <a:lumMod val="50000"/>
              </a:schemeClr>
            </a:solidFill>
          </a:endParaRPr>
        </a:p>
        <a:p>
          <a:r>
            <a:rPr lang="en-US" sz="1100" baseline="0">
              <a:solidFill>
                <a:schemeClr val="accent6">
                  <a:lumMod val="50000"/>
                </a:schemeClr>
              </a:solidFill>
            </a:rPr>
            <a:t>Output: one Excel file for each detector containing, </a:t>
          </a:r>
        </a:p>
        <a:p>
          <a:endParaRPr lang="en-US" sz="1100" baseline="0">
            <a:solidFill>
              <a:schemeClr val="accent6">
                <a:lumMod val="50000"/>
              </a:schemeClr>
            </a:solidFill>
          </a:endParaRPr>
        </a:p>
        <a:p>
          <a:r>
            <a:rPr lang="en-US" sz="1100" baseline="0">
              <a:solidFill>
                <a:schemeClr val="accent6">
                  <a:lumMod val="50000"/>
                </a:schemeClr>
              </a:solidFill>
            </a:rPr>
            <a:t>1) 5-minute speed, throughput, and occupancy values for all lanes together, GP lanes only, and HOV lanes only, for all days of the analysis year. </a:t>
          </a:r>
        </a:p>
        <a:p>
          <a:endParaRPr lang="en-US" sz="1100" baseline="0">
            <a:solidFill>
              <a:schemeClr val="accent6">
                <a:lumMod val="50000"/>
              </a:schemeClr>
            </a:solidFill>
          </a:endParaRPr>
        </a:p>
        <a:p>
          <a:r>
            <a:rPr lang="en-US" sz="1100" baseline="0">
              <a:solidFill>
                <a:schemeClr val="accent6">
                  <a:lumMod val="50000"/>
                </a:schemeClr>
              </a:solidFill>
            </a:rPr>
            <a:t>2) Calculated performance Measures: </a:t>
          </a:r>
        </a:p>
        <a:p>
          <a:r>
            <a:rPr lang="en-US" sz="1100" baseline="0">
              <a:solidFill>
                <a:schemeClr val="accent6">
                  <a:lumMod val="50000"/>
                </a:schemeClr>
              </a:solidFill>
            </a:rPr>
            <a:t>   a. Annual hourly and annual 5-minute average speed, vph (volume per hour), and occupancy percent, as well as </a:t>
          </a:r>
        </a:p>
        <a:p>
          <a:r>
            <a:rPr lang="en-US" sz="1100" baseline="0">
              <a:solidFill>
                <a:schemeClr val="accent6">
                  <a:lumMod val="50000"/>
                </a:schemeClr>
              </a:solidFill>
            </a:rPr>
            <a:t>   b. lost productivity calculation and graphic. </a:t>
          </a:r>
        </a:p>
        <a:p>
          <a:r>
            <a:rPr lang="en-US" sz="1100" baseline="0">
              <a:solidFill>
                <a:schemeClr val="accent6">
                  <a:lumMod val="50000"/>
                </a:schemeClr>
              </a:solidFill>
            </a:rPr>
            <a:t>   c. extent of congestions calculation (to be used in corridor level template). </a:t>
          </a:r>
        </a:p>
        <a:p>
          <a:endParaRPr lang="en-US" sz="1100" baseline="0">
            <a:solidFill>
              <a:schemeClr val="accent6">
                <a:lumMod val="50000"/>
              </a:schemeClr>
            </a:solidFill>
          </a:endParaRPr>
        </a:p>
        <a:p>
          <a:r>
            <a:rPr lang="en-US" sz="1100" baseline="0">
              <a:solidFill>
                <a:schemeClr val="accent6">
                  <a:lumMod val="50000"/>
                </a:schemeClr>
              </a:solidFill>
            </a:rPr>
            <a:t>3) Quality control pannel with information on when and where what types of data errors exist as well as other data quality measures. Note that flaged data rows are omitted from result tables and calculated averages. </a:t>
          </a:r>
        </a:p>
        <a:p>
          <a:endParaRPr lang="en-US" sz="1100" baseline="0">
            <a:solidFill>
              <a:schemeClr val="accent6">
                <a:lumMod val="50000"/>
              </a:schemeClr>
            </a:solidFill>
          </a:endParaRPr>
        </a:p>
        <a:p>
          <a:endParaRPr lang="en-US" sz="1100" baseline="0">
            <a:solidFill>
              <a:schemeClr val="accent6">
                <a:lumMod val="50000"/>
              </a:schemeClr>
            </a:solidFill>
          </a:endParaRPr>
        </a:p>
        <a:p>
          <a:r>
            <a:rPr lang="en-US" sz="1100" baseline="0">
              <a:solidFill>
                <a:schemeClr val="accent6">
                  <a:lumMod val="50000"/>
                </a:schemeClr>
              </a:solidFill>
            </a:rPr>
            <a:t>Source files and templates needed: </a:t>
          </a:r>
        </a:p>
        <a:p>
          <a:endParaRPr lang="en-US" sz="1100" baseline="0">
            <a:solidFill>
              <a:schemeClr val="accent6">
                <a:lumMod val="50000"/>
              </a:schemeClr>
            </a:solidFill>
          </a:endParaRPr>
        </a:p>
        <a:p>
          <a:r>
            <a:rPr lang="en-US" sz="1100" baseline="0">
              <a:solidFill>
                <a:schemeClr val="accent6">
                  <a:lumMod val="50000"/>
                </a:schemeClr>
              </a:solidFill>
            </a:rPr>
            <a:t>1) Annual </a:t>
          </a:r>
          <a:r>
            <a:rPr lang="en-US" sz="1100" u="sng" baseline="0">
              <a:solidFill>
                <a:schemeClr val="accent6">
                  <a:lumMod val="50000"/>
                </a:schemeClr>
              </a:solidFill>
            </a:rPr>
            <a:t>detector text file</a:t>
          </a:r>
          <a:r>
            <a:rPr lang="en-US" sz="1100" baseline="0">
              <a:solidFill>
                <a:schemeClr val="accent6">
                  <a:lumMod val="50000"/>
                </a:schemeClr>
              </a:solidFill>
            </a:rPr>
            <a:t> containing all raw data for the entire analysis year. </a:t>
          </a:r>
        </a:p>
        <a:p>
          <a:r>
            <a:rPr lang="en-US" sz="1100" baseline="0">
              <a:solidFill>
                <a:schemeClr val="accent6">
                  <a:lumMod val="50000"/>
                </a:schemeClr>
              </a:solidFill>
            </a:rPr>
            <a:t>A previous step has taken place to create these text files from the daily 5-minute raw data text files from ADOT. </a:t>
          </a:r>
        </a:p>
        <a:p>
          <a:endParaRPr lang="en-US" sz="1100" baseline="0">
            <a:solidFill>
              <a:schemeClr val="accent6">
                <a:lumMod val="50000"/>
              </a:schemeClr>
            </a:solidFill>
          </a:endParaRPr>
        </a:p>
        <a:p>
          <a:r>
            <a:rPr lang="en-US" sz="1100" baseline="0">
              <a:solidFill>
                <a:schemeClr val="accent6">
                  <a:lumMod val="50000"/>
                </a:schemeClr>
              </a:solidFill>
            </a:rPr>
            <a:t>2) </a:t>
          </a:r>
          <a:r>
            <a:rPr lang="en-US" sz="1100" u="sng" baseline="0">
              <a:solidFill>
                <a:schemeClr val="accent6">
                  <a:lumMod val="50000"/>
                </a:schemeClr>
              </a:solidFill>
            </a:rPr>
            <a:t>Calculation template</a:t>
          </a:r>
          <a:r>
            <a:rPr lang="en-US" sz="1100" baseline="0">
              <a:solidFill>
                <a:schemeClr val="accent6">
                  <a:lumMod val="50000"/>
                </a:schemeClr>
              </a:solidFill>
            </a:rPr>
            <a:t> where raw data is processed and aggregated. </a:t>
          </a:r>
        </a:p>
        <a:p>
          <a:r>
            <a:rPr lang="en-US" sz="1100" baseline="0">
              <a:solidFill>
                <a:schemeClr val="accent6">
                  <a:lumMod val="50000"/>
                </a:schemeClr>
              </a:solidFill>
            </a:rPr>
            <a:t>The standard version of this file is for regular lane configurations where the 8 lane columns in the raw data contain data from the right lane to the hov lane only. Variations listed from 2-7 exist for situations where additional lanes are included after the hov or left lane, usually at interchange locations. These alternative templates specify use of the first 2, 3... or 7 of the 8 lane columns in the raw data. </a:t>
          </a:r>
        </a:p>
        <a:p>
          <a:endParaRPr lang="en-US" sz="1100" baseline="0">
            <a:solidFill>
              <a:schemeClr val="accent6">
                <a:lumMod val="50000"/>
              </a:schemeClr>
            </a:solidFill>
          </a:endParaRPr>
        </a:p>
        <a:p>
          <a:r>
            <a:rPr lang="en-US" sz="1100" baseline="0">
              <a:solidFill>
                <a:schemeClr val="accent6">
                  <a:lumMod val="50000"/>
                </a:schemeClr>
              </a:solidFill>
            </a:rPr>
            <a:t>3) Empty </a:t>
          </a:r>
          <a:r>
            <a:rPr lang="en-US" sz="1100" u="sng" baseline="0">
              <a:solidFill>
                <a:schemeClr val="accent6">
                  <a:lumMod val="50000"/>
                </a:schemeClr>
              </a:solidFill>
            </a:rPr>
            <a:t>receptical template</a:t>
          </a:r>
          <a:r>
            <a:rPr lang="en-US" sz="1100" baseline="0">
              <a:solidFill>
                <a:schemeClr val="accent6">
                  <a:lumMod val="50000"/>
                </a:schemeClr>
              </a:solidFill>
            </a:rPr>
            <a:t> where processed and aggregated data is  copied. This template contains quality assesment and summary formulas, and when saved as the output file, contains all calculated averages accross lanes for each 5-minute interval as well as the calculated performance measures, summaries and quality assement measures. </a:t>
          </a:r>
        </a:p>
      </xdr:txBody>
    </xdr:sp>
    <xdr:clientData/>
  </xdr:twoCellAnchor>
  <xdr:twoCellAnchor>
    <xdr:from>
      <xdr:col>7</xdr:col>
      <xdr:colOff>628650</xdr:colOff>
      <xdr:row>57</xdr:row>
      <xdr:rowOff>180974</xdr:rowOff>
    </xdr:from>
    <xdr:to>
      <xdr:col>10</xdr:col>
      <xdr:colOff>600075</xdr:colOff>
      <xdr:row>93</xdr:row>
      <xdr:rowOff>47625</xdr:rowOff>
    </xdr:to>
    <xdr:sp macro="" textlink="">
      <xdr:nvSpPr>
        <xdr:cNvPr id="3" name="TextBox 2"/>
        <xdr:cNvSpPr txBox="1"/>
      </xdr:nvSpPr>
      <xdr:spPr>
        <a:xfrm>
          <a:off x="5791200" y="11087099"/>
          <a:ext cx="3886200" cy="67246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accent6">
                  <a:lumMod val="50000"/>
                </a:schemeClr>
              </a:solidFill>
            </a:rPr>
            <a:t>The</a:t>
          </a:r>
          <a:r>
            <a:rPr lang="en-US" sz="1100" baseline="0">
              <a:solidFill>
                <a:schemeClr val="accent6">
                  <a:lumMod val="50000"/>
                </a:schemeClr>
              </a:solidFill>
            </a:rPr>
            <a:t> Step3 macro and tab create the summary .xlsx file for each detector.  This step cannot be carried out without the use of the processing template where the data cleaning rules are programeed and the repository templates where the cleaned data are stored and aggregated into select anual performance measures. This macro is really just a script for moving the raw data to and through these templates. </a:t>
          </a:r>
        </a:p>
        <a:p>
          <a:endParaRPr lang="en-US" sz="1100" baseline="0">
            <a:solidFill>
              <a:schemeClr val="accent6">
                <a:lumMod val="50000"/>
              </a:schemeClr>
            </a:solidFill>
          </a:endParaRPr>
        </a:p>
        <a:p>
          <a:r>
            <a:rPr lang="en-US" sz="1100" baseline="0">
              <a:solidFill>
                <a:schemeClr val="accent6">
                  <a:lumMod val="50000"/>
                </a:schemeClr>
              </a:solidFill>
            </a:rPr>
            <a:t>Source file: individual detector raw data text files </a:t>
          </a:r>
        </a:p>
        <a:p>
          <a:r>
            <a:rPr lang="en-US" sz="1100" baseline="0">
              <a:solidFill>
                <a:schemeClr val="accent6">
                  <a:lumMod val="50000"/>
                </a:schemeClr>
              </a:solidFill>
            </a:rPr>
            <a:t>Uses: Step3 and Step4 template files</a:t>
          </a:r>
        </a:p>
        <a:p>
          <a:endParaRPr lang="en-US" sz="1100" baseline="0">
            <a:solidFill>
              <a:schemeClr val="accent6">
                <a:lumMod val="50000"/>
              </a:schemeClr>
            </a:solidFill>
          </a:endParaRPr>
        </a:p>
        <a:p>
          <a:r>
            <a:rPr lang="en-US" sz="1100" baseline="0">
              <a:solidFill>
                <a:schemeClr val="accent6">
                  <a:lumMod val="50000"/>
                </a:schemeClr>
              </a:solidFill>
            </a:rPr>
            <a:t>Instructions: </a:t>
          </a:r>
        </a:p>
        <a:p>
          <a:r>
            <a:rPr lang="en-US" sz="1100" baseline="0">
              <a:solidFill>
                <a:schemeClr val="accent6">
                  <a:lumMod val="50000"/>
                </a:schemeClr>
              </a:solidFill>
            </a:rPr>
            <a:t>(1)  The </a:t>
          </a:r>
          <a:r>
            <a:rPr lang="en-US" sz="1100" u="sng" baseline="0">
              <a:solidFill>
                <a:schemeClr val="accent6">
                  <a:lumMod val="50000"/>
                </a:schemeClr>
              </a:solidFill>
            </a:rPr>
            <a:t>number of active lanes</a:t>
          </a:r>
          <a:r>
            <a:rPr lang="en-US" sz="1100" baseline="0">
              <a:solidFill>
                <a:schemeClr val="accent6">
                  <a:lumMod val="50000"/>
                </a:schemeClr>
              </a:solidFill>
            </a:rPr>
            <a:t> at each detector needs to be identified. Results are then calculated for the average of all lanes together, all but the last lane (for GP only), and the last lane individually (for HOV). Locations where HOV lanes do not exist or where the configuration of the lanes in the raw data file struction is not right to left may need to be analyzed differently through specifying the relevant number of lanes and properly interpreting the results.</a:t>
          </a:r>
        </a:p>
        <a:p>
          <a:r>
            <a:rPr lang="en-US" sz="1100" baseline="0">
              <a:solidFill>
                <a:schemeClr val="accent6">
                  <a:lumMod val="50000"/>
                </a:schemeClr>
              </a:solidFill>
            </a:rPr>
            <a:t>(2)  Two </a:t>
          </a:r>
          <a:r>
            <a:rPr lang="en-US" sz="1100" u="sng" baseline="0">
              <a:solidFill>
                <a:schemeClr val="accent6">
                  <a:lumMod val="50000"/>
                </a:schemeClr>
              </a:solidFill>
            </a:rPr>
            <a:t>template files</a:t>
          </a:r>
          <a:r>
            <a:rPr lang="en-US" sz="1100" baseline="0">
              <a:solidFill>
                <a:schemeClr val="accent6">
                  <a:lumMod val="50000"/>
                </a:schemeClr>
              </a:solidFill>
            </a:rPr>
            <a:t> are used in this analysis... </a:t>
          </a:r>
        </a:p>
        <a:p>
          <a:r>
            <a:rPr lang="en-US" sz="1100" baseline="0">
              <a:solidFill>
                <a:schemeClr val="accent6">
                  <a:lumMod val="50000"/>
                </a:schemeClr>
              </a:solidFill>
            </a:rPr>
            <a:t>The recemptive template where processed data is to be stored contains a "Date" tab corresponding to the specific configuration of the dates for that particular year. This worksheed must accurately </a:t>
          </a:r>
        </a:p>
        <a:p>
          <a:r>
            <a:rPr lang="en-US" sz="1100" baseline="0">
              <a:solidFill>
                <a:schemeClr val="accent6">
                  <a:lumMod val="50000"/>
                </a:schemeClr>
              </a:solidFill>
            </a:rPr>
            <a:t>(3)  The number of days for the </a:t>
          </a:r>
          <a:r>
            <a:rPr lang="en-US" sz="1100" u="sng" baseline="0">
              <a:solidFill>
                <a:schemeClr val="accent6">
                  <a:lumMod val="50000"/>
                </a:schemeClr>
              </a:solidFill>
            </a:rPr>
            <a:t>full year and non-holiday weekdays</a:t>
          </a:r>
          <a:r>
            <a:rPr lang="en-US" sz="1100" baseline="0">
              <a:solidFill>
                <a:schemeClr val="accent6">
                  <a:lumMod val="50000"/>
                </a:schemeClr>
              </a:solidFill>
            </a:rPr>
            <a:t> must be specified here and must correspond to the Date tab in the first template.  </a:t>
          </a:r>
        </a:p>
        <a:p>
          <a:r>
            <a:rPr lang="en-US" sz="1100" baseline="0">
              <a:solidFill>
                <a:schemeClr val="accent6">
                  <a:lumMod val="50000"/>
                </a:schemeClr>
              </a:solidFill>
            </a:rPr>
            <a:t>(4)  The </a:t>
          </a:r>
          <a:r>
            <a:rPr lang="en-US" sz="1100" u="sng" baseline="0">
              <a:solidFill>
                <a:schemeClr val="accent6">
                  <a:lumMod val="50000"/>
                </a:schemeClr>
              </a:solidFill>
            </a:rPr>
            <a:t>filter threasholds</a:t>
          </a:r>
          <a:r>
            <a:rPr lang="en-US" sz="1100" baseline="0">
              <a:solidFill>
                <a:schemeClr val="accent6">
                  <a:lumMod val="50000"/>
                </a:schemeClr>
              </a:solidFill>
            </a:rPr>
            <a:t> are currently set at 75% of the number of data rows for each time period. The final result file organizes processed data results into four tabs representing the four daily time periods. Where less than 75% of the rows for a time period are missing or invalid, all data rows for that time period are filtered out as invalid. </a:t>
          </a:r>
          <a:r>
            <a:rPr lang="en-US" sz="1100" i="1" baseline="0">
              <a:solidFill>
                <a:schemeClr val="accent6">
                  <a:lumMod val="50000"/>
                </a:schemeClr>
              </a:solidFill>
            </a:rPr>
            <a:t>I think this needs to be changed but probably not now. </a:t>
          </a:r>
        </a:p>
        <a:p>
          <a:endParaRPr lang="en-US" sz="1100" i="0" baseline="0">
            <a:solidFill>
              <a:schemeClr val="accent6">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638175</xdr:colOff>
          <xdr:row>3</xdr:row>
          <xdr:rowOff>104775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3399"/>
                  </a:solidFill>
                  <a:latin typeface="Calibri"/>
                  <a:cs typeface="Calibri"/>
                </a:rPr>
                <a:t>run macro</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22</xdr:col>
      <xdr:colOff>200025</xdr:colOff>
      <xdr:row>2</xdr:row>
      <xdr:rowOff>152402</xdr:rowOff>
    </xdr:from>
    <xdr:to>
      <xdr:col>29</xdr:col>
      <xdr:colOff>57151</xdr:colOff>
      <xdr:row>45</xdr:row>
      <xdr:rowOff>47625</xdr:rowOff>
    </xdr:to>
    <xdr:sp macro="" textlink="">
      <xdr:nvSpPr>
        <xdr:cNvPr id="2" name="TextBox 1"/>
        <xdr:cNvSpPr txBox="1"/>
      </xdr:nvSpPr>
      <xdr:spPr>
        <a:xfrm>
          <a:off x="16154400" y="581027"/>
          <a:ext cx="4124326" cy="8086723"/>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extrusionH="177800">
          <a:bevelT w="38100"/>
          <a:bevelB w="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accent6">
                  <a:lumMod val="50000"/>
                </a:schemeClr>
              </a:solidFill>
            </a:rPr>
            <a:t>This</a:t>
          </a:r>
          <a:r>
            <a:rPr lang="en-US" sz="1100" baseline="0">
              <a:solidFill>
                <a:schemeClr val="accent6">
                  <a:lumMod val="50000"/>
                </a:schemeClr>
              </a:solidFill>
            </a:rPr>
            <a:t> worksheet contains specifications for the associated macro. Included here are some needt-to-know points for utilizing the macro. </a:t>
          </a:r>
        </a:p>
        <a:p>
          <a:endParaRPr lang="en-US" sz="1100" b="1" u="none" baseline="0">
            <a:solidFill>
              <a:schemeClr val="accent6">
                <a:lumMod val="50000"/>
              </a:schemeClr>
            </a:solidFill>
          </a:endParaRPr>
        </a:p>
        <a:p>
          <a:r>
            <a:rPr lang="en-US" sz="1100" b="1" u="none" baseline="0">
              <a:solidFill>
                <a:schemeClr val="accent6">
                  <a:lumMod val="50000"/>
                </a:schemeClr>
              </a:solidFill>
            </a:rPr>
            <a:t>GREEN CELLS SHOULD BE SPECIFIED BY THE USER </a:t>
          </a:r>
          <a:r>
            <a:rPr lang="en-US" sz="1100" b="0" u="none" baseline="0">
              <a:solidFill>
                <a:schemeClr val="accent6">
                  <a:lumMod val="50000"/>
                </a:schemeClr>
              </a:solidFill>
            </a:rPr>
            <a:t> </a:t>
          </a:r>
          <a:r>
            <a:rPr lang="en-US" sz="1000" b="0" u="none" baseline="0">
              <a:solidFill>
                <a:schemeClr val="accent6">
                  <a:lumMod val="50000"/>
                </a:schemeClr>
              </a:solidFill>
            </a:rPr>
            <a:t>(green cells on the right may only be for sorting or keeping track of what's been done)</a:t>
          </a:r>
          <a:endParaRPr lang="en-US" sz="1000" b="1" u="none" baseline="0">
            <a:solidFill>
              <a:schemeClr val="accent6">
                <a:lumMod val="50000"/>
              </a:schemeClr>
            </a:solidFill>
          </a:endParaRPr>
        </a:p>
        <a:p>
          <a:endParaRPr lang="en-US" sz="1100" baseline="0">
            <a:solidFill>
              <a:schemeClr val="accent6">
                <a:lumMod val="50000"/>
              </a:schemeClr>
            </a:solidFill>
          </a:endParaRPr>
        </a:p>
        <a:p>
          <a:r>
            <a:rPr lang="en-US" sz="1100" baseline="0">
              <a:solidFill>
                <a:schemeClr val="accent6">
                  <a:lumMod val="50000"/>
                </a:schemeClr>
              </a:solidFill>
            </a:rPr>
            <a:t>Output: one Excel file for each detector containing: </a:t>
          </a:r>
        </a:p>
        <a:p>
          <a:endParaRPr lang="en-US" sz="1100" baseline="0">
            <a:solidFill>
              <a:schemeClr val="accent6">
                <a:lumMod val="50000"/>
              </a:schemeClr>
            </a:solidFill>
          </a:endParaRPr>
        </a:p>
        <a:p>
          <a:r>
            <a:rPr lang="en-US" sz="1100" baseline="0">
              <a:solidFill>
                <a:schemeClr val="accent6">
                  <a:lumMod val="50000"/>
                </a:schemeClr>
              </a:solidFill>
            </a:rPr>
            <a:t>1) 5-minute speed, throughput, and occupancy values for all lanes </a:t>
          </a:r>
          <a:r>
            <a:rPr lang="en-US" sz="1100" baseline="0">
              <a:solidFill>
                <a:schemeClr val="accent6">
                  <a:lumMod val="50000"/>
                </a:schemeClr>
              </a:solidFill>
              <a:latin typeface="+mn-lt"/>
              <a:ea typeface="+mn-ea"/>
              <a:cs typeface="+mn-cs"/>
            </a:rPr>
            <a:t>together, GP lanes only, and HOV lanes only, for all days of the analysis year. </a:t>
          </a:r>
        </a:p>
        <a:p>
          <a:pPr fontAlgn="base"/>
          <a:endParaRPr lang="en-US" sz="1100" baseline="0">
            <a:solidFill>
              <a:schemeClr val="accent6">
                <a:lumMod val="50000"/>
              </a:schemeClr>
            </a:solidFill>
            <a:latin typeface="+mn-lt"/>
            <a:ea typeface="+mn-ea"/>
            <a:cs typeface="+mn-cs"/>
          </a:endParaRPr>
        </a:p>
        <a:p>
          <a:r>
            <a:rPr lang="en-US" sz="1100" baseline="0">
              <a:solidFill>
                <a:schemeClr val="accent6">
                  <a:lumMod val="50000"/>
                </a:schemeClr>
              </a:solidFill>
              <a:latin typeface="+mn-lt"/>
              <a:ea typeface="+mn-ea"/>
              <a:cs typeface="+mn-cs"/>
            </a:rPr>
            <a:t>2) Quality control pannel with information on when and where what types of data errors exist as well as other data quality measures. Note that flaged data rows are shown in the result tables but omitted  from calculated averages. </a:t>
          </a:r>
        </a:p>
        <a:p>
          <a:endParaRPr lang="en-US" sz="1100" baseline="0">
            <a:solidFill>
              <a:schemeClr val="accent6">
                <a:lumMod val="50000"/>
              </a:schemeClr>
            </a:solidFill>
          </a:endParaRPr>
        </a:p>
        <a:p>
          <a:r>
            <a:rPr lang="en-US" sz="1100" baseline="0">
              <a:solidFill>
                <a:schemeClr val="accent6">
                  <a:lumMod val="50000"/>
                </a:schemeClr>
              </a:solidFill>
            </a:rPr>
            <a:t>3) Calculated performance Measures: </a:t>
          </a:r>
        </a:p>
        <a:p>
          <a:r>
            <a:rPr lang="en-US" sz="1100" baseline="0">
              <a:solidFill>
                <a:schemeClr val="accent6">
                  <a:lumMod val="50000"/>
                </a:schemeClr>
              </a:solidFill>
            </a:rPr>
            <a:t>   a. Annual hourly and annual 5-minute average speed, vph (volume per hour), and occupancy percent, as well as </a:t>
          </a:r>
        </a:p>
        <a:p>
          <a:r>
            <a:rPr lang="en-US" sz="1100" baseline="0">
              <a:solidFill>
                <a:schemeClr val="accent6">
                  <a:lumMod val="50000"/>
                </a:schemeClr>
              </a:solidFill>
            </a:rPr>
            <a:t>   b. lost productivity calculation and graphic. </a:t>
          </a:r>
        </a:p>
        <a:p>
          <a:r>
            <a:rPr lang="en-US" sz="1100" baseline="0">
              <a:solidFill>
                <a:schemeClr val="accent6">
                  <a:lumMod val="50000"/>
                </a:schemeClr>
              </a:solidFill>
            </a:rPr>
            <a:t>   c. extent of </a:t>
          </a:r>
          <a:r>
            <a:rPr lang="en-US" sz="1100" baseline="0">
              <a:solidFill>
                <a:schemeClr val="accent6">
                  <a:lumMod val="50000"/>
                </a:schemeClr>
              </a:solidFill>
              <a:latin typeface="+mn-lt"/>
              <a:ea typeface="+mn-ea"/>
              <a:cs typeface="+mn-cs"/>
            </a:rPr>
            <a:t>congestions calculation (to be used in corridor level template). </a:t>
          </a:r>
        </a:p>
        <a:p>
          <a:endParaRPr lang="en-US" sz="1100" baseline="0">
            <a:solidFill>
              <a:schemeClr val="accent6">
                <a:lumMod val="50000"/>
              </a:schemeClr>
            </a:solidFill>
            <a:latin typeface="+mn-lt"/>
            <a:ea typeface="+mn-ea"/>
            <a:cs typeface="+mn-cs"/>
          </a:endParaRPr>
        </a:p>
        <a:p>
          <a:r>
            <a:rPr lang="en-US" sz="1100" baseline="0">
              <a:solidFill>
                <a:schemeClr val="accent6">
                  <a:lumMod val="50000"/>
                </a:schemeClr>
              </a:solidFill>
              <a:latin typeface="+mn-lt"/>
              <a:ea typeface="+mn-ea"/>
              <a:cs typeface="+mn-cs"/>
            </a:rPr>
            <a:t>Source files and templates needed (This macro is really just a script for moving the raw data to and through the two templates): </a:t>
          </a:r>
        </a:p>
        <a:p>
          <a:endParaRPr lang="en-US" sz="1100" baseline="0">
            <a:solidFill>
              <a:schemeClr val="accent6">
                <a:lumMod val="50000"/>
              </a:schemeClr>
            </a:solidFill>
            <a:latin typeface="+mn-lt"/>
            <a:ea typeface="+mn-ea"/>
            <a:cs typeface="+mn-cs"/>
          </a:endParaRPr>
        </a:p>
        <a:p>
          <a:r>
            <a:rPr lang="en-US" sz="1100" baseline="0">
              <a:solidFill>
                <a:schemeClr val="accent6">
                  <a:lumMod val="50000"/>
                </a:schemeClr>
              </a:solidFill>
              <a:latin typeface="+mn-lt"/>
              <a:ea typeface="+mn-ea"/>
              <a:cs typeface="+mn-cs"/>
            </a:rPr>
            <a:t>1) An</a:t>
          </a:r>
          <a:r>
            <a:rPr lang="en-US" sz="1100" baseline="0">
              <a:solidFill>
                <a:schemeClr val="accent6">
                  <a:lumMod val="50000"/>
                </a:schemeClr>
              </a:solidFill>
            </a:rPr>
            <a:t>nual </a:t>
          </a:r>
          <a:r>
            <a:rPr lang="en-US" sz="1100" u="sng" baseline="0">
              <a:solidFill>
                <a:schemeClr val="accent6">
                  <a:lumMod val="50000"/>
                </a:schemeClr>
              </a:solidFill>
            </a:rPr>
            <a:t>detector text file</a:t>
          </a:r>
          <a:r>
            <a:rPr lang="en-US" sz="1100" baseline="0">
              <a:solidFill>
                <a:schemeClr val="accent6">
                  <a:lumMod val="50000"/>
                </a:schemeClr>
              </a:solidFill>
            </a:rPr>
            <a:t> containing all raw data for the entire analysis year.   A previous analysis step has taken place to sort  the raw data from ADOT  into the single text file for the entire analysis year. </a:t>
          </a:r>
        </a:p>
        <a:p>
          <a:endParaRPr lang="en-US" sz="1100" baseline="0">
            <a:solidFill>
              <a:schemeClr val="accent6">
                <a:lumMod val="50000"/>
              </a:schemeClr>
            </a:solidFill>
          </a:endParaRPr>
        </a:p>
        <a:p>
          <a:r>
            <a:rPr lang="en-US" sz="1100" baseline="0">
              <a:solidFill>
                <a:schemeClr val="accent6">
                  <a:lumMod val="50000"/>
                </a:schemeClr>
              </a:solidFill>
            </a:rPr>
            <a:t>2) </a:t>
          </a:r>
          <a:r>
            <a:rPr lang="en-US" sz="1100" u="sng" baseline="0">
              <a:solidFill>
                <a:schemeClr val="accent6">
                  <a:lumMod val="50000"/>
                </a:schemeClr>
              </a:solidFill>
            </a:rPr>
            <a:t>Calculation template</a:t>
          </a:r>
          <a:r>
            <a:rPr lang="en-US" sz="1100" baseline="0">
              <a:solidFill>
                <a:schemeClr val="accent6">
                  <a:lumMod val="50000"/>
                </a:schemeClr>
              </a:solidFill>
            </a:rPr>
            <a:t> where raw data is processed and aggregated. </a:t>
          </a:r>
        </a:p>
        <a:p>
          <a:r>
            <a:rPr lang="en-US" sz="1100" baseline="0">
              <a:solidFill>
                <a:schemeClr val="accent6">
                  <a:lumMod val="50000"/>
                </a:schemeClr>
              </a:solidFill>
            </a:rPr>
            <a:t>The standard version of this file is for regular lane configurations where the 8 lane columns in the raw data contain data from the right lane to the hov lane only. Variations listed from 2-7 exist for situations where additional lanes are included after the hov or left lane, usually at interchange locations. These alternative templates specify use of the first 2, 3... or 7 of the 8 lane columns in the raw data. </a:t>
          </a:r>
        </a:p>
        <a:p>
          <a:endParaRPr lang="en-US" sz="1100" baseline="0">
            <a:solidFill>
              <a:schemeClr val="accent6">
                <a:lumMod val="50000"/>
              </a:schemeClr>
            </a:solidFill>
          </a:endParaRPr>
        </a:p>
        <a:p>
          <a:r>
            <a:rPr lang="en-US" sz="1100" baseline="0">
              <a:solidFill>
                <a:schemeClr val="accent6">
                  <a:lumMod val="50000"/>
                </a:schemeClr>
              </a:solidFill>
            </a:rPr>
            <a:t>3) Empty </a:t>
          </a:r>
          <a:r>
            <a:rPr lang="en-US" sz="1100" u="sng" baseline="0">
              <a:solidFill>
                <a:schemeClr val="accent6">
                  <a:lumMod val="50000"/>
                </a:schemeClr>
              </a:solidFill>
            </a:rPr>
            <a:t>receptical template</a:t>
          </a:r>
          <a:r>
            <a:rPr lang="en-US" sz="1100" baseline="0">
              <a:solidFill>
                <a:schemeClr val="accent6">
                  <a:lumMod val="50000"/>
                </a:schemeClr>
              </a:solidFill>
            </a:rPr>
            <a:t> where processed and aggregated data is  copied. This template contains quality assesment and summary formulas, and when saved as the output file, contains all calculated averages accross lanes for each 5-minute interval as well as the calculated performance measures, summaries and quality assement measures. </a:t>
          </a:r>
        </a:p>
      </xdr:txBody>
    </xdr:sp>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638175</xdr:colOff>
          <xdr:row>3</xdr:row>
          <xdr:rowOff>104775</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3399"/>
                  </a:solidFill>
                  <a:latin typeface="Calibri"/>
                  <a:cs typeface="Calibri"/>
                </a:rPr>
                <a:t>run macro</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638175</xdr:colOff>
          <xdr:row>3</xdr:row>
          <xdr:rowOff>104775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3399"/>
                  </a:solidFill>
                  <a:latin typeface="Calibri"/>
                  <a:cs typeface="Calibri"/>
                </a:rPr>
                <a:t>run macro</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638175</xdr:colOff>
          <xdr:row>3</xdr:row>
          <xdr:rowOff>104775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3399"/>
                  </a:solidFill>
                  <a:latin typeface="Calibri"/>
                  <a:cs typeface="Calibri"/>
                </a:rPr>
                <a:t>run macro</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638175</xdr:colOff>
          <xdr:row>3</xdr:row>
          <xdr:rowOff>104775</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3399"/>
                  </a:solidFill>
                  <a:latin typeface="Calibri"/>
                  <a:cs typeface="Calibri"/>
                </a:rPr>
                <a:t>run macro</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638175</xdr:colOff>
          <xdr:row>3</xdr:row>
          <xdr:rowOff>104775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3399"/>
                  </a:solidFill>
                  <a:latin typeface="Calibri"/>
                  <a:cs typeface="Calibri"/>
                </a:rPr>
                <a:t>run macro</a:t>
              </a:r>
            </a:p>
          </xdr:txBody>
        </xdr:sp>
        <xdr:clientData fLocksWithSheet="0"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638175</xdr:colOff>
          <xdr:row>3</xdr:row>
          <xdr:rowOff>104775</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3399"/>
                  </a:solidFill>
                  <a:latin typeface="Calibri"/>
                  <a:cs typeface="Calibri"/>
                </a:rPr>
                <a:t>run macro</a:t>
              </a:r>
            </a:p>
          </xdr:txBody>
        </xdr:sp>
        <xdr:clientData fLocksWithSheet="0"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638175</xdr:colOff>
          <xdr:row>3</xdr:row>
          <xdr:rowOff>104775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3399"/>
                  </a:solidFill>
                  <a:latin typeface="Calibri"/>
                  <a:cs typeface="Calibri"/>
                </a:rPr>
                <a:t>run macro</a:t>
              </a:r>
            </a:p>
          </xdr:txBody>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638175</xdr:colOff>
          <xdr:row>3</xdr:row>
          <xdr:rowOff>104775</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3399"/>
                  </a:solidFill>
                  <a:latin typeface="Calibri"/>
                  <a:cs typeface="Calibri"/>
                </a:rPr>
                <a:t>run macro</a:t>
              </a:r>
            </a:p>
          </xdr:txBody>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638175</xdr:colOff>
          <xdr:row>3</xdr:row>
          <xdr:rowOff>104775</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333399"/>
                  </a:solidFill>
                  <a:latin typeface="Calibri"/>
                  <a:cs typeface="Calibri"/>
                </a:rPr>
                <a:t>run macro</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M333"/>
  <sheetViews>
    <sheetView topLeftCell="A76" zoomScaleNormal="100" workbookViewId="0">
      <selection activeCell="E1" sqref="E1:E1048576"/>
    </sheetView>
  </sheetViews>
  <sheetFormatPr defaultRowHeight="15" x14ac:dyDescent="0.25"/>
  <cols>
    <col min="1" max="1" width="4.140625" style="8" customWidth="1"/>
    <col min="2" max="2" width="10.7109375" style="8" customWidth="1"/>
    <col min="3" max="3" width="21.7109375" style="8" customWidth="1"/>
    <col min="4" max="4" width="8.7109375" style="8" customWidth="1"/>
    <col min="5" max="8" width="10.7109375" style="8" customWidth="1"/>
    <col min="9" max="10" width="24" style="8" customWidth="1"/>
    <col min="11" max="11" width="9.140625" style="8" customWidth="1"/>
    <col min="12" max="13" width="9.140625" style="46"/>
    <col min="14" max="16" width="9.140625" style="31"/>
    <col min="17" max="20" width="9.140625" style="8"/>
    <col min="21" max="21" width="0" style="8" hidden="1" customWidth="1"/>
    <col min="22" max="22" width="0" style="51" hidden="1" customWidth="1"/>
    <col min="23" max="23" width="0" style="55" hidden="1" customWidth="1"/>
    <col min="24" max="24" width="9.140625" style="8" hidden="1" customWidth="1"/>
    <col min="25" max="28" width="0" style="8" hidden="1" customWidth="1"/>
    <col min="29" max="29" width="0" style="31" hidden="1" customWidth="1"/>
    <col min="30" max="32" width="0" style="8" hidden="1" customWidth="1"/>
    <col min="33" max="38" width="9.140625" style="8"/>
    <col min="39" max="39" width="9.140625" style="95"/>
    <col min="40" max="16384" width="9.140625" style="8"/>
  </cols>
  <sheetData>
    <row r="1" spans="2:39" ht="18.75" x14ac:dyDescent="0.3">
      <c r="B1" s="13" t="s">
        <v>21</v>
      </c>
      <c r="C1" s="13"/>
      <c r="D1" s="13"/>
      <c r="E1" s="13"/>
      <c r="H1" s="13"/>
      <c r="I1" s="12" t="s">
        <v>20</v>
      </c>
    </row>
    <row r="2" spans="2:39" x14ac:dyDescent="0.25">
      <c r="E2" s="6"/>
      <c r="F2" s="6"/>
      <c r="G2" s="6"/>
      <c r="H2" s="6"/>
      <c r="I2" s="6"/>
      <c r="J2" s="6"/>
      <c r="K2" s="6"/>
      <c r="X2" s="6"/>
    </row>
    <row r="3" spans="2:39" x14ac:dyDescent="0.25">
      <c r="E3" s="6"/>
      <c r="F3" s="6"/>
      <c r="G3" s="6"/>
      <c r="Q3" s="119">
        <v>2010</v>
      </c>
      <c r="R3" s="119"/>
      <c r="S3" s="119"/>
      <c r="T3" s="88"/>
      <c r="U3" s="119">
        <v>2011</v>
      </c>
      <c r="V3" s="119"/>
      <c r="W3" s="119"/>
    </row>
    <row r="4" spans="2:39" x14ac:dyDescent="0.25">
      <c r="D4" s="8" t="s">
        <v>19</v>
      </c>
      <c r="E4" s="8" t="s">
        <v>18</v>
      </c>
      <c r="F4" s="8" t="s">
        <v>38</v>
      </c>
      <c r="G4" s="8" t="s">
        <v>39</v>
      </c>
      <c r="H4" s="8" t="s">
        <v>17</v>
      </c>
      <c r="I4" s="8" t="s">
        <v>16</v>
      </c>
      <c r="J4" s="8" t="s">
        <v>15</v>
      </c>
      <c r="L4" s="46" t="s">
        <v>80</v>
      </c>
      <c r="M4" s="45" t="s">
        <v>57</v>
      </c>
      <c r="N4" s="31" t="s">
        <v>18</v>
      </c>
      <c r="O4" s="31" t="s">
        <v>38</v>
      </c>
      <c r="P4" s="31" t="s">
        <v>39</v>
      </c>
      <c r="Q4" s="86" t="s">
        <v>46</v>
      </c>
      <c r="R4" s="50" t="s">
        <v>81</v>
      </c>
      <c r="S4" s="54" t="s">
        <v>196</v>
      </c>
      <c r="T4" s="54" t="s">
        <v>197</v>
      </c>
      <c r="U4" s="8" t="s">
        <v>46</v>
      </c>
      <c r="V4" s="50" t="s">
        <v>81</v>
      </c>
      <c r="W4" s="54" t="s">
        <v>91</v>
      </c>
      <c r="Y4" s="8" t="s">
        <v>18</v>
      </c>
      <c r="Z4" s="8" t="s">
        <v>38</v>
      </c>
      <c r="AA4" s="8" t="s">
        <v>39</v>
      </c>
      <c r="AB4" s="8" t="s">
        <v>46</v>
      </c>
      <c r="AC4" s="31" t="s">
        <v>51</v>
      </c>
      <c r="AE4" s="9">
        <v>184</v>
      </c>
      <c r="AF4" s="9">
        <v>2</v>
      </c>
      <c r="AH4" s="86" t="s">
        <v>57</v>
      </c>
      <c r="AI4" s="45" t="s">
        <v>274</v>
      </c>
      <c r="AJ4" s="102"/>
      <c r="AL4" s="95" t="b">
        <f t="shared" ref="AL4:AL67" si="0">O4=AJ4</f>
        <v>0</v>
      </c>
      <c r="AM4" s="95" t="b">
        <f t="shared" ref="AM4:AM67" si="1">P4=AK4</f>
        <v>0</v>
      </c>
    </row>
    <row r="5" spans="2:39" x14ac:dyDescent="0.25">
      <c r="B5" s="2" t="s">
        <v>40</v>
      </c>
      <c r="C5" s="8" t="s">
        <v>14</v>
      </c>
      <c r="D5" s="8">
        <v>1</v>
      </c>
      <c r="E5" s="48">
        <v>1</v>
      </c>
      <c r="F5" s="48">
        <v>4</v>
      </c>
      <c r="G5" s="48">
        <v>1</v>
      </c>
      <c r="H5" s="5" t="str">
        <f t="shared" ref="H5:H36" si="2">"det_"&amp;E5&amp;""</f>
        <v>det_1</v>
      </c>
      <c r="I5" s="5" t="str">
        <f t="shared" ref="I5:I68" si="3">$B$5&amp;"\"&amp;H5&amp;".txt"</f>
        <v>W:\Performance Measurement\1. Freeway\1. raw data\2010_new\data files\det_1.txt</v>
      </c>
      <c r="J5" s="5" t="str">
        <f t="shared" ref="J5:J36" si="4">$B$5&amp;"\"&amp;H5&amp;".xlsx"</f>
        <v>W:\Performance Measurement\1. Freeway\1. raw data\2010_new\data files\det_1.xlsx</v>
      </c>
      <c r="K5" s="5"/>
      <c r="L5" s="47">
        <v>1</v>
      </c>
      <c r="M5" s="39" t="s">
        <v>58</v>
      </c>
      <c r="N5" s="10">
        <v>2</v>
      </c>
      <c r="O5" s="10">
        <v>5</v>
      </c>
      <c r="P5" s="10">
        <v>1</v>
      </c>
      <c r="Q5" s="19">
        <v>1</v>
      </c>
      <c r="R5" s="67" t="s">
        <v>128</v>
      </c>
      <c r="S5" s="83">
        <v>1</v>
      </c>
      <c r="T5" s="83">
        <v>1</v>
      </c>
      <c r="U5" s="19">
        <v>1</v>
      </c>
      <c r="V5" s="44"/>
      <c r="W5" s="57">
        <v>1</v>
      </c>
      <c r="X5" s="5"/>
      <c r="Y5" s="25">
        <v>1</v>
      </c>
      <c r="Z5" s="25">
        <v>4</v>
      </c>
      <c r="AA5" s="25">
        <v>1</v>
      </c>
      <c r="AB5" s="19">
        <v>1</v>
      </c>
      <c r="AC5" s="39"/>
      <c r="AE5" s="9">
        <v>171</v>
      </c>
      <c r="AF5" s="9">
        <v>3</v>
      </c>
      <c r="AH5" s="93" t="s">
        <v>58</v>
      </c>
      <c r="AI5" s="89">
        <v>2</v>
      </c>
      <c r="AJ5" s="102">
        <v>5</v>
      </c>
      <c r="AK5" s="101">
        <v>1</v>
      </c>
      <c r="AL5" s="95" t="b">
        <f t="shared" si="0"/>
        <v>1</v>
      </c>
      <c r="AM5" s="95" t="b">
        <f t="shared" si="1"/>
        <v>1</v>
      </c>
    </row>
    <row r="6" spans="2:39" x14ac:dyDescent="0.25">
      <c r="B6" s="2" t="s">
        <v>47</v>
      </c>
      <c r="C6" s="8" t="s">
        <v>13</v>
      </c>
      <c r="D6" s="8">
        <v>2</v>
      </c>
      <c r="E6" s="48">
        <v>2</v>
      </c>
      <c r="F6" s="48">
        <v>5</v>
      </c>
      <c r="G6" s="48">
        <v>1</v>
      </c>
      <c r="H6" s="5" t="str">
        <f t="shared" si="2"/>
        <v>det_2</v>
      </c>
      <c r="I6" s="5" t="str">
        <f t="shared" si="3"/>
        <v>W:\Performance Measurement\1. Freeway\1. raw data\2010_new\data files\det_2.txt</v>
      </c>
      <c r="J6" s="5" t="str">
        <f t="shared" si="4"/>
        <v>W:\Performance Measurement\1. Freeway\1. raw data\2010_new\data files\det_2.xlsx</v>
      </c>
      <c r="K6" s="5"/>
      <c r="L6" s="47">
        <v>2</v>
      </c>
      <c r="M6" s="39" t="s">
        <v>58</v>
      </c>
      <c r="N6" s="10">
        <v>8</v>
      </c>
      <c r="O6" s="10">
        <v>4</v>
      </c>
      <c r="P6" s="10">
        <v>1</v>
      </c>
      <c r="Q6" s="19">
        <v>1</v>
      </c>
      <c r="R6" s="67" t="s">
        <v>117</v>
      </c>
      <c r="S6" s="83">
        <v>1</v>
      </c>
      <c r="T6" s="83">
        <v>1</v>
      </c>
      <c r="U6" s="19">
        <v>1</v>
      </c>
      <c r="V6" s="44"/>
      <c r="W6" s="57">
        <v>1</v>
      </c>
      <c r="X6" s="5"/>
      <c r="Y6" s="25">
        <v>2</v>
      </c>
      <c r="Z6" s="25">
        <v>5</v>
      </c>
      <c r="AA6" s="25">
        <v>1</v>
      </c>
      <c r="AB6" s="19">
        <v>1</v>
      </c>
      <c r="AC6" s="39"/>
      <c r="AE6" s="9">
        <v>169</v>
      </c>
      <c r="AF6" s="9">
        <v>3</v>
      </c>
      <c r="AH6" s="93" t="s">
        <v>58</v>
      </c>
      <c r="AI6" s="89">
        <v>8</v>
      </c>
      <c r="AJ6" s="102">
        <v>4</v>
      </c>
      <c r="AK6" s="101">
        <v>1</v>
      </c>
      <c r="AL6" s="95" t="b">
        <f t="shared" si="0"/>
        <v>1</v>
      </c>
      <c r="AM6" s="95" t="b">
        <f t="shared" si="1"/>
        <v>1</v>
      </c>
    </row>
    <row r="7" spans="2:39" x14ac:dyDescent="0.25">
      <c r="B7" s="2" t="s">
        <v>12</v>
      </c>
      <c r="C7" s="8" t="s">
        <v>11</v>
      </c>
      <c r="D7" s="8">
        <v>3</v>
      </c>
      <c r="E7" s="48">
        <v>4</v>
      </c>
      <c r="F7" s="48">
        <v>4</v>
      </c>
      <c r="G7" s="48">
        <v>1</v>
      </c>
      <c r="H7" s="5" t="str">
        <f t="shared" si="2"/>
        <v>det_4</v>
      </c>
      <c r="I7" s="5" t="str">
        <f t="shared" si="3"/>
        <v>W:\Performance Measurement\1. Freeway\1. raw data\2010_new\data files\det_4.txt</v>
      </c>
      <c r="J7" s="5" t="str">
        <f t="shared" si="4"/>
        <v>W:\Performance Measurement\1. Freeway\1. raw data\2010_new\data files\det_4.xlsx</v>
      </c>
      <c r="K7" s="5"/>
      <c r="L7" s="47">
        <v>3</v>
      </c>
      <c r="M7" s="39" t="s">
        <v>58</v>
      </c>
      <c r="N7" s="10">
        <v>14</v>
      </c>
      <c r="O7" s="10">
        <v>4</v>
      </c>
      <c r="P7" s="10">
        <v>1</v>
      </c>
      <c r="Q7" s="21">
        <v>1</v>
      </c>
      <c r="R7" s="67" t="s">
        <v>86</v>
      </c>
      <c r="S7" s="83">
        <v>1</v>
      </c>
      <c r="T7" s="83">
        <v>1</v>
      </c>
      <c r="U7" s="21">
        <v>1</v>
      </c>
      <c r="V7" s="52"/>
      <c r="W7" s="37">
        <v>1</v>
      </c>
      <c r="X7" s="5"/>
      <c r="Y7" s="25">
        <v>4</v>
      </c>
      <c r="Z7" s="25">
        <v>4</v>
      </c>
      <c r="AA7" s="25">
        <v>1</v>
      </c>
      <c r="AB7" s="21">
        <v>1</v>
      </c>
      <c r="AC7" s="40"/>
      <c r="AE7" s="9">
        <v>167</v>
      </c>
      <c r="AF7" s="9">
        <v>2</v>
      </c>
      <c r="AH7" s="93" t="s">
        <v>58</v>
      </c>
      <c r="AI7" s="89">
        <v>14</v>
      </c>
      <c r="AJ7" s="102">
        <v>4</v>
      </c>
      <c r="AK7" s="101">
        <v>1</v>
      </c>
      <c r="AL7" s="95" t="b">
        <f t="shared" si="0"/>
        <v>1</v>
      </c>
      <c r="AM7" s="95" t="b">
        <f t="shared" si="1"/>
        <v>1</v>
      </c>
    </row>
    <row r="8" spans="2:39" x14ac:dyDescent="0.25">
      <c r="B8" s="2" t="s">
        <v>260</v>
      </c>
      <c r="C8" s="1" t="s">
        <v>10</v>
      </c>
      <c r="D8" s="8">
        <v>4</v>
      </c>
      <c r="E8" s="48">
        <v>8</v>
      </c>
      <c r="F8" s="48">
        <v>4</v>
      </c>
      <c r="G8" s="48">
        <v>1</v>
      </c>
      <c r="H8" s="5" t="str">
        <f t="shared" si="2"/>
        <v>det_8</v>
      </c>
      <c r="I8" s="5" t="str">
        <f t="shared" si="3"/>
        <v>W:\Performance Measurement\1. Freeway\1. raw data\2010_new\data files\det_8.txt</v>
      </c>
      <c r="J8" s="5" t="str">
        <f t="shared" si="4"/>
        <v>W:\Performance Measurement\1. Freeway\1. raw data\2010_new\data files\det_8.xlsx</v>
      </c>
      <c r="K8" s="5"/>
      <c r="L8" s="47">
        <v>4</v>
      </c>
      <c r="M8" s="39" t="s">
        <v>58</v>
      </c>
      <c r="N8" s="10">
        <v>20</v>
      </c>
      <c r="O8" s="10">
        <v>4</v>
      </c>
      <c r="P8" s="10">
        <v>1</v>
      </c>
      <c r="Q8" s="19">
        <v>1</v>
      </c>
      <c r="R8" s="67" t="s">
        <v>117</v>
      </c>
      <c r="S8" s="83">
        <v>1</v>
      </c>
      <c r="T8" s="83">
        <v>1</v>
      </c>
      <c r="U8" s="19">
        <v>1</v>
      </c>
      <c r="V8" s="44"/>
      <c r="W8" s="57">
        <v>1</v>
      </c>
      <c r="X8" s="5"/>
      <c r="Y8" s="25">
        <v>8</v>
      </c>
      <c r="Z8" s="25">
        <v>4</v>
      </c>
      <c r="AA8" s="25">
        <v>1</v>
      </c>
      <c r="AB8" s="19">
        <v>1</v>
      </c>
      <c r="AC8" s="39"/>
      <c r="AE8" s="9">
        <v>444</v>
      </c>
      <c r="AF8" s="9">
        <v>6</v>
      </c>
      <c r="AH8" s="93" t="s">
        <v>58</v>
      </c>
      <c r="AI8" s="89">
        <v>20</v>
      </c>
      <c r="AJ8" s="102">
        <v>4</v>
      </c>
      <c r="AK8" s="101">
        <v>1</v>
      </c>
      <c r="AL8" s="95" t="b">
        <f t="shared" si="0"/>
        <v>1</v>
      </c>
      <c r="AM8" s="95" t="b">
        <f t="shared" si="1"/>
        <v>1</v>
      </c>
    </row>
    <row r="9" spans="2:39" x14ac:dyDescent="0.25">
      <c r="D9" s="8">
        <v>5</v>
      </c>
      <c r="E9" s="48">
        <v>11</v>
      </c>
      <c r="F9" s="48">
        <v>4</v>
      </c>
      <c r="G9" s="48">
        <v>1</v>
      </c>
      <c r="H9" s="5" t="str">
        <f t="shared" si="2"/>
        <v>det_11</v>
      </c>
      <c r="I9" s="5" t="str">
        <f t="shared" si="3"/>
        <v>W:\Performance Measurement\1. Freeway\1. raw data\2010_new\data files\det_11.txt</v>
      </c>
      <c r="J9" s="5" t="str">
        <f t="shared" si="4"/>
        <v>W:\Performance Measurement\1. Freeway\1. raw data\2010_new\data files\det_11.xlsx</v>
      </c>
      <c r="K9" s="5"/>
      <c r="L9" s="47">
        <v>5</v>
      </c>
      <c r="M9" s="39" t="s">
        <v>58</v>
      </c>
      <c r="N9" s="10">
        <v>25</v>
      </c>
      <c r="O9" s="10">
        <v>4</v>
      </c>
      <c r="P9" s="10">
        <v>1</v>
      </c>
      <c r="Q9" s="19">
        <v>1</v>
      </c>
      <c r="R9" s="67" t="s">
        <v>128</v>
      </c>
      <c r="S9" s="83">
        <v>1</v>
      </c>
      <c r="T9" s="83">
        <v>1</v>
      </c>
      <c r="U9" s="19">
        <v>1</v>
      </c>
      <c r="V9" s="44"/>
      <c r="W9" s="57">
        <v>1</v>
      </c>
      <c r="X9" s="5"/>
      <c r="Y9" s="25">
        <v>11</v>
      </c>
      <c r="Z9" s="25">
        <v>4</v>
      </c>
      <c r="AA9" s="25">
        <v>1</v>
      </c>
      <c r="AB9" s="19">
        <v>1</v>
      </c>
      <c r="AC9" s="39"/>
      <c r="AE9" s="9">
        <v>447</v>
      </c>
      <c r="AF9" s="9">
        <v>6</v>
      </c>
      <c r="AH9" s="93" t="s">
        <v>58</v>
      </c>
      <c r="AI9" s="89">
        <v>25</v>
      </c>
      <c r="AJ9" s="102">
        <v>4</v>
      </c>
      <c r="AK9" s="101">
        <v>1</v>
      </c>
      <c r="AL9" s="95" t="b">
        <f t="shared" si="0"/>
        <v>1</v>
      </c>
      <c r="AM9" s="95" t="b">
        <f t="shared" si="1"/>
        <v>1</v>
      </c>
    </row>
    <row r="10" spans="2:39" x14ac:dyDescent="0.25">
      <c r="B10" s="3">
        <v>2010</v>
      </c>
      <c r="C10" s="8" t="s">
        <v>9</v>
      </c>
      <c r="D10" s="8">
        <v>6</v>
      </c>
      <c r="E10" s="48">
        <v>14</v>
      </c>
      <c r="F10" s="48">
        <v>4</v>
      </c>
      <c r="G10" s="48">
        <v>1</v>
      </c>
      <c r="H10" s="5" t="str">
        <f t="shared" si="2"/>
        <v>det_14</v>
      </c>
      <c r="I10" s="5" t="str">
        <f t="shared" si="3"/>
        <v>W:\Performance Measurement\1. Freeway\1. raw data\2010_new\data files\det_14.txt</v>
      </c>
      <c r="J10" s="5" t="str">
        <f t="shared" si="4"/>
        <v>W:\Performance Measurement\1. Freeway\1. raw data\2010_new\data files\det_14.xlsx</v>
      </c>
      <c r="K10" s="5"/>
      <c r="L10" s="47">
        <v>6</v>
      </c>
      <c r="M10" s="39" t="s">
        <v>58</v>
      </c>
      <c r="N10" s="10">
        <v>30</v>
      </c>
      <c r="O10" s="10">
        <v>4</v>
      </c>
      <c r="P10" s="10">
        <v>1</v>
      </c>
      <c r="Q10" s="21">
        <v>1</v>
      </c>
      <c r="R10" s="67" t="s">
        <v>117</v>
      </c>
      <c r="S10" s="83">
        <v>1</v>
      </c>
      <c r="T10" s="83">
        <v>1</v>
      </c>
      <c r="U10" s="21">
        <v>1</v>
      </c>
      <c r="V10" s="52"/>
      <c r="W10" s="37">
        <v>1</v>
      </c>
      <c r="X10" s="5"/>
      <c r="Y10" s="25">
        <v>14</v>
      </c>
      <c r="Z10" s="25">
        <v>4</v>
      </c>
      <c r="AA10" s="25">
        <v>1</v>
      </c>
      <c r="AB10" s="21">
        <v>1</v>
      </c>
      <c r="AC10" s="39"/>
      <c r="AE10" s="9">
        <v>450</v>
      </c>
      <c r="AF10" s="9">
        <v>6</v>
      </c>
      <c r="AH10" s="93" t="s">
        <v>58</v>
      </c>
      <c r="AI10" s="89">
        <v>30</v>
      </c>
      <c r="AJ10" s="102">
        <v>4</v>
      </c>
      <c r="AK10" s="101">
        <v>1</v>
      </c>
      <c r="AL10" s="95" t="b">
        <f t="shared" si="0"/>
        <v>1</v>
      </c>
      <c r="AM10" s="95" t="b">
        <f t="shared" si="1"/>
        <v>1</v>
      </c>
    </row>
    <row r="11" spans="2:39" x14ac:dyDescent="0.25">
      <c r="B11" s="3">
        <v>365</v>
      </c>
      <c r="C11" s="8" t="s">
        <v>0</v>
      </c>
      <c r="D11" s="8">
        <v>7</v>
      </c>
      <c r="E11" s="48">
        <v>17</v>
      </c>
      <c r="F11" s="48">
        <v>4</v>
      </c>
      <c r="G11" s="48">
        <v>1</v>
      </c>
      <c r="H11" s="5" t="str">
        <f t="shared" si="2"/>
        <v>det_17</v>
      </c>
      <c r="I11" s="5" t="str">
        <f t="shared" si="3"/>
        <v>W:\Performance Measurement\1. Freeway\1. raw data\2010_new\data files\det_17.txt</v>
      </c>
      <c r="J11" s="5" t="str">
        <f t="shared" si="4"/>
        <v>W:\Performance Measurement\1. Freeway\1. raw data\2010_new\data files\det_17.xlsx</v>
      </c>
      <c r="K11" s="5"/>
      <c r="L11" s="47">
        <v>7</v>
      </c>
      <c r="M11" s="39" t="s">
        <v>58</v>
      </c>
      <c r="N11" s="10">
        <v>68</v>
      </c>
      <c r="O11" s="10">
        <v>4</v>
      </c>
      <c r="P11" s="10">
        <v>1</v>
      </c>
      <c r="Q11" s="19">
        <v>1</v>
      </c>
      <c r="R11" s="67" t="s">
        <v>117</v>
      </c>
      <c r="S11" s="83">
        <v>1</v>
      </c>
      <c r="T11" s="83">
        <v>1</v>
      </c>
      <c r="U11" s="19">
        <v>1</v>
      </c>
      <c r="V11" s="44"/>
      <c r="W11" s="57">
        <v>1</v>
      </c>
      <c r="X11" s="5"/>
      <c r="Y11" s="25">
        <v>17</v>
      </c>
      <c r="Z11" s="25">
        <v>4</v>
      </c>
      <c r="AA11" s="25">
        <v>1</v>
      </c>
      <c r="AB11" s="19">
        <v>1</v>
      </c>
      <c r="AC11" s="40"/>
      <c r="AE11" s="9">
        <v>453</v>
      </c>
      <c r="AF11" s="9">
        <v>6</v>
      </c>
      <c r="AH11" s="93" t="s">
        <v>58</v>
      </c>
      <c r="AI11" s="89">
        <v>68</v>
      </c>
      <c r="AJ11" s="102">
        <v>4</v>
      </c>
      <c r="AK11" s="101">
        <v>1</v>
      </c>
      <c r="AL11" s="95" t="b">
        <f t="shared" si="0"/>
        <v>1</v>
      </c>
      <c r="AM11" s="95" t="b">
        <f t="shared" si="1"/>
        <v>1</v>
      </c>
    </row>
    <row r="12" spans="2:39" x14ac:dyDescent="0.25">
      <c r="B12" s="3">
        <v>249</v>
      </c>
      <c r="C12" s="8" t="s">
        <v>1</v>
      </c>
      <c r="D12" s="8">
        <v>8</v>
      </c>
      <c r="E12" s="48">
        <v>20</v>
      </c>
      <c r="F12" s="48">
        <v>4</v>
      </c>
      <c r="G12" s="48">
        <v>1</v>
      </c>
      <c r="H12" s="5" t="str">
        <f t="shared" si="2"/>
        <v>det_20</v>
      </c>
      <c r="I12" s="5" t="str">
        <f t="shared" si="3"/>
        <v>W:\Performance Measurement\1. Freeway\1. raw data\2010_new\data files\det_20.txt</v>
      </c>
      <c r="J12" s="5" t="str">
        <f t="shared" si="4"/>
        <v>W:\Performance Measurement\1. Freeway\1. raw data\2010_new\data files\det_20.xlsx</v>
      </c>
      <c r="K12" s="5"/>
      <c r="L12" s="47">
        <v>8</v>
      </c>
      <c r="M12" s="39" t="s">
        <v>58</v>
      </c>
      <c r="N12" s="10">
        <v>133</v>
      </c>
      <c r="O12" s="10">
        <v>5</v>
      </c>
      <c r="P12" s="10">
        <v>1</v>
      </c>
      <c r="Q12" s="19">
        <v>1</v>
      </c>
      <c r="R12" s="67" t="s">
        <v>117</v>
      </c>
      <c r="S12" s="83">
        <v>1</v>
      </c>
      <c r="T12" s="83">
        <v>1</v>
      </c>
      <c r="U12" s="19">
        <v>1</v>
      </c>
      <c r="V12" s="44"/>
      <c r="W12" s="57">
        <v>1</v>
      </c>
      <c r="X12" s="5"/>
      <c r="Y12" s="25">
        <v>20</v>
      </c>
      <c r="Z12" s="25">
        <v>4</v>
      </c>
      <c r="AA12" s="25">
        <v>1</v>
      </c>
      <c r="AB12" s="19">
        <v>1</v>
      </c>
      <c r="AC12" s="40"/>
      <c r="AE12" s="9">
        <v>456</v>
      </c>
      <c r="AF12" s="9">
        <v>6</v>
      </c>
      <c r="AH12" s="93" t="s">
        <v>58</v>
      </c>
      <c r="AI12" s="89">
        <v>133</v>
      </c>
      <c r="AJ12" s="102">
        <v>5</v>
      </c>
      <c r="AK12" s="101">
        <v>1</v>
      </c>
      <c r="AL12" s="95" t="b">
        <f t="shared" si="0"/>
        <v>1</v>
      </c>
      <c r="AM12" s="95" t="b">
        <f t="shared" si="1"/>
        <v>1</v>
      </c>
    </row>
    <row r="13" spans="2:39" x14ac:dyDescent="0.25">
      <c r="D13" s="8">
        <v>9</v>
      </c>
      <c r="E13" s="48">
        <v>24</v>
      </c>
      <c r="F13" s="48">
        <v>4</v>
      </c>
      <c r="G13" s="48">
        <v>1</v>
      </c>
      <c r="H13" s="5" t="str">
        <f t="shared" si="2"/>
        <v>det_24</v>
      </c>
      <c r="I13" s="5" t="str">
        <f t="shared" si="3"/>
        <v>W:\Performance Measurement\1. Freeway\1. raw data\2010_new\data files\det_24.txt</v>
      </c>
      <c r="J13" s="5" t="str">
        <f t="shared" si="4"/>
        <v>W:\Performance Measurement\1. Freeway\1. raw data\2010_new\data files\det_24.xlsx</v>
      </c>
      <c r="K13" s="5"/>
      <c r="L13" s="47">
        <v>9</v>
      </c>
      <c r="M13" s="39" t="s">
        <v>58</v>
      </c>
      <c r="N13" s="10">
        <v>73</v>
      </c>
      <c r="O13" s="10">
        <v>5</v>
      </c>
      <c r="P13" s="10">
        <v>1</v>
      </c>
      <c r="Q13" s="21">
        <v>1</v>
      </c>
      <c r="R13" s="67" t="s">
        <v>190</v>
      </c>
      <c r="S13" s="83">
        <v>1</v>
      </c>
      <c r="T13" s="83" t="s">
        <v>42</v>
      </c>
      <c r="U13" s="21">
        <v>1</v>
      </c>
      <c r="V13" s="44"/>
      <c r="W13" s="57">
        <v>1</v>
      </c>
      <c r="X13" s="5"/>
      <c r="Y13" s="25">
        <v>24</v>
      </c>
      <c r="Z13" s="25">
        <v>4</v>
      </c>
      <c r="AA13" s="25">
        <v>1</v>
      </c>
      <c r="AB13" s="21">
        <v>1</v>
      </c>
      <c r="AC13" s="40"/>
      <c r="AE13" s="9">
        <v>459</v>
      </c>
      <c r="AF13" s="9">
        <v>6</v>
      </c>
      <c r="AH13" s="93" t="s">
        <v>58</v>
      </c>
      <c r="AI13" s="89">
        <v>73</v>
      </c>
      <c r="AJ13" s="102">
        <v>5</v>
      </c>
      <c r="AK13" s="101">
        <v>1</v>
      </c>
      <c r="AL13" s="95" t="b">
        <f t="shared" si="0"/>
        <v>1</v>
      </c>
      <c r="AM13" s="95" t="b">
        <f t="shared" si="1"/>
        <v>1</v>
      </c>
    </row>
    <row r="14" spans="2:39" x14ac:dyDescent="0.25">
      <c r="B14" s="3">
        <v>1</v>
      </c>
      <c r="C14" s="1" t="s">
        <v>8</v>
      </c>
      <c r="D14" s="8">
        <v>10</v>
      </c>
      <c r="E14" s="48">
        <v>25</v>
      </c>
      <c r="F14" s="48">
        <v>4</v>
      </c>
      <c r="G14" s="48">
        <v>1</v>
      </c>
      <c r="H14" s="5" t="str">
        <f t="shared" si="2"/>
        <v>det_25</v>
      </c>
      <c r="I14" s="5" t="str">
        <f t="shared" si="3"/>
        <v>W:\Performance Measurement\1. Freeway\1. raw data\2010_new\data files\det_25.txt</v>
      </c>
      <c r="J14" s="5" t="str">
        <f t="shared" si="4"/>
        <v>W:\Performance Measurement\1. Freeway\1. raw data\2010_new\data files\det_25.xlsx</v>
      </c>
      <c r="K14" s="5"/>
      <c r="L14" s="47">
        <v>10</v>
      </c>
      <c r="M14" s="39" t="s">
        <v>58</v>
      </c>
      <c r="N14" s="10">
        <v>35</v>
      </c>
      <c r="O14" s="10">
        <v>4</v>
      </c>
      <c r="P14" s="10">
        <v>1</v>
      </c>
      <c r="Q14" s="19">
        <v>1</v>
      </c>
      <c r="R14" s="67" t="s">
        <v>86</v>
      </c>
      <c r="S14" s="83">
        <v>1</v>
      </c>
      <c r="T14" s="83">
        <v>1</v>
      </c>
      <c r="U14" s="19">
        <v>1</v>
      </c>
      <c r="V14" s="44"/>
      <c r="W14" s="57">
        <v>1</v>
      </c>
      <c r="X14" s="5"/>
      <c r="Y14" s="25">
        <v>25</v>
      </c>
      <c r="Z14" s="25">
        <v>4</v>
      </c>
      <c r="AA14" s="25">
        <v>1</v>
      </c>
      <c r="AB14" s="19">
        <v>1</v>
      </c>
      <c r="AC14" s="39"/>
      <c r="AE14" s="9">
        <v>462</v>
      </c>
      <c r="AF14" s="9">
        <v>6</v>
      </c>
      <c r="AH14" s="93" t="s">
        <v>58</v>
      </c>
      <c r="AI14" s="89">
        <v>35</v>
      </c>
      <c r="AJ14" s="102">
        <v>4</v>
      </c>
      <c r="AK14" s="101">
        <v>1</v>
      </c>
      <c r="AL14" s="95" t="b">
        <f t="shared" si="0"/>
        <v>1</v>
      </c>
      <c r="AM14" s="95" t="b">
        <f t="shared" si="1"/>
        <v>1</v>
      </c>
    </row>
    <row r="15" spans="2:39" x14ac:dyDescent="0.25">
      <c r="D15" s="8">
        <v>11</v>
      </c>
      <c r="E15" s="48">
        <v>29</v>
      </c>
      <c r="F15" s="48">
        <v>4</v>
      </c>
      <c r="G15" s="48">
        <v>1</v>
      </c>
      <c r="H15" s="5" t="str">
        <f t="shared" si="2"/>
        <v>det_29</v>
      </c>
      <c r="I15" s="5" t="str">
        <f t="shared" si="3"/>
        <v>W:\Performance Measurement\1. Freeway\1. raw data\2010_new\data files\det_29.txt</v>
      </c>
      <c r="J15" s="5" t="str">
        <f t="shared" si="4"/>
        <v>W:\Performance Measurement\1. Freeway\1. raw data\2010_new\data files\det_29.xlsx</v>
      </c>
      <c r="K15" s="5"/>
      <c r="L15" s="47">
        <v>11</v>
      </c>
      <c r="M15" s="39" t="s">
        <v>58</v>
      </c>
      <c r="N15" s="10">
        <v>29</v>
      </c>
      <c r="O15" s="10">
        <v>4</v>
      </c>
      <c r="P15" s="10">
        <v>1</v>
      </c>
      <c r="Q15" s="19">
        <v>1</v>
      </c>
      <c r="R15" s="67" t="s">
        <v>86</v>
      </c>
      <c r="S15" s="83">
        <v>1</v>
      </c>
      <c r="T15" s="83">
        <v>1</v>
      </c>
      <c r="U15" s="19">
        <v>1</v>
      </c>
      <c r="V15" s="44"/>
      <c r="W15" s="57">
        <v>1</v>
      </c>
      <c r="X15" s="5"/>
      <c r="Y15" s="25">
        <v>29</v>
      </c>
      <c r="Z15" s="25">
        <v>4</v>
      </c>
      <c r="AA15" s="25">
        <v>1</v>
      </c>
      <c r="AB15" s="19">
        <v>1</v>
      </c>
      <c r="AC15" s="39"/>
      <c r="AE15" s="9">
        <v>467</v>
      </c>
      <c r="AF15" s="9">
        <v>6</v>
      </c>
      <c r="AH15" s="93" t="s">
        <v>58</v>
      </c>
      <c r="AI15" s="89">
        <v>29</v>
      </c>
      <c r="AJ15" s="102">
        <v>4</v>
      </c>
      <c r="AK15" s="101">
        <v>1</v>
      </c>
      <c r="AL15" s="95" t="b">
        <f t="shared" si="0"/>
        <v>1</v>
      </c>
      <c r="AM15" s="95" t="b">
        <f t="shared" si="1"/>
        <v>1</v>
      </c>
    </row>
    <row r="16" spans="2:39" x14ac:dyDescent="0.25">
      <c r="B16" s="3">
        <v>77</v>
      </c>
      <c r="C16" s="8" t="s">
        <v>7</v>
      </c>
      <c r="D16" s="8">
        <v>12</v>
      </c>
      <c r="E16" s="48">
        <v>30</v>
      </c>
      <c r="F16" s="48">
        <v>4</v>
      </c>
      <c r="G16" s="48">
        <v>1</v>
      </c>
      <c r="H16" s="5" t="str">
        <f t="shared" si="2"/>
        <v>det_30</v>
      </c>
      <c r="I16" s="5" t="str">
        <f t="shared" si="3"/>
        <v>W:\Performance Measurement\1. Freeway\1. raw data\2010_new\data files\det_30.txt</v>
      </c>
      <c r="J16" s="5" t="str">
        <f t="shared" si="4"/>
        <v>W:\Performance Measurement\1. Freeway\1. raw data\2010_new\data files\det_30.xlsx</v>
      </c>
      <c r="K16" s="5"/>
      <c r="L16" s="47">
        <v>12</v>
      </c>
      <c r="M16" s="39" t="s">
        <v>58</v>
      </c>
      <c r="N16" s="10">
        <v>24</v>
      </c>
      <c r="O16" s="10">
        <v>4</v>
      </c>
      <c r="P16" s="10">
        <v>1</v>
      </c>
      <c r="Q16" s="21">
        <v>1</v>
      </c>
      <c r="R16" s="67" t="s">
        <v>191</v>
      </c>
      <c r="S16" s="83">
        <v>1</v>
      </c>
      <c r="T16" s="83">
        <v>1</v>
      </c>
      <c r="U16" s="21">
        <v>1</v>
      </c>
      <c r="V16" s="52"/>
      <c r="W16" s="37">
        <v>1</v>
      </c>
      <c r="X16" s="5"/>
      <c r="Y16" s="25">
        <v>30</v>
      </c>
      <c r="Z16" s="25">
        <v>4</v>
      </c>
      <c r="AA16" s="25">
        <v>1</v>
      </c>
      <c r="AB16" s="21">
        <v>1</v>
      </c>
      <c r="AC16" s="40"/>
      <c r="AE16" s="9">
        <v>470</v>
      </c>
      <c r="AF16" s="9">
        <v>6</v>
      </c>
      <c r="AH16" s="93" t="s">
        <v>58</v>
      </c>
      <c r="AI16" s="89">
        <v>24</v>
      </c>
      <c r="AJ16" s="102">
        <v>4</v>
      </c>
      <c r="AK16" s="101">
        <v>1</v>
      </c>
      <c r="AL16" s="95" t="b">
        <f t="shared" si="0"/>
        <v>1</v>
      </c>
      <c r="AM16" s="95" t="b">
        <f t="shared" si="1"/>
        <v>1</v>
      </c>
    </row>
    <row r="17" spans="1:39" x14ac:dyDescent="0.25">
      <c r="B17" s="3">
        <v>271</v>
      </c>
      <c r="C17" s="8" t="s">
        <v>6</v>
      </c>
      <c r="D17" s="8">
        <v>13</v>
      </c>
      <c r="E17" s="48">
        <v>68</v>
      </c>
      <c r="F17" s="48">
        <v>4</v>
      </c>
      <c r="G17" s="48">
        <v>1</v>
      </c>
      <c r="H17" s="5" t="str">
        <f t="shared" si="2"/>
        <v>det_68</v>
      </c>
      <c r="I17" s="5" t="str">
        <f t="shared" si="3"/>
        <v>W:\Performance Measurement\1. Freeway\1. raw data\2010_new\data files\det_68.txt</v>
      </c>
      <c r="J17" s="5" t="str">
        <f t="shared" si="4"/>
        <v>W:\Performance Measurement\1. Freeway\1. raw data\2010_new\data files\det_68.xlsx</v>
      </c>
      <c r="K17" s="5"/>
      <c r="L17" s="47">
        <v>13</v>
      </c>
      <c r="M17" s="39" t="s">
        <v>58</v>
      </c>
      <c r="N17" s="10">
        <v>17</v>
      </c>
      <c r="O17" s="10">
        <v>4</v>
      </c>
      <c r="P17" s="10">
        <v>1</v>
      </c>
      <c r="Q17" s="19">
        <v>1</v>
      </c>
      <c r="R17" s="67" t="s">
        <v>178</v>
      </c>
      <c r="S17" s="83">
        <v>1</v>
      </c>
      <c r="T17" s="83" t="s">
        <v>42</v>
      </c>
      <c r="U17" s="19">
        <v>1</v>
      </c>
      <c r="V17" s="44"/>
      <c r="W17" s="57">
        <v>1</v>
      </c>
      <c r="X17" s="5"/>
      <c r="Y17" s="25">
        <v>35</v>
      </c>
      <c r="Z17" s="25">
        <v>4</v>
      </c>
      <c r="AA17" s="25">
        <v>1</v>
      </c>
      <c r="AB17" s="19">
        <v>1</v>
      </c>
      <c r="AC17" s="39"/>
      <c r="AE17" s="9">
        <v>473</v>
      </c>
      <c r="AF17" s="9">
        <v>6</v>
      </c>
      <c r="AH17" s="93" t="s">
        <v>58</v>
      </c>
      <c r="AI17" s="89">
        <v>17</v>
      </c>
      <c r="AJ17" s="102">
        <v>4</v>
      </c>
      <c r="AK17" s="101">
        <v>1</v>
      </c>
      <c r="AL17" s="95" t="b">
        <f t="shared" si="0"/>
        <v>1</v>
      </c>
      <c r="AM17" s="95" t="b">
        <f t="shared" si="1"/>
        <v>1</v>
      </c>
    </row>
    <row r="18" spans="1:39" x14ac:dyDescent="0.25">
      <c r="C18" s="1"/>
      <c r="D18" s="8">
        <v>14</v>
      </c>
      <c r="E18" s="48">
        <v>133</v>
      </c>
      <c r="F18" s="48">
        <v>5</v>
      </c>
      <c r="G18" s="48">
        <v>1</v>
      </c>
      <c r="H18" s="5" t="str">
        <f t="shared" si="2"/>
        <v>det_133</v>
      </c>
      <c r="I18" s="5" t="str">
        <f t="shared" si="3"/>
        <v>W:\Performance Measurement\1. Freeway\1. raw data\2010_new\data files\det_133.txt</v>
      </c>
      <c r="J18" s="5" t="str">
        <f t="shared" si="4"/>
        <v>W:\Performance Measurement\1. Freeway\1. raw data\2010_new\data files\det_133.xlsx</v>
      </c>
      <c r="K18" s="5"/>
      <c r="L18" s="47">
        <v>14</v>
      </c>
      <c r="M18" s="39" t="s">
        <v>58</v>
      </c>
      <c r="N18" s="10">
        <v>11</v>
      </c>
      <c r="O18" s="10">
        <v>4</v>
      </c>
      <c r="P18" s="10">
        <v>1</v>
      </c>
      <c r="Q18" s="19">
        <v>1</v>
      </c>
      <c r="R18" s="67" t="s">
        <v>117</v>
      </c>
      <c r="S18" s="83">
        <v>1</v>
      </c>
      <c r="T18" s="83">
        <v>1</v>
      </c>
      <c r="U18" s="19">
        <v>1</v>
      </c>
      <c r="V18" s="44"/>
      <c r="W18" s="57">
        <v>1</v>
      </c>
      <c r="X18" s="5"/>
      <c r="Y18" s="25">
        <v>36</v>
      </c>
      <c r="Z18" s="25">
        <v>3</v>
      </c>
      <c r="AA18" s="25">
        <v>0</v>
      </c>
      <c r="AB18" s="19">
        <v>1</v>
      </c>
      <c r="AC18" s="39"/>
      <c r="AE18" s="9">
        <v>476</v>
      </c>
      <c r="AF18" s="9">
        <v>6</v>
      </c>
      <c r="AH18" s="93" t="s">
        <v>58</v>
      </c>
      <c r="AI18" s="89">
        <v>11</v>
      </c>
      <c r="AJ18" s="102">
        <v>4</v>
      </c>
      <c r="AK18" s="101">
        <v>1</v>
      </c>
      <c r="AL18" s="95" t="b">
        <f t="shared" si="0"/>
        <v>1</v>
      </c>
      <c r="AM18" s="95" t="b">
        <f t="shared" si="1"/>
        <v>1</v>
      </c>
    </row>
    <row r="19" spans="1:39" x14ac:dyDescent="0.25">
      <c r="B19" s="7" t="str">
        <f>"E1:X"&amp;B$11*36/B14+1</f>
        <v>E1:X13141</v>
      </c>
      <c r="C19" s="1" t="s">
        <v>5</v>
      </c>
      <c r="D19" s="8">
        <v>15</v>
      </c>
      <c r="E19" s="48">
        <v>73</v>
      </c>
      <c r="F19" s="48">
        <v>5</v>
      </c>
      <c r="G19" s="48">
        <v>1</v>
      </c>
      <c r="H19" s="5" t="str">
        <f t="shared" si="2"/>
        <v>det_73</v>
      </c>
      <c r="I19" s="5" t="str">
        <f t="shared" si="3"/>
        <v>W:\Performance Measurement\1. Freeway\1. raw data\2010_new\data files\det_73.txt</v>
      </c>
      <c r="J19" s="5" t="str">
        <f t="shared" si="4"/>
        <v>W:\Performance Measurement\1. Freeway\1. raw data\2010_new\data files\det_73.xlsx</v>
      </c>
      <c r="K19" s="5"/>
      <c r="L19" s="47">
        <v>15</v>
      </c>
      <c r="M19" s="39" t="s">
        <v>58</v>
      </c>
      <c r="N19" s="10">
        <v>4</v>
      </c>
      <c r="O19" s="10">
        <v>4</v>
      </c>
      <c r="P19" s="10">
        <v>1</v>
      </c>
      <c r="Q19" s="21">
        <v>1</v>
      </c>
      <c r="R19" s="67" t="s">
        <v>192</v>
      </c>
      <c r="S19" s="83">
        <v>1</v>
      </c>
      <c r="T19" s="83">
        <v>1</v>
      </c>
      <c r="U19" s="21">
        <v>1</v>
      </c>
      <c r="V19" s="52"/>
      <c r="W19" s="37">
        <v>1</v>
      </c>
      <c r="X19" s="5"/>
      <c r="Y19" s="25">
        <v>39</v>
      </c>
      <c r="Z19" s="25">
        <v>3</v>
      </c>
      <c r="AA19" s="25">
        <v>0</v>
      </c>
      <c r="AB19" s="19">
        <v>1</v>
      </c>
      <c r="AC19" s="40"/>
      <c r="AE19" s="9">
        <v>479</v>
      </c>
      <c r="AF19" s="9">
        <v>6</v>
      </c>
      <c r="AH19" s="93" t="s">
        <v>58</v>
      </c>
      <c r="AI19" s="89">
        <v>4</v>
      </c>
      <c r="AJ19" s="102">
        <v>4</v>
      </c>
      <c r="AK19" s="101">
        <v>1</v>
      </c>
      <c r="AL19" s="95" t="b">
        <f t="shared" si="0"/>
        <v>1</v>
      </c>
      <c r="AM19" s="95" t="b">
        <f t="shared" si="1"/>
        <v>1</v>
      </c>
    </row>
    <row r="20" spans="1:39" x14ac:dyDescent="0.25">
      <c r="B20" s="7" t="str">
        <f>"E1:X"&amp;B$11*72/B14+1</f>
        <v>E1:X26281</v>
      </c>
      <c r="C20" s="1" t="s">
        <v>4</v>
      </c>
      <c r="D20" s="8">
        <v>16</v>
      </c>
      <c r="E20" s="48">
        <v>35</v>
      </c>
      <c r="F20" s="48">
        <v>4</v>
      </c>
      <c r="G20" s="48">
        <v>1</v>
      </c>
      <c r="H20" s="5" t="str">
        <f t="shared" si="2"/>
        <v>det_35</v>
      </c>
      <c r="I20" s="5" t="str">
        <f t="shared" si="3"/>
        <v>W:\Performance Measurement\1. Freeway\1. raw data\2010_new\data files\det_35.txt</v>
      </c>
      <c r="J20" s="5" t="str">
        <f t="shared" si="4"/>
        <v>W:\Performance Measurement\1. Freeway\1. raw data\2010_new\data files\det_35.xlsx</v>
      </c>
      <c r="K20" s="5"/>
      <c r="L20" s="47">
        <v>16</v>
      </c>
      <c r="M20" s="39" t="s">
        <v>58</v>
      </c>
      <c r="N20" s="10">
        <v>1</v>
      </c>
      <c r="O20" s="10">
        <v>4</v>
      </c>
      <c r="P20" s="10">
        <v>1</v>
      </c>
      <c r="Q20" s="19">
        <v>1</v>
      </c>
      <c r="R20" s="67" t="s">
        <v>86</v>
      </c>
      <c r="S20" s="83">
        <v>1</v>
      </c>
      <c r="T20" s="83">
        <v>1</v>
      </c>
      <c r="U20" s="19">
        <v>1</v>
      </c>
      <c r="V20" s="44"/>
      <c r="W20" s="57">
        <v>1</v>
      </c>
      <c r="X20" s="5"/>
      <c r="Y20" s="25">
        <v>40</v>
      </c>
      <c r="Z20" s="25">
        <v>5</v>
      </c>
      <c r="AA20" s="25">
        <v>1</v>
      </c>
      <c r="AB20" s="19">
        <v>1</v>
      </c>
      <c r="AC20" s="39"/>
      <c r="AE20" s="9">
        <v>482</v>
      </c>
      <c r="AF20" s="9">
        <v>6</v>
      </c>
      <c r="AH20" s="93" t="s">
        <v>58</v>
      </c>
      <c r="AI20" s="89">
        <v>1</v>
      </c>
      <c r="AJ20" s="102">
        <v>4</v>
      </c>
      <c r="AK20" s="101">
        <v>1</v>
      </c>
      <c r="AL20" s="95" t="b">
        <f t="shared" si="0"/>
        <v>1</v>
      </c>
      <c r="AM20" s="95" t="b">
        <f t="shared" si="1"/>
        <v>1</v>
      </c>
    </row>
    <row r="21" spans="1:39" x14ac:dyDescent="0.25">
      <c r="B21" s="7" t="str">
        <f>"E1:X"&amp;B$11*48/B14+1</f>
        <v>E1:X17521</v>
      </c>
      <c r="C21" s="1" t="s">
        <v>3</v>
      </c>
      <c r="D21" s="8">
        <v>17</v>
      </c>
      <c r="E21" s="48">
        <v>75</v>
      </c>
      <c r="F21" s="48">
        <v>5</v>
      </c>
      <c r="G21" s="48">
        <v>1</v>
      </c>
      <c r="H21" s="5" t="str">
        <f t="shared" si="2"/>
        <v>det_75</v>
      </c>
      <c r="I21" s="5" t="str">
        <f t="shared" si="3"/>
        <v>W:\Performance Measurement\1. Freeway\1. raw data\2010_new\data files\det_75.txt</v>
      </c>
      <c r="J21" s="5" t="str">
        <f t="shared" si="4"/>
        <v>W:\Performance Measurement\1. Freeway\1. raw data\2010_new\data files\det_75.xlsx</v>
      </c>
      <c r="K21" s="5"/>
      <c r="L21" s="47">
        <v>17</v>
      </c>
      <c r="M21" s="39" t="s">
        <v>59</v>
      </c>
      <c r="N21" s="10">
        <v>75</v>
      </c>
      <c r="O21" s="10">
        <v>5</v>
      </c>
      <c r="P21" s="10">
        <v>1</v>
      </c>
      <c r="Q21" s="19">
        <v>1</v>
      </c>
      <c r="R21" s="67" t="s">
        <v>117</v>
      </c>
      <c r="S21" s="83">
        <v>1</v>
      </c>
      <c r="T21" s="83">
        <v>1</v>
      </c>
      <c r="U21" s="19">
        <v>1</v>
      </c>
      <c r="V21" s="44"/>
      <c r="W21" s="57">
        <v>1</v>
      </c>
      <c r="X21" s="5"/>
      <c r="Y21" s="25">
        <v>41</v>
      </c>
      <c r="Z21" s="25">
        <v>6</v>
      </c>
      <c r="AA21" s="25">
        <v>1</v>
      </c>
      <c r="AB21" s="19" t="s">
        <v>41</v>
      </c>
      <c r="AC21" s="39"/>
      <c r="AE21" s="9">
        <v>485</v>
      </c>
      <c r="AF21" s="9">
        <v>6</v>
      </c>
      <c r="AH21" s="93" t="s">
        <v>59</v>
      </c>
      <c r="AI21" s="89">
        <v>75</v>
      </c>
      <c r="AJ21" s="102">
        <v>5</v>
      </c>
      <c r="AK21" s="101">
        <v>1</v>
      </c>
      <c r="AL21" s="95" t="b">
        <f t="shared" si="0"/>
        <v>1</v>
      </c>
      <c r="AM21" s="95" t="b">
        <f t="shared" si="1"/>
        <v>1</v>
      </c>
    </row>
    <row r="22" spans="1:39" x14ac:dyDescent="0.25">
      <c r="B22" s="7" t="str">
        <f>"E1:X"&amp;B$11*132/B14+1</f>
        <v>E1:X48181</v>
      </c>
      <c r="C22" s="1" t="s">
        <v>2</v>
      </c>
      <c r="D22" s="8">
        <v>18</v>
      </c>
      <c r="E22" s="48">
        <v>80</v>
      </c>
      <c r="F22" s="48">
        <v>4</v>
      </c>
      <c r="G22" s="48">
        <v>1</v>
      </c>
      <c r="H22" s="5" t="str">
        <f t="shared" si="2"/>
        <v>det_80</v>
      </c>
      <c r="I22" s="5" t="str">
        <f t="shared" si="3"/>
        <v>W:\Performance Measurement\1. Freeway\1. raw data\2010_new\data files\det_80.txt</v>
      </c>
      <c r="J22" s="5" t="str">
        <f t="shared" si="4"/>
        <v>W:\Performance Measurement\1. Freeway\1. raw data\2010_new\data files\det_80.xlsx</v>
      </c>
      <c r="K22" s="5"/>
      <c r="L22" s="47">
        <v>18</v>
      </c>
      <c r="M22" s="39" t="s">
        <v>59</v>
      </c>
      <c r="N22" s="10">
        <v>80</v>
      </c>
      <c r="O22" s="10">
        <v>4</v>
      </c>
      <c r="P22" s="10">
        <v>1</v>
      </c>
      <c r="Q22" s="21">
        <v>1</v>
      </c>
      <c r="R22" s="67" t="s">
        <v>86</v>
      </c>
      <c r="S22" s="83">
        <v>1</v>
      </c>
      <c r="T22" s="83">
        <v>1</v>
      </c>
      <c r="U22" s="21">
        <v>1</v>
      </c>
      <c r="V22" s="44"/>
      <c r="W22" s="57">
        <v>1</v>
      </c>
      <c r="X22" s="5"/>
      <c r="Y22" s="25">
        <v>46</v>
      </c>
      <c r="Z22" s="25">
        <v>5</v>
      </c>
      <c r="AA22" s="25">
        <v>1</v>
      </c>
      <c r="AB22" s="19">
        <v>1</v>
      </c>
      <c r="AC22" s="39"/>
      <c r="AE22" s="9">
        <v>488</v>
      </c>
      <c r="AF22" s="9">
        <v>4</v>
      </c>
      <c r="AH22" s="93" t="s">
        <v>59</v>
      </c>
      <c r="AI22" s="89">
        <v>80</v>
      </c>
      <c r="AJ22" s="102">
        <v>4</v>
      </c>
      <c r="AK22" s="101">
        <v>1</v>
      </c>
      <c r="AL22" s="95" t="b">
        <f t="shared" si="0"/>
        <v>1</v>
      </c>
      <c r="AM22" s="95" t="b">
        <f t="shared" si="1"/>
        <v>1</v>
      </c>
    </row>
    <row r="23" spans="1:39" x14ac:dyDescent="0.25">
      <c r="D23" s="8">
        <v>19</v>
      </c>
      <c r="E23" s="48">
        <v>85</v>
      </c>
      <c r="F23" s="48">
        <v>4</v>
      </c>
      <c r="G23" s="48">
        <v>1</v>
      </c>
      <c r="H23" s="5" t="str">
        <f t="shared" si="2"/>
        <v>det_85</v>
      </c>
      <c r="I23" s="5" t="str">
        <f t="shared" si="3"/>
        <v>W:\Performance Measurement\1. Freeway\1. raw data\2010_new\data files\det_85.txt</v>
      </c>
      <c r="J23" s="5" t="str">
        <f t="shared" si="4"/>
        <v>W:\Performance Measurement\1. Freeway\1. raw data\2010_new\data files\det_85.xlsx</v>
      </c>
      <c r="K23" s="5"/>
      <c r="L23" s="47">
        <v>19</v>
      </c>
      <c r="M23" s="39" t="s">
        <v>59</v>
      </c>
      <c r="N23" s="10">
        <v>85</v>
      </c>
      <c r="O23" s="10">
        <v>4</v>
      </c>
      <c r="P23" s="10">
        <v>1</v>
      </c>
      <c r="Q23" s="19">
        <v>1</v>
      </c>
      <c r="R23" s="67" t="s">
        <v>86</v>
      </c>
      <c r="S23" s="83">
        <v>1</v>
      </c>
      <c r="T23" s="83">
        <v>1</v>
      </c>
      <c r="U23" s="19">
        <v>1</v>
      </c>
      <c r="V23" s="44"/>
      <c r="W23" s="57">
        <v>1</v>
      </c>
      <c r="X23" s="5"/>
      <c r="Y23" s="25">
        <v>47</v>
      </c>
      <c r="Z23" s="25">
        <v>5</v>
      </c>
      <c r="AA23" s="25">
        <v>1</v>
      </c>
      <c r="AB23" s="19">
        <v>1</v>
      </c>
      <c r="AC23" s="39"/>
      <c r="AE23" s="9">
        <v>428</v>
      </c>
      <c r="AF23" s="9">
        <v>5</v>
      </c>
      <c r="AH23" s="93" t="s">
        <v>59</v>
      </c>
      <c r="AI23" s="89">
        <v>85</v>
      </c>
      <c r="AJ23" s="102">
        <v>4</v>
      </c>
      <c r="AK23" s="101">
        <v>1</v>
      </c>
      <c r="AL23" s="95" t="b">
        <f t="shared" si="0"/>
        <v>1</v>
      </c>
      <c r="AM23" s="95" t="b">
        <f t="shared" si="1"/>
        <v>1</v>
      </c>
    </row>
    <row r="24" spans="1:39" x14ac:dyDescent="0.25">
      <c r="B24" s="4" t="str">
        <f>B6&amp;"\"&amp;B7</f>
        <v>W:\Performance Measurement\1. Freeway\2. processed data_quality control\a. template files\blank2010.xlsx</v>
      </c>
      <c r="D24" s="8">
        <v>20</v>
      </c>
      <c r="E24" s="48">
        <v>87</v>
      </c>
      <c r="F24" s="48">
        <v>3</v>
      </c>
      <c r="G24" s="48">
        <v>1</v>
      </c>
      <c r="H24" s="5" t="str">
        <f t="shared" si="2"/>
        <v>det_87</v>
      </c>
      <c r="I24" s="5" t="str">
        <f t="shared" si="3"/>
        <v>W:\Performance Measurement\1. Freeway\1. raw data\2010_new\data files\det_87.txt</v>
      </c>
      <c r="J24" s="5" t="str">
        <f t="shared" si="4"/>
        <v>W:\Performance Measurement\1. Freeway\1. raw data\2010_new\data files\det_87.xlsx</v>
      </c>
      <c r="K24" s="5"/>
      <c r="L24" s="47">
        <v>20</v>
      </c>
      <c r="M24" s="39" t="s">
        <v>59</v>
      </c>
      <c r="N24" s="10">
        <v>87</v>
      </c>
      <c r="O24" s="10">
        <v>3</v>
      </c>
      <c r="P24" s="10">
        <v>1</v>
      </c>
      <c r="Q24" s="19">
        <v>1</v>
      </c>
      <c r="R24" s="67" t="s">
        <v>86</v>
      </c>
      <c r="S24" s="83">
        <v>1</v>
      </c>
      <c r="T24" s="83">
        <v>1</v>
      </c>
      <c r="U24" s="19" t="s">
        <v>44</v>
      </c>
      <c r="W24" s="57">
        <v>1</v>
      </c>
      <c r="X24" s="5"/>
      <c r="Y24" s="25">
        <v>50</v>
      </c>
      <c r="Z24" s="25">
        <v>4</v>
      </c>
      <c r="AA24" s="25">
        <v>1</v>
      </c>
      <c r="AB24" s="19">
        <v>1</v>
      </c>
      <c r="AC24" s="39"/>
      <c r="AE24" s="9">
        <v>432</v>
      </c>
      <c r="AF24" s="9">
        <v>4</v>
      </c>
      <c r="AH24" s="93" t="s">
        <v>59</v>
      </c>
      <c r="AI24" s="89">
        <v>87</v>
      </c>
      <c r="AJ24" s="102">
        <v>3</v>
      </c>
      <c r="AK24" s="101">
        <v>1</v>
      </c>
      <c r="AL24" s="95" t="b">
        <f t="shared" si="0"/>
        <v>1</v>
      </c>
      <c r="AM24" s="95" t="b">
        <f t="shared" si="1"/>
        <v>1</v>
      </c>
    </row>
    <row r="25" spans="1:39" x14ac:dyDescent="0.25">
      <c r="B25" s="4" t="str">
        <f>B6&amp;"\"&amp;B8</f>
        <v>W:\Performance Measurement\1. Freeway\2. processed data_quality control\a. template files\Template.xlsx</v>
      </c>
      <c r="C25" s="1"/>
      <c r="D25" s="8">
        <v>21</v>
      </c>
      <c r="E25" s="48">
        <v>139</v>
      </c>
      <c r="F25" s="48">
        <v>5</v>
      </c>
      <c r="G25" s="48">
        <v>1</v>
      </c>
      <c r="H25" s="5" t="str">
        <f t="shared" si="2"/>
        <v>det_139</v>
      </c>
      <c r="I25" s="5" t="str">
        <f t="shared" si="3"/>
        <v>W:\Performance Measurement\1. Freeway\1. raw data\2010_new\data files\det_139.txt</v>
      </c>
      <c r="J25" s="5" t="str">
        <f t="shared" si="4"/>
        <v>W:\Performance Measurement\1. Freeway\1. raw data\2010_new\data files\det_139.xlsx</v>
      </c>
      <c r="K25" s="5"/>
      <c r="L25" s="47">
        <v>21</v>
      </c>
      <c r="M25" s="39" t="s">
        <v>59</v>
      </c>
      <c r="N25" s="10">
        <v>139</v>
      </c>
      <c r="O25" s="10">
        <v>5</v>
      </c>
      <c r="P25" s="10">
        <v>1</v>
      </c>
      <c r="Q25" s="19">
        <v>1</v>
      </c>
      <c r="R25" s="67" t="s">
        <v>86</v>
      </c>
      <c r="S25" s="83">
        <v>1</v>
      </c>
      <c r="T25" s="83">
        <v>1</v>
      </c>
      <c r="U25" s="19">
        <v>1</v>
      </c>
      <c r="V25" s="44"/>
      <c r="W25" s="57">
        <v>1</v>
      </c>
      <c r="X25" s="5"/>
      <c r="Y25" s="25">
        <v>53</v>
      </c>
      <c r="Z25" s="25">
        <v>4</v>
      </c>
      <c r="AA25" s="25">
        <v>1</v>
      </c>
      <c r="AB25" s="19">
        <v>1</v>
      </c>
      <c r="AC25" s="39"/>
      <c r="AE25" s="9">
        <v>435</v>
      </c>
      <c r="AF25" s="9">
        <v>4</v>
      </c>
      <c r="AH25" s="93" t="s">
        <v>59</v>
      </c>
      <c r="AI25" s="89">
        <v>139</v>
      </c>
      <c r="AJ25" s="102">
        <v>5</v>
      </c>
      <c r="AK25" s="101">
        <v>1</v>
      </c>
      <c r="AL25" s="95" t="b">
        <f t="shared" si="0"/>
        <v>1</v>
      </c>
      <c r="AM25" s="95" t="b">
        <f t="shared" si="1"/>
        <v>1</v>
      </c>
    </row>
    <row r="26" spans="1:39" x14ac:dyDescent="0.25">
      <c r="B26" s="4"/>
      <c r="D26" s="8">
        <v>22</v>
      </c>
      <c r="E26" s="48">
        <v>84</v>
      </c>
      <c r="F26" s="48">
        <v>4</v>
      </c>
      <c r="G26" s="48">
        <v>1</v>
      </c>
      <c r="H26" s="5" t="str">
        <f t="shared" si="2"/>
        <v>det_84</v>
      </c>
      <c r="I26" s="5" t="str">
        <f t="shared" si="3"/>
        <v>W:\Performance Measurement\1. Freeway\1. raw data\2010_new\data files\det_84.txt</v>
      </c>
      <c r="J26" s="5" t="str">
        <f t="shared" si="4"/>
        <v>W:\Performance Measurement\1. Freeway\1. raw data\2010_new\data files\det_84.xlsx</v>
      </c>
      <c r="K26" s="5"/>
      <c r="L26" s="47">
        <v>22</v>
      </c>
      <c r="M26" s="39" t="s">
        <v>59</v>
      </c>
      <c r="N26" s="10">
        <v>84</v>
      </c>
      <c r="O26" s="10">
        <v>4</v>
      </c>
      <c r="P26" s="10">
        <v>1</v>
      </c>
      <c r="Q26" s="19">
        <v>1</v>
      </c>
      <c r="R26" s="67" t="s">
        <v>86</v>
      </c>
      <c r="S26" s="83">
        <v>1</v>
      </c>
      <c r="T26" s="83">
        <v>1</v>
      </c>
      <c r="U26" s="19">
        <v>1</v>
      </c>
      <c r="V26" s="52"/>
      <c r="W26" s="37">
        <v>1</v>
      </c>
      <c r="X26" s="5"/>
      <c r="Y26" s="25">
        <v>55</v>
      </c>
      <c r="Z26" s="25">
        <v>5</v>
      </c>
      <c r="AA26" s="25">
        <v>1</v>
      </c>
      <c r="AB26" s="19">
        <v>1</v>
      </c>
      <c r="AC26" s="39"/>
      <c r="AE26" s="9">
        <v>438</v>
      </c>
      <c r="AF26" s="9">
        <v>4</v>
      </c>
      <c r="AH26" s="93" t="s">
        <v>59</v>
      </c>
      <c r="AI26" s="89">
        <v>84</v>
      </c>
      <c r="AJ26" s="102">
        <v>4</v>
      </c>
      <c r="AK26" s="101">
        <v>1</v>
      </c>
      <c r="AL26" s="95" t="b">
        <f t="shared" si="0"/>
        <v>1</v>
      </c>
      <c r="AM26" s="95" t="b">
        <f t="shared" si="1"/>
        <v>1</v>
      </c>
    </row>
    <row r="27" spans="1:39" x14ac:dyDescent="0.25">
      <c r="B27" s="1" t="s">
        <v>33</v>
      </c>
      <c r="D27" s="8">
        <v>23</v>
      </c>
      <c r="E27" s="48">
        <v>78</v>
      </c>
      <c r="F27" s="10">
        <v>4</v>
      </c>
      <c r="G27" s="10">
        <v>1</v>
      </c>
      <c r="H27" s="5" t="str">
        <f t="shared" si="2"/>
        <v>det_78</v>
      </c>
      <c r="I27" s="5" t="str">
        <f t="shared" si="3"/>
        <v>W:\Performance Measurement\1. Freeway\1. raw data\2010_new\data files\det_78.txt</v>
      </c>
      <c r="J27" s="5" t="str">
        <f t="shared" si="4"/>
        <v>W:\Performance Measurement\1. Freeway\1. raw data\2010_new\data files\det_78.xlsx</v>
      </c>
      <c r="K27" s="5"/>
      <c r="L27" s="47">
        <v>23</v>
      </c>
      <c r="M27" s="39" t="s">
        <v>59</v>
      </c>
      <c r="N27" s="10">
        <v>78</v>
      </c>
      <c r="O27" s="10">
        <v>4</v>
      </c>
      <c r="P27" s="29">
        <v>1</v>
      </c>
      <c r="Q27" s="34">
        <v>1</v>
      </c>
      <c r="R27" s="67" t="s">
        <v>252</v>
      </c>
      <c r="S27" s="83">
        <v>1</v>
      </c>
      <c r="T27" s="83">
        <v>0</v>
      </c>
      <c r="U27" s="19">
        <v>14</v>
      </c>
      <c r="W27" s="57">
        <v>1</v>
      </c>
      <c r="X27" s="5"/>
      <c r="Y27" s="25">
        <v>59</v>
      </c>
      <c r="Z27" s="25">
        <v>4</v>
      </c>
      <c r="AA27" s="25">
        <v>1</v>
      </c>
      <c r="AB27" s="19" t="s">
        <v>42</v>
      </c>
      <c r="AC27" s="39"/>
      <c r="AE27" s="9">
        <v>494</v>
      </c>
      <c r="AF27" s="9">
        <v>5</v>
      </c>
      <c r="AH27" s="93" t="s">
        <v>59</v>
      </c>
      <c r="AI27" s="89">
        <v>78</v>
      </c>
      <c r="AJ27" s="102">
        <v>4</v>
      </c>
      <c r="AK27" s="101">
        <v>1</v>
      </c>
      <c r="AL27" s="95" t="b">
        <f t="shared" si="0"/>
        <v>1</v>
      </c>
      <c r="AM27" s="95" t="b">
        <f t="shared" si="1"/>
        <v>1</v>
      </c>
    </row>
    <row r="28" spans="1:39" x14ac:dyDescent="0.25">
      <c r="B28" s="7" t="s">
        <v>34</v>
      </c>
      <c r="D28" s="8">
        <v>24</v>
      </c>
      <c r="E28" s="48">
        <v>137</v>
      </c>
      <c r="F28" s="10">
        <v>3</v>
      </c>
      <c r="G28" s="10">
        <v>1</v>
      </c>
      <c r="H28" s="5" t="str">
        <f t="shared" si="2"/>
        <v>det_137</v>
      </c>
      <c r="I28" s="5" t="str">
        <f t="shared" si="3"/>
        <v>W:\Performance Measurement\1. Freeway\1. raw data\2010_new\data files\det_137.txt</v>
      </c>
      <c r="J28" s="5" t="str">
        <f t="shared" si="4"/>
        <v>W:\Performance Measurement\1. Freeway\1. raw data\2010_new\data files\det_137.xlsx</v>
      </c>
      <c r="K28" s="5"/>
      <c r="L28" s="47">
        <v>24</v>
      </c>
      <c r="M28" s="39" t="s">
        <v>59</v>
      </c>
      <c r="N28" s="10">
        <v>137</v>
      </c>
      <c r="O28" s="10">
        <v>3</v>
      </c>
      <c r="P28" s="10">
        <v>1</v>
      </c>
      <c r="Q28" s="19">
        <v>1</v>
      </c>
      <c r="R28" s="67" t="s">
        <v>86</v>
      </c>
      <c r="S28" s="83">
        <v>1</v>
      </c>
      <c r="T28" s="83">
        <v>1</v>
      </c>
      <c r="U28" s="19">
        <v>1</v>
      </c>
      <c r="V28" s="44"/>
      <c r="W28" s="57">
        <v>1</v>
      </c>
      <c r="X28" s="5"/>
      <c r="Y28" s="25">
        <v>60</v>
      </c>
      <c r="Z28" s="25">
        <v>5</v>
      </c>
      <c r="AA28" s="25">
        <v>1</v>
      </c>
      <c r="AB28" s="19">
        <v>1</v>
      </c>
      <c r="AC28" s="39"/>
      <c r="AE28" s="9">
        <v>497</v>
      </c>
      <c r="AF28" s="9">
        <v>4</v>
      </c>
      <c r="AH28" s="93" t="s">
        <v>59</v>
      </c>
      <c r="AI28" s="89">
        <v>137</v>
      </c>
      <c r="AJ28" s="102">
        <v>3</v>
      </c>
      <c r="AK28" s="101">
        <v>1</v>
      </c>
      <c r="AL28" s="95" t="b">
        <f t="shared" si="0"/>
        <v>1</v>
      </c>
      <c r="AM28" s="95" t="b">
        <f t="shared" si="1"/>
        <v>1</v>
      </c>
    </row>
    <row r="29" spans="1:39" x14ac:dyDescent="0.25">
      <c r="A29" s="1"/>
      <c r="B29" s="7" t="s">
        <v>35</v>
      </c>
      <c r="C29" s="1"/>
      <c r="D29" s="8">
        <v>25</v>
      </c>
      <c r="E29" s="48">
        <v>89</v>
      </c>
      <c r="F29" s="10">
        <v>4</v>
      </c>
      <c r="G29" s="10">
        <v>1</v>
      </c>
      <c r="H29" s="5" t="str">
        <f t="shared" si="2"/>
        <v>det_89</v>
      </c>
      <c r="I29" s="5" t="str">
        <f t="shared" si="3"/>
        <v>W:\Performance Measurement\1. Freeway\1. raw data\2010_new\data files\det_89.txt</v>
      </c>
      <c r="J29" s="5" t="str">
        <f t="shared" si="4"/>
        <v>W:\Performance Measurement\1. Freeway\1. raw data\2010_new\data files\det_89.xlsx</v>
      </c>
      <c r="K29" s="5"/>
      <c r="L29" s="47">
        <v>25</v>
      </c>
      <c r="M29" s="39" t="s">
        <v>60</v>
      </c>
      <c r="N29" s="10">
        <v>89</v>
      </c>
      <c r="O29" s="10">
        <v>4</v>
      </c>
      <c r="P29" s="10">
        <v>1</v>
      </c>
      <c r="Q29" s="19">
        <v>1</v>
      </c>
      <c r="R29" s="67" t="s">
        <v>193</v>
      </c>
      <c r="S29" s="83">
        <v>1</v>
      </c>
      <c r="T29" s="83">
        <v>1</v>
      </c>
      <c r="U29" s="19">
        <v>1</v>
      </c>
      <c r="V29" s="44" t="s">
        <v>83</v>
      </c>
      <c r="W29" s="57">
        <v>0</v>
      </c>
      <c r="X29" s="5"/>
      <c r="Y29" s="25">
        <v>63</v>
      </c>
      <c r="Z29" s="25">
        <v>4</v>
      </c>
      <c r="AA29" s="25">
        <v>1</v>
      </c>
      <c r="AB29" s="19" t="s">
        <v>43</v>
      </c>
      <c r="AC29" s="39"/>
      <c r="AE29" s="9">
        <v>500</v>
      </c>
      <c r="AF29" s="9">
        <v>4</v>
      </c>
      <c r="AH29" s="93" t="s">
        <v>60</v>
      </c>
      <c r="AI29" s="89">
        <v>89</v>
      </c>
      <c r="AJ29" s="102">
        <v>4</v>
      </c>
      <c r="AK29" s="101">
        <v>1</v>
      </c>
      <c r="AL29" s="95" t="b">
        <f t="shared" si="0"/>
        <v>1</v>
      </c>
      <c r="AM29" s="95" t="b">
        <f t="shared" si="1"/>
        <v>1</v>
      </c>
    </row>
    <row r="30" spans="1:39" x14ac:dyDescent="0.25">
      <c r="A30" s="1"/>
      <c r="B30" s="7" t="s">
        <v>36</v>
      </c>
      <c r="C30" s="1"/>
      <c r="D30" s="8">
        <v>26</v>
      </c>
      <c r="E30" s="48">
        <v>149</v>
      </c>
      <c r="F30" s="10">
        <v>3</v>
      </c>
      <c r="G30" s="10">
        <v>1</v>
      </c>
      <c r="H30" s="5" t="str">
        <f t="shared" si="2"/>
        <v>det_149</v>
      </c>
      <c r="I30" s="5" t="str">
        <f t="shared" si="3"/>
        <v>W:\Performance Measurement\1. Freeway\1. raw data\2010_new\data files\det_149.txt</v>
      </c>
      <c r="J30" s="5" t="str">
        <f t="shared" si="4"/>
        <v>W:\Performance Measurement\1. Freeway\1. raw data\2010_new\data files\det_149.xlsx</v>
      </c>
      <c r="K30" s="5"/>
      <c r="L30" s="47">
        <v>26</v>
      </c>
      <c r="M30" s="39" t="s">
        <v>60</v>
      </c>
      <c r="N30" s="10">
        <v>149</v>
      </c>
      <c r="O30" s="10">
        <v>3</v>
      </c>
      <c r="P30" s="10">
        <v>1</v>
      </c>
      <c r="Q30" s="19">
        <v>1</v>
      </c>
      <c r="R30" s="67" t="s">
        <v>87</v>
      </c>
      <c r="S30" s="83">
        <v>1</v>
      </c>
      <c r="T30" s="83">
        <v>1</v>
      </c>
      <c r="U30" s="19">
        <v>1</v>
      </c>
      <c r="V30" s="44" t="s">
        <v>84</v>
      </c>
      <c r="W30" s="57">
        <v>1</v>
      </c>
      <c r="X30" s="5"/>
      <c r="Y30" s="25">
        <v>64</v>
      </c>
      <c r="Z30" s="25">
        <v>5</v>
      </c>
      <c r="AA30" s="25">
        <v>1</v>
      </c>
      <c r="AB30" s="19">
        <v>1</v>
      </c>
      <c r="AC30" s="39"/>
      <c r="AE30" s="9">
        <v>502</v>
      </c>
      <c r="AF30" s="9">
        <v>4</v>
      </c>
      <c r="AH30" s="93" t="s">
        <v>60</v>
      </c>
      <c r="AI30" s="89">
        <v>149</v>
      </c>
      <c r="AJ30" s="102">
        <v>3</v>
      </c>
      <c r="AK30" s="101">
        <v>1</v>
      </c>
      <c r="AL30" s="95" t="b">
        <f t="shared" si="0"/>
        <v>1</v>
      </c>
      <c r="AM30" s="95" t="b">
        <f t="shared" si="1"/>
        <v>1</v>
      </c>
    </row>
    <row r="31" spans="1:39" x14ac:dyDescent="0.25">
      <c r="A31" s="1"/>
      <c r="B31" s="7" t="s">
        <v>37</v>
      </c>
      <c r="C31" s="1"/>
      <c r="D31" s="8">
        <v>27</v>
      </c>
      <c r="E31" s="48">
        <v>93</v>
      </c>
      <c r="F31" s="10">
        <v>3</v>
      </c>
      <c r="G31" s="10">
        <v>1</v>
      </c>
      <c r="H31" s="5" t="str">
        <f t="shared" si="2"/>
        <v>det_93</v>
      </c>
      <c r="I31" s="5" t="str">
        <f t="shared" si="3"/>
        <v>W:\Performance Measurement\1. Freeway\1. raw data\2010_new\data files\det_93.txt</v>
      </c>
      <c r="J31" s="5" t="str">
        <f t="shared" si="4"/>
        <v>W:\Performance Measurement\1. Freeway\1. raw data\2010_new\data files\det_93.xlsx</v>
      </c>
      <c r="K31" s="5"/>
      <c r="L31" s="47">
        <v>27</v>
      </c>
      <c r="M31" s="39" t="s">
        <v>60</v>
      </c>
      <c r="N31" s="10">
        <v>93</v>
      </c>
      <c r="O31" s="10">
        <v>3</v>
      </c>
      <c r="P31" s="10">
        <v>1</v>
      </c>
      <c r="Q31" s="19">
        <v>1</v>
      </c>
      <c r="R31" s="67" t="s">
        <v>87</v>
      </c>
      <c r="S31" s="83">
        <v>0</v>
      </c>
      <c r="T31" s="83">
        <v>0</v>
      </c>
      <c r="U31" s="19">
        <v>1</v>
      </c>
      <c r="V31" s="44" t="s">
        <v>85</v>
      </c>
      <c r="W31" s="57">
        <v>1</v>
      </c>
      <c r="X31" s="5"/>
      <c r="Y31" s="25">
        <v>66</v>
      </c>
      <c r="Z31" s="25">
        <v>6</v>
      </c>
      <c r="AA31" s="25">
        <v>1</v>
      </c>
      <c r="AB31" s="19" t="s">
        <v>41</v>
      </c>
      <c r="AC31" s="39"/>
      <c r="AE31" s="9">
        <v>504</v>
      </c>
      <c r="AF31" s="9">
        <v>5</v>
      </c>
      <c r="AH31" s="93" t="s">
        <v>60</v>
      </c>
      <c r="AI31" s="89">
        <v>93</v>
      </c>
      <c r="AJ31" s="102">
        <v>3</v>
      </c>
      <c r="AK31" s="101">
        <v>1</v>
      </c>
      <c r="AL31" s="95" t="b">
        <f t="shared" si="0"/>
        <v>1</v>
      </c>
      <c r="AM31" s="95" t="b">
        <f t="shared" si="1"/>
        <v>1</v>
      </c>
    </row>
    <row r="32" spans="1:39" x14ac:dyDescent="0.25">
      <c r="A32" s="1"/>
      <c r="B32" s="1" t="s">
        <v>31</v>
      </c>
      <c r="C32" s="1"/>
      <c r="D32" s="8">
        <v>28</v>
      </c>
      <c r="E32" s="48">
        <v>40</v>
      </c>
      <c r="F32" s="10">
        <v>5</v>
      </c>
      <c r="G32" s="10">
        <v>1</v>
      </c>
      <c r="H32" s="5" t="str">
        <f t="shared" si="2"/>
        <v>det_40</v>
      </c>
      <c r="I32" s="5" t="str">
        <f t="shared" si="3"/>
        <v>W:\Performance Measurement\1. Freeway\1. raw data\2010_new\data files\det_40.txt</v>
      </c>
      <c r="J32" s="5" t="str">
        <f t="shared" si="4"/>
        <v>W:\Performance Measurement\1. Freeway\1. raw data\2010_new\data files\det_40.xlsx</v>
      </c>
      <c r="K32" s="5"/>
      <c r="L32" s="47">
        <v>28</v>
      </c>
      <c r="M32" s="39" t="s">
        <v>60</v>
      </c>
      <c r="N32" s="10">
        <v>40</v>
      </c>
      <c r="O32" s="10">
        <v>5</v>
      </c>
      <c r="P32" s="10">
        <v>1</v>
      </c>
      <c r="Q32" s="19">
        <v>1</v>
      </c>
      <c r="R32" s="67" t="s">
        <v>86</v>
      </c>
      <c r="S32" s="83">
        <v>1</v>
      </c>
      <c r="T32" s="83">
        <v>1</v>
      </c>
      <c r="U32" s="19">
        <v>1</v>
      </c>
      <c r="V32" s="44" t="s">
        <v>86</v>
      </c>
      <c r="W32" s="57">
        <v>1</v>
      </c>
      <c r="X32" s="5"/>
      <c r="Y32" s="25">
        <v>68</v>
      </c>
      <c r="Z32" s="25">
        <v>4</v>
      </c>
      <c r="AA32" s="25">
        <v>1</v>
      </c>
      <c r="AB32" s="19">
        <v>1</v>
      </c>
      <c r="AC32" s="39"/>
      <c r="AE32" s="9">
        <v>230</v>
      </c>
      <c r="AF32" s="9">
        <v>4</v>
      </c>
      <c r="AH32" s="93" t="s">
        <v>60</v>
      </c>
      <c r="AI32" s="89">
        <v>40</v>
      </c>
      <c r="AJ32" s="102">
        <v>5</v>
      </c>
      <c r="AK32" s="101">
        <v>1</v>
      </c>
      <c r="AL32" s="95" t="b">
        <f t="shared" si="0"/>
        <v>1</v>
      </c>
      <c r="AM32" s="95" t="b">
        <f t="shared" si="1"/>
        <v>1</v>
      </c>
    </row>
    <row r="33" spans="1:39" x14ac:dyDescent="0.25">
      <c r="A33" s="1"/>
      <c r="B33" s="7" t="s">
        <v>30</v>
      </c>
      <c r="C33" s="1"/>
      <c r="D33" s="8">
        <v>29</v>
      </c>
      <c r="E33" s="48">
        <v>46</v>
      </c>
      <c r="F33" s="10">
        <v>5</v>
      </c>
      <c r="G33" s="10">
        <v>1</v>
      </c>
      <c r="H33" s="5" t="str">
        <f t="shared" si="2"/>
        <v>det_46</v>
      </c>
      <c r="I33" s="5" t="str">
        <f t="shared" si="3"/>
        <v>W:\Performance Measurement\1. Freeway\1. raw data\2010_new\data files\det_46.txt</v>
      </c>
      <c r="J33" s="5" t="str">
        <f t="shared" si="4"/>
        <v>W:\Performance Measurement\1. Freeway\1. raw data\2010_new\data files\det_46.xlsx</v>
      </c>
      <c r="K33" s="5"/>
      <c r="L33" s="47">
        <v>29</v>
      </c>
      <c r="M33" s="39" t="s">
        <v>60</v>
      </c>
      <c r="N33" s="10">
        <v>46</v>
      </c>
      <c r="O33" s="10">
        <v>5</v>
      </c>
      <c r="P33" s="10">
        <v>1</v>
      </c>
      <c r="Q33" s="19">
        <v>1</v>
      </c>
      <c r="R33" s="67" t="s">
        <v>194</v>
      </c>
      <c r="S33" s="83">
        <v>1</v>
      </c>
      <c r="T33" s="83" t="s">
        <v>42</v>
      </c>
      <c r="U33" s="19">
        <v>1</v>
      </c>
      <c r="V33" s="44" t="s">
        <v>87</v>
      </c>
      <c r="W33" s="57">
        <v>1</v>
      </c>
      <c r="X33" s="5"/>
      <c r="Y33" s="25">
        <v>73</v>
      </c>
      <c r="Z33" s="25">
        <v>5</v>
      </c>
      <c r="AA33" s="25">
        <v>1</v>
      </c>
      <c r="AB33" s="21">
        <v>1</v>
      </c>
      <c r="AC33" s="39"/>
      <c r="AE33" s="9">
        <v>233</v>
      </c>
      <c r="AF33" s="9">
        <v>4</v>
      </c>
      <c r="AH33" s="93" t="s">
        <v>60</v>
      </c>
      <c r="AI33" s="89">
        <v>46</v>
      </c>
      <c r="AJ33" s="102">
        <v>5</v>
      </c>
      <c r="AK33" s="101">
        <v>1</v>
      </c>
      <c r="AL33" s="95" t="b">
        <f t="shared" si="0"/>
        <v>1</v>
      </c>
      <c r="AM33" s="95" t="b">
        <f t="shared" si="1"/>
        <v>1</v>
      </c>
    </row>
    <row r="34" spans="1:39" x14ac:dyDescent="0.25">
      <c r="A34" s="1"/>
      <c r="B34" s="7" t="s">
        <v>27</v>
      </c>
      <c r="C34" s="1"/>
      <c r="D34" s="8">
        <v>30</v>
      </c>
      <c r="E34" s="48">
        <v>50</v>
      </c>
      <c r="F34" s="10">
        <v>4</v>
      </c>
      <c r="G34" s="10">
        <v>1</v>
      </c>
      <c r="H34" s="5" t="str">
        <f t="shared" si="2"/>
        <v>det_50</v>
      </c>
      <c r="I34" s="5" t="str">
        <f t="shared" si="3"/>
        <v>W:\Performance Measurement\1. Freeway\1. raw data\2010_new\data files\det_50.txt</v>
      </c>
      <c r="J34" s="5" t="str">
        <f t="shared" si="4"/>
        <v>W:\Performance Measurement\1. Freeway\1. raw data\2010_new\data files\det_50.xlsx</v>
      </c>
      <c r="K34" s="5"/>
      <c r="L34" s="47">
        <v>30</v>
      </c>
      <c r="M34" s="39" t="s">
        <v>60</v>
      </c>
      <c r="N34" s="10">
        <v>50</v>
      </c>
      <c r="O34" s="10">
        <v>4</v>
      </c>
      <c r="P34" s="10">
        <v>1</v>
      </c>
      <c r="Q34" s="19">
        <v>1</v>
      </c>
      <c r="R34" s="67" t="s">
        <v>117</v>
      </c>
      <c r="S34" s="83">
        <v>1</v>
      </c>
      <c r="T34" s="83">
        <v>1</v>
      </c>
      <c r="U34" s="19">
        <v>1</v>
      </c>
      <c r="V34" s="44" t="s">
        <v>87</v>
      </c>
      <c r="W34" s="57">
        <v>1</v>
      </c>
      <c r="X34" s="5"/>
      <c r="Y34" s="25">
        <v>75</v>
      </c>
      <c r="Z34" s="25">
        <v>5</v>
      </c>
      <c r="AA34" s="25">
        <v>1</v>
      </c>
      <c r="AB34" s="19">
        <v>1</v>
      </c>
      <c r="AC34" s="39"/>
      <c r="AE34" s="9">
        <v>235</v>
      </c>
      <c r="AF34" s="9">
        <v>5</v>
      </c>
      <c r="AH34" s="93" t="s">
        <v>60</v>
      </c>
      <c r="AI34" s="89">
        <v>50</v>
      </c>
      <c r="AJ34" s="102">
        <v>4</v>
      </c>
      <c r="AK34" s="101">
        <v>1</v>
      </c>
      <c r="AL34" s="95" t="b">
        <f t="shared" si="0"/>
        <v>1</v>
      </c>
      <c r="AM34" s="95" t="b">
        <f t="shared" si="1"/>
        <v>1</v>
      </c>
    </row>
    <row r="35" spans="1:39" x14ac:dyDescent="0.25">
      <c r="A35" s="1"/>
      <c r="B35" s="7" t="s">
        <v>28</v>
      </c>
      <c r="C35" s="1"/>
      <c r="D35" s="8">
        <v>31</v>
      </c>
      <c r="E35" s="48">
        <v>55</v>
      </c>
      <c r="F35" s="10">
        <v>5</v>
      </c>
      <c r="G35" s="10">
        <v>1</v>
      </c>
      <c r="H35" s="5" t="str">
        <f t="shared" si="2"/>
        <v>det_55</v>
      </c>
      <c r="I35" s="5" t="str">
        <f t="shared" si="3"/>
        <v>W:\Performance Measurement\1. Freeway\1. raw data\2010_new\data files\det_55.txt</v>
      </c>
      <c r="J35" s="5" t="str">
        <f t="shared" si="4"/>
        <v>W:\Performance Measurement\1. Freeway\1. raw data\2010_new\data files\det_55.xlsx</v>
      </c>
      <c r="K35" s="5"/>
      <c r="L35" s="47">
        <v>31</v>
      </c>
      <c r="M35" s="39" t="s">
        <v>60</v>
      </c>
      <c r="N35" s="10">
        <v>55</v>
      </c>
      <c r="O35" s="10">
        <v>5</v>
      </c>
      <c r="P35" s="10">
        <v>1</v>
      </c>
      <c r="Q35" s="19">
        <v>1</v>
      </c>
      <c r="R35" s="67" t="s">
        <v>86</v>
      </c>
      <c r="S35" s="83">
        <v>1</v>
      </c>
      <c r="T35" s="83">
        <v>1</v>
      </c>
      <c r="U35" s="19">
        <v>1</v>
      </c>
      <c r="V35" s="44" t="s">
        <v>88</v>
      </c>
      <c r="W35" s="57">
        <v>1</v>
      </c>
      <c r="X35" s="5"/>
      <c r="Y35" s="25">
        <v>78</v>
      </c>
      <c r="Z35" s="25">
        <v>4</v>
      </c>
      <c r="AA35" s="25">
        <v>0</v>
      </c>
      <c r="AB35" s="34">
        <v>14</v>
      </c>
      <c r="AC35" s="39"/>
      <c r="AE35" s="9">
        <v>237</v>
      </c>
      <c r="AF35" s="9">
        <v>4</v>
      </c>
      <c r="AH35" s="93" t="s">
        <v>60</v>
      </c>
      <c r="AI35" s="89">
        <v>55</v>
      </c>
      <c r="AJ35" s="102">
        <v>5</v>
      </c>
      <c r="AK35" s="101">
        <v>1</v>
      </c>
      <c r="AL35" s="95" t="b">
        <f t="shared" si="0"/>
        <v>1</v>
      </c>
      <c r="AM35" s="95" t="b">
        <f t="shared" si="1"/>
        <v>1</v>
      </c>
    </row>
    <row r="36" spans="1:39" x14ac:dyDescent="0.25">
      <c r="A36" s="1"/>
      <c r="B36" s="7" t="s">
        <v>29</v>
      </c>
      <c r="D36" s="8">
        <v>32</v>
      </c>
      <c r="E36" s="48">
        <v>59</v>
      </c>
      <c r="F36" s="10">
        <v>4</v>
      </c>
      <c r="G36" s="10">
        <v>1</v>
      </c>
      <c r="H36" s="5" t="str">
        <f t="shared" si="2"/>
        <v>det_59</v>
      </c>
      <c r="I36" s="5" t="str">
        <f t="shared" si="3"/>
        <v>W:\Performance Measurement\1. Freeway\1. raw data\2010_new\data files\det_59.txt</v>
      </c>
      <c r="J36" s="5" t="str">
        <f t="shared" si="4"/>
        <v>W:\Performance Measurement\1. Freeway\1. raw data\2010_new\data files\det_59.xlsx</v>
      </c>
      <c r="K36" s="5"/>
      <c r="L36" s="47">
        <v>32</v>
      </c>
      <c r="M36" s="39" t="s">
        <v>60</v>
      </c>
      <c r="N36" s="10">
        <v>59</v>
      </c>
      <c r="O36" s="10">
        <v>4</v>
      </c>
      <c r="P36" s="10">
        <v>1</v>
      </c>
      <c r="Q36" s="34">
        <v>1</v>
      </c>
      <c r="R36" s="67" t="s">
        <v>195</v>
      </c>
      <c r="S36" s="83">
        <v>1</v>
      </c>
      <c r="T36" s="83">
        <v>0</v>
      </c>
      <c r="U36" s="19">
        <v>1</v>
      </c>
      <c r="V36" s="44" t="s">
        <v>88</v>
      </c>
      <c r="W36" s="57">
        <v>1</v>
      </c>
      <c r="X36" s="5"/>
      <c r="Y36" s="25">
        <v>80</v>
      </c>
      <c r="Z36" s="25">
        <v>4</v>
      </c>
      <c r="AA36" s="25">
        <v>1</v>
      </c>
      <c r="AB36" s="21">
        <v>1</v>
      </c>
      <c r="AC36" s="40"/>
      <c r="AE36" s="9">
        <v>239</v>
      </c>
      <c r="AF36" s="9">
        <v>4</v>
      </c>
      <c r="AH36" s="93" t="s">
        <v>60</v>
      </c>
      <c r="AI36" s="89">
        <v>59</v>
      </c>
      <c r="AJ36" s="102">
        <v>4</v>
      </c>
      <c r="AK36" s="101">
        <v>1</v>
      </c>
      <c r="AL36" s="95" t="b">
        <f t="shared" si="0"/>
        <v>1</v>
      </c>
      <c r="AM36" s="95" t="b">
        <f t="shared" si="1"/>
        <v>1</v>
      </c>
    </row>
    <row r="37" spans="1:39" x14ac:dyDescent="0.25">
      <c r="B37" s="1" t="s">
        <v>32</v>
      </c>
      <c r="D37" s="8">
        <v>33</v>
      </c>
      <c r="E37" s="48">
        <v>64</v>
      </c>
      <c r="F37" s="10">
        <v>5</v>
      </c>
      <c r="G37" s="10">
        <v>1</v>
      </c>
      <c r="H37" s="5" t="str">
        <f t="shared" ref="H37:H68" si="5">"det_"&amp;E37&amp;""</f>
        <v>det_64</v>
      </c>
      <c r="I37" s="5" t="str">
        <f t="shared" si="3"/>
        <v>W:\Performance Measurement\1. Freeway\1. raw data\2010_new\data files\det_64.txt</v>
      </c>
      <c r="J37" s="5" t="str">
        <f t="shared" ref="J37:J100" si="6">$B$5&amp;"\"&amp;H37&amp;".xlsx"</f>
        <v>W:\Performance Measurement\1. Freeway\1. raw data\2010_new\data files\det_64.xlsx</v>
      </c>
      <c r="K37" s="5"/>
      <c r="L37" s="47">
        <v>33</v>
      </c>
      <c r="M37" s="39" t="s">
        <v>60</v>
      </c>
      <c r="N37" s="10">
        <v>64</v>
      </c>
      <c r="O37" s="10">
        <v>5</v>
      </c>
      <c r="P37" s="10">
        <v>1</v>
      </c>
      <c r="Q37" s="19">
        <v>1</v>
      </c>
      <c r="R37" s="67" t="s">
        <v>87</v>
      </c>
      <c r="S37" s="83">
        <v>1</v>
      </c>
      <c r="T37" s="83">
        <v>1</v>
      </c>
      <c r="U37" s="19">
        <v>1</v>
      </c>
      <c r="V37" s="44" t="s">
        <v>89</v>
      </c>
      <c r="W37" s="57">
        <v>1</v>
      </c>
      <c r="X37" s="5"/>
      <c r="Y37" s="25">
        <v>84</v>
      </c>
      <c r="Z37" s="25">
        <v>4</v>
      </c>
      <c r="AA37" s="25">
        <v>1</v>
      </c>
      <c r="AB37" s="19">
        <v>1</v>
      </c>
      <c r="AC37" s="39"/>
      <c r="AE37" s="9">
        <v>241</v>
      </c>
      <c r="AF37" s="9">
        <v>4</v>
      </c>
      <c r="AH37" s="93" t="s">
        <v>60</v>
      </c>
      <c r="AI37" s="89">
        <v>64</v>
      </c>
      <c r="AJ37" s="102">
        <v>5</v>
      </c>
      <c r="AK37" s="101">
        <v>1</v>
      </c>
      <c r="AL37" s="95" t="b">
        <f t="shared" si="0"/>
        <v>1</v>
      </c>
      <c r="AM37" s="95" t="b">
        <f t="shared" si="1"/>
        <v>1</v>
      </c>
    </row>
    <row r="38" spans="1:39" x14ac:dyDescent="0.25">
      <c r="B38" s="7" t="e">
        <f>"E1:X"&amp;B$11*36/B33+1</f>
        <v>#VALUE!</v>
      </c>
      <c r="D38" s="8">
        <v>34</v>
      </c>
      <c r="E38" s="48">
        <v>393</v>
      </c>
      <c r="F38" s="10">
        <v>3</v>
      </c>
      <c r="G38" s="10">
        <v>1</v>
      </c>
      <c r="H38" s="5" t="str">
        <f t="shared" si="5"/>
        <v>det_393</v>
      </c>
      <c r="I38" s="5" t="str">
        <f t="shared" si="3"/>
        <v>W:\Performance Measurement\1. Freeway\1. raw data\2010_new\data files\det_393.txt</v>
      </c>
      <c r="J38" s="5" t="str">
        <f t="shared" si="6"/>
        <v>W:\Performance Measurement\1. Freeway\1. raw data\2010_new\data files\det_393.xlsx</v>
      </c>
      <c r="K38" s="5"/>
      <c r="L38" s="47">
        <v>34</v>
      </c>
      <c r="M38" s="39" t="s">
        <v>60</v>
      </c>
      <c r="N38" s="10">
        <v>393</v>
      </c>
      <c r="O38" s="10">
        <v>3</v>
      </c>
      <c r="P38" s="10">
        <v>1</v>
      </c>
      <c r="Q38" s="19">
        <v>1</v>
      </c>
      <c r="R38" s="67" t="s">
        <v>178</v>
      </c>
      <c r="S38" s="83">
        <v>1</v>
      </c>
      <c r="T38" s="83">
        <v>0</v>
      </c>
      <c r="U38" s="19" t="s">
        <v>44</v>
      </c>
      <c r="V38" s="44" t="s">
        <v>90</v>
      </c>
      <c r="W38" s="57">
        <v>1</v>
      </c>
      <c r="X38" s="5"/>
      <c r="Y38" s="25">
        <v>85</v>
      </c>
      <c r="Z38" s="25">
        <v>4</v>
      </c>
      <c r="AA38" s="25">
        <v>1</v>
      </c>
      <c r="AB38" s="19">
        <v>1</v>
      </c>
      <c r="AC38" s="39"/>
      <c r="AE38" s="9">
        <v>245</v>
      </c>
      <c r="AF38" s="9">
        <v>5</v>
      </c>
      <c r="AH38" s="93" t="s">
        <v>60</v>
      </c>
      <c r="AI38" s="89">
        <v>393</v>
      </c>
      <c r="AJ38" s="102">
        <v>3</v>
      </c>
      <c r="AK38" s="101">
        <v>1</v>
      </c>
      <c r="AL38" s="95" t="b">
        <f t="shared" si="0"/>
        <v>1</v>
      </c>
      <c r="AM38" s="95" t="b">
        <f t="shared" si="1"/>
        <v>1</v>
      </c>
    </row>
    <row r="39" spans="1:39" x14ac:dyDescent="0.25">
      <c r="B39" s="7" t="e">
        <f>"E1:X"&amp;B$11*72/B33+1</f>
        <v>#VALUE!</v>
      </c>
      <c r="D39" s="8">
        <v>35</v>
      </c>
      <c r="E39" s="48">
        <v>425</v>
      </c>
      <c r="F39" s="10">
        <v>3</v>
      </c>
      <c r="G39" s="10">
        <v>1</v>
      </c>
      <c r="H39" s="5" t="str">
        <f t="shared" si="5"/>
        <v>det_425</v>
      </c>
      <c r="I39" s="5" t="str">
        <f t="shared" si="3"/>
        <v>W:\Performance Measurement\1. Freeway\1. raw data\2010_new\data files\det_425.txt</v>
      </c>
      <c r="J39" s="5" t="str">
        <f t="shared" si="6"/>
        <v>W:\Performance Measurement\1. Freeway\1. raw data\2010_new\data files\det_425.xlsx</v>
      </c>
      <c r="K39" s="5"/>
      <c r="L39" s="47">
        <v>35</v>
      </c>
      <c r="M39" s="39" t="s">
        <v>60</v>
      </c>
      <c r="N39" s="10">
        <v>425</v>
      </c>
      <c r="O39" s="10">
        <v>3</v>
      </c>
      <c r="P39" s="10">
        <v>1</v>
      </c>
      <c r="Q39" s="19">
        <v>1</v>
      </c>
      <c r="R39" s="67" t="s">
        <v>198</v>
      </c>
      <c r="S39" s="83">
        <v>1</v>
      </c>
      <c r="T39" s="83">
        <v>1</v>
      </c>
      <c r="U39" s="19" t="s">
        <v>44</v>
      </c>
      <c r="V39" s="74" t="s">
        <v>92</v>
      </c>
      <c r="W39" s="57">
        <v>1</v>
      </c>
      <c r="X39" s="5"/>
      <c r="Y39" s="25">
        <v>87</v>
      </c>
      <c r="Z39" s="25">
        <v>3</v>
      </c>
      <c r="AA39" s="25">
        <v>1</v>
      </c>
      <c r="AB39" s="19" t="s">
        <v>44</v>
      </c>
      <c r="AC39" s="40"/>
      <c r="AE39" s="9">
        <v>246</v>
      </c>
      <c r="AF39" s="9">
        <v>5</v>
      </c>
      <c r="AH39" s="93" t="s">
        <v>60</v>
      </c>
      <c r="AI39" s="89">
        <v>425</v>
      </c>
      <c r="AJ39" s="102">
        <v>3</v>
      </c>
      <c r="AK39" s="101">
        <v>1</v>
      </c>
      <c r="AL39" s="95" t="b">
        <f t="shared" si="0"/>
        <v>1</v>
      </c>
      <c r="AM39" s="95" t="b">
        <f t="shared" si="1"/>
        <v>1</v>
      </c>
    </row>
    <row r="40" spans="1:39" x14ac:dyDescent="0.25">
      <c r="B40" s="7" t="e">
        <f>"E1:X"&amp;B$11*48/B33+1</f>
        <v>#VALUE!</v>
      </c>
      <c r="D40" s="8">
        <v>36</v>
      </c>
      <c r="E40" s="48">
        <v>66</v>
      </c>
      <c r="F40" s="10">
        <v>6</v>
      </c>
      <c r="G40" s="10">
        <v>1</v>
      </c>
      <c r="H40" s="5" t="str">
        <f t="shared" si="5"/>
        <v>det_66</v>
      </c>
      <c r="I40" s="5" t="str">
        <f t="shared" si="3"/>
        <v>W:\Performance Measurement\1. Freeway\1. raw data\2010_new\data files\det_66.txt</v>
      </c>
      <c r="J40" s="5" t="str">
        <f t="shared" si="6"/>
        <v>W:\Performance Measurement\1. Freeway\1. raw data\2010_new\data files\det_66.xlsx</v>
      </c>
      <c r="K40" s="5"/>
      <c r="L40" s="47">
        <v>36</v>
      </c>
      <c r="M40" s="39" t="s">
        <v>60</v>
      </c>
      <c r="N40" s="10">
        <v>66</v>
      </c>
      <c r="O40" s="10">
        <v>6</v>
      </c>
      <c r="P40" s="10">
        <v>1</v>
      </c>
      <c r="Q40" s="34">
        <v>1</v>
      </c>
      <c r="R40" s="67" t="s">
        <v>199</v>
      </c>
      <c r="S40" s="83">
        <v>0</v>
      </c>
      <c r="T40" s="83">
        <v>0</v>
      </c>
      <c r="U40" s="19" t="s">
        <v>41</v>
      </c>
      <c r="V40" s="44" t="s">
        <v>93</v>
      </c>
      <c r="W40" s="57">
        <v>0</v>
      </c>
      <c r="X40" s="5"/>
      <c r="Y40" s="25">
        <v>89</v>
      </c>
      <c r="Z40" s="25">
        <v>4</v>
      </c>
      <c r="AA40" s="25">
        <v>1</v>
      </c>
      <c r="AB40" s="19">
        <v>1</v>
      </c>
      <c r="AC40" s="39"/>
      <c r="AE40" s="9">
        <v>248</v>
      </c>
      <c r="AF40" s="9">
        <v>5</v>
      </c>
      <c r="AH40" s="93" t="s">
        <v>60</v>
      </c>
      <c r="AI40" s="89">
        <v>66</v>
      </c>
      <c r="AJ40" s="102">
        <v>6</v>
      </c>
      <c r="AK40" s="101">
        <v>1</v>
      </c>
      <c r="AL40" s="95" t="b">
        <f t="shared" si="0"/>
        <v>1</v>
      </c>
      <c r="AM40" s="95" t="b">
        <f t="shared" si="1"/>
        <v>1</v>
      </c>
    </row>
    <row r="41" spans="1:39" x14ac:dyDescent="0.25">
      <c r="B41" s="7" t="e">
        <f>"E1:X"&amp;B$11*132/B33+1</f>
        <v>#VALUE!</v>
      </c>
      <c r="D41" s="8">
        <v>37</v>
      </c>
      <c r="E41" s="48">
        <v>60</v>
      </c>
      <c r="F41" s="10">
        <v>5</v>
      </c>
      <c r="G41" s="10">
        <v>1</v>
      </c>
      <c r="H41" s="5" t="str">
        <f t="shared" si="5"/>
        <v>det_60</v>
      </c>
      <c r="I41" s="5" t="str">
        <f t="shared" si="3"/>
        <v>W:\Performance Measurement\1. Freeway\1. raw data\2010_new\data files\det_60.txt</v>
      </c>
      <c r="J41" s="5" t="str">
        <f t="shared" si="6"/>
        <v>W:\Performance Measurement\1. Freeway\1. raw data\2010_new\data files\det_60.xlsx</v>
      </c>
      <c r="K41" s="5"/>
      <c r="L41" s="47">
        <v>37</v>
      </c>
      <c r="M41" s="39" t="s">
        <v>60</v>
      </c>
      <c r="N41" s="10">
        <v>63</v>
      </c>
      <c r="O41" s="10">
        <v>4</v>
      </c>
      <c r="P41" s="10">
        <v>1</v>
      </c>
      <c r="Q41" s="19">
        <v>1</v>
      </c>
      <c r="R41" s="67" t="s">
        <v>119</v>
      </c>
      <c r="S41" s="83">
        <v>1</v>
      </c>
      <c r="T41" s="83">
        <v>1</v>
      </c>
      <c r="U41" s="56" t="s">
        <v>44</v>
      </c>
      <c r="V41" s="49" t="s">
        <v>97</v>
      </c>
      <c r="W41" s="49" t="s">
        <v>98</v>
      </c>
      <c r="X41" s="5"/>
      <c r="Y41" s="25">
        <v>92</v>
      </c>
      <c r="Z41" s="25">
        <v>3</v>
      </c>
      <c r="AA41" s="25">
        <v>1</v>
      </c>
      <c r="AB41" s="19">
        <v>1</v>
      </c>
      <c r="AC41" s="39"/>
      <c r="AE41" s="9">
        <v>250</v>
      </c>
      <c r="AF41" s="9">
        <v>5</v>
      </c>
      <c r="AH41" s="93" t="s">
        <v>60</v>
      </c>
      <c r="AI41" s="89">
        <v>63</v>
      </c>
      <c r="AJ41" s="102">
        <v>4</v>
      </c>
      <c r="AK41" s="101">
        <v>1</v>
      </c>
      <c r="AL41" s="95" t="b">
        <f t="shared" si="0"/>
        <v>1</v>
      </c>
      <c r="AM41" s="95" t="b">
        <f t="shared" si="1"/>
        <v>1</v>
      </c>
    </row>
    <row r="42" spans="1:39" x14ac:dyDescent="0.25">
      <c r="D42" s="8">
        <v>38</v>
      </c>
      <c r="E42" s="48">
        <v>53</v>
      </c>
      <c r="F42" s="10">
        <v>4</v>
      </c>
      <c r="G42" s="10">
        <v>1</v>
      </c>
      <c r="H42" s="5" t="str">
        <f t="shared" si="5"/>
        <v>det_53</v>
      </c>
      <c r="I42" s="5" t="str">
        <f t="shared" si="3"/>
        <v>W:\Performance Measurement\1. Freeway\1. raw data\2010_new\data files\det_53.txt</v>
      </c>
      <c r="J42" s="5" t="str">
        <f t="shared" si="6"/>
        <v>W:\Performance Measurement\1. Freeway\1. raw data\2010_new\data files\det_53.xlsx</v>
      </c>
      <c r="K42" s="5"/>
      <c r="L42" s="47">
        <v>38</v>
      </c>
      <c r="M42" s="39" t="s">
        <v>60</v>
      </c>
      <c r="N42" s="10">
        <v>60</v>
      </c>
      <c r="O42" s="10">
        <v>5</v>
      </c>
      <c r="P42" s="10">
        <v>1</v>
      </c>
      <c r="Q42" s="19">
        <v>1</v>
      </c>
      <c r="R42" s="67" t="s">
        <v>200</v>
      </c>
      <c r="S42" s="83">
        <v>1</v>
      </c>
      <c r="T42" s="83">
        <v>1</v>
      </c>
      <c r="U42" s="19">
        <v>1</v>
      </c>
      <c r="V42" s="44" t="s">
        <v>94</v>
      </c>
      <c r="W42" s="57" t="s">
        <v>42</v>
      </c>
      <c r="X42" s="5"/>
      <c r="Y42" s="25">
        <v>93</v>
      </c>
      <c r="Z42" s="25">
        <v>3</v>
      </c>
      <c r="AA42" s="25">
        <v>1</v>
      </c>
      <c r="AB42" s="19">
        <v>1</v>
      </c>
      <c r="AC42" s="39"/>
      <c r="AE42" s="9">
        <v>272</v>
      </c>
      <c r="AF42" s="9">
        <v>3</v>
      </c>
      <c r="AH42" s="93" t="s">
        <v>60</v>
      </c>
      <c r="AI42" s="89">
        <v>60</v>
      </c>
      <c r="AJ42" s="102">
        <v>5</v>
      </c>
      <c r="AK42" s="101">
        <v>1</v>
      </c>
      <c r="AL42" s="95" t="b">
        <f t="shared" si="0"/>
        <v>1</v>
      </c>
      <c r="AM42" s="95" t="b">
        <f t="shared" si="1"/>
        <v>1</v>
      </c>
    </row>
    <row r="43" spans="1:39" x14ac:dyDescent="0.25">
      <c r="D43" s="8">
        <v>39</v>
      </c>
      <c r="E43" s="48">
        <v>144</v>
      </c>
      <c r="F43" s="10">
        <v>3</v>
      </c>
      <c r="G43" s="10">
        <v>1</v>
      </c>
      <c r="H43" s="5" t="str">
        <f t="shared" si="5"/>
        <v>det_144</v>
      </c>
      <c r="I43" s="5" t="str">
        <f t="shared" si="3"/>
        <v>W:\Performance Measurement\1. Freeway\1. raw data\2010_new\data files\det_144.txt</v>
      </c>
      <c r="J43" s="5" t="str">
        <f t="shared" si="6"/>
        <v>W:\Performance Measurement\1. Freeway\1. raw data\2010_new\data files\det_144.xlsx</v>
      </c>
      <c r="K43" s="5"/>
      <c r="L43" s="47">
        <v>39</v>
      </c>
      <c r="M43" s="39" t="s">
        <v>60</v>
      </c>
      <c r="N43" s="10">
        <v>53</v>
      </c>
      <c r="O43" s="10">
        <v>4</v>
      </c>
      <c r="P43" s="10">
        <v>1</v>
      </c>
      <c r="Q43" s="19">
        <v>1</v>
      </c>
      <c r="R43" s="67" t="s">
        <v>253</v>
      </c>
      <c r="S43" s="83">
        <v>1</v>
      </c>
      <c r="T43" s="83">
        <v>1</v>
      </c>
      <c r="U43" s="19">
        <v>1</v>
      </c>
      <c r="V43" s="44" t="s">
        <v>95</v>
      </c>
      <c r="W43" s="57" t="s">
        <v>42</v>
      </c>
      <c r="X43" s="5"/>
      <c r="Y43" s="25">
        <v>97</v>
      </c>
      <c r="Z43" s="25">
        <v>3</v>
      </c>
      <c r="AA43" s="25">
        <v>0</v>
      </c>
      <c r="AB43" s="19">
        <v>1</v>
      </c>
      <c r="AC43" s="39"/>
      <c r="AE43" s="9">
        <v>275</v>
      </c>
      <c r="AF43" s="9">
        <v>5</v>
      </c>
      <c r="AH43" s="93" t="s">
        <v>60</v>
      </c>
      <c r="AI43" s="89">
        <v>53</v>
      </c>
      <c r="AJ43" s="102">
        <v>4</v>
      </c>
      <c r="AK43" s="101">
        <v>1</v>
      </c>
      <c r="AL43" s="95" t="b">
        <f t="shared" si="0"/>
        <v>1</v>
      </c>
      <c r="AM43" s="95" t="b">
        <f t="shared" si="1"/>
        <v>1</v>
      </c>
    </row>
    <row r="44" spans="1:39" x14ac:dyDescent="0.25">
      <c r="D44" s="8">
        <v>40</v>
      </c>
      <c r="E44" s="48">
        <v>92</v>
      </c>
      <c r="F44" s="10">
        <v>3</v>
      </c>
      <c r="G44" s="10">
        <v>1</v>
      </c>
      <c r="H44" s="5" t="str">
        <f t="shared" si="5"/>
        <v>det_92</v>
      </c>
      <c r="I44" s="5" t="str">
        <f t="shared" si="3"/>
        <v>W:\Performance Measurement\1. Freeway\1. raw data\2010_new\data files\det_92.txt</v>
      </c>
      <c r="J44" s="5" t="str">
        <f t="shared" si="6"/>
        <v>W:\Performance Measurement\1. Freeway\1. raw data\2010_new\data files\det_92.xlsx</v>
      </c>
      <c r="K44" s="5"/>
      <c r="L44" s="47">
        <v>40</v>
      </c>
      <c r="M44" s="39" t="s">
        <v>60</v>
      </c>
      <c r="N44" s="10">
        <v>47</v>
      </c>
      <c r="O44" s="10">
        <v>5</v>
      </c>
      <c r="P44" s="10">
        <v>1</v>
      </c>
      <c r="Q44" s="19">
        <v>1</v>
      </c>
      <c r="R44" s="67" t="s">
        <v>201</v>
      </c>
      <c r="S44" s="83">
        <v>1</v>
      </c>
      <c r="T44" s="83" t="s">
        <v>42</v>
      </c>
      <c r="U44" s="56">
        <v>15</v>
      </c>
      <c r="V44" s="44" t="s">
        <v>96</v>
      </c>
      <c r="W44" s="39" t="s">
        <v>54</v>
      </c>
      <c r="X44" s="5"/>
      <c r="Y44" s="25">
        <v>98</v>
      </c>
      <c r="Z44" s="25">
        <v>3</v>
      </c>
      <c r="AA44" s="25">
        <v>0</v>
      </c>
      <c r="AB44" s="19">
        <v>1</v>
      </c>
      <c r="AC44" s="39"/>
      <c r="AE44" s="9">
        <v>278</v>
      </c>
      <c r="AF44" s="9">
        <v>5</v>
      </c>
      <c r="AH44" s="93" t="s">
        <v>60</v>
      </c>
      <c r="AI44" s="89">
        <v>47</v>
      </c>
      <c r="AJ44" s="102">
        <v>5</v>
      </c>
      <c r="AK44" s="101">
        <v>1</v>
      </c>
      <c r="AL44" s="95" t="b">
        <f t="shared" si="0"/>
        <v>1</v>
      </c>
      <c r="AM44" s="95" t="b">
        <f t="shared" si="1"/>
        <v>1</v>
      </c>
    </row>
    <row r="45" spans="1:39" x14ac:dyDescent="0.25">
      <c r="D45" s="8">
        <v>41</v>
      </c>
      <c r="E45" s="48">
        <v>141</v>
      </c>
      <c r="F45" s="10">
        <v>4</v>
      </c>
      <c r="G45" s="10">
        <v>1</v>
      </c>
      <c r="H45" s="5" t="str">
        <f t="shared" si="5"/>
        <v>det_141</v>
      </c>
      <c r="I45" s="5" t="str">
        <f t="shared" si="3"/>
        <v>W:\Performance Measurement\1. Freeway\1. raw data\2010_new\data files\det_141.txt</v>
      </c>
      <c r="J45" s="5" t="str">
        <f t="shared" si="6"/>
        <v>W:\Performance Measurement\1. Freeway\1. raw data\2010_new\data files\det_141.xlsx</v>
      </c>
      <c r="K45" s="5"/>
      <c r="L45" s="47">
        <v>41</v>
      </c>
      <c r="M45" s="39" t="s">
        <v>60</v>
      </c>
      <c r="N45" s="10">
        <v>41</v>
      </c>
      <c r="O45" s="10">
        <v>6</v>
      </c>
      <c r="P45" s="10">
        <v>1</v>
      </c>
      <c r="Q45" s="19">
        <v>1</v>
      </c>
      <c r="R45" s="67" t="s">
        <v>117</v>
      </c>
      <c r="S45" s="83">
        <v>1</v>
      </c>
      <c r="T45" s="83">
        <v>1</v>
      </c>
      <c r="U45" s="56" t="s">
        <v>45</v>
      </c>
      <c r="V45" s="51" t="s">
        <v>99</v>
      </c>
      <c r="W45" s="51" t="s">
        <v>53</v>
      </c>
      <c r="X45" s="5"/>
      <c r="Y45" s="25">
        <v>103</v>
      </c>
      <c r="Z45" s="25">
        <v>3</v>
      </c>
      <c r="AA45" s="25">
        <v>0</v>
      </c>
      <c r="AB45" s="19">
        <v>1</v>
      </c>
      <c r="AC45" s="39"/>
      <c r="AE45" s="9">
        <v>281</v>
      </c>
      <c r="AF45" s="9">
        <v>5</v>
      </c>
      <c r="AH45" s="93" t="s">
        <v>60</v>
      </c>
      <c r="AI45" s="89">
        <v>41</v>
      </c>
      <c r="AJ45" s="102">
        <v>6</v>
      </c>
      <c r="AK45" s="101">
        <v>1</v>
      </c>
      <c r="AL45" s="95" t="b">
        <f t="shared" si="0"/>
        <v>1</v>
      </c>
      <c r="AM45" s="95" t="b">
        <f t="shared" si="1"/>
        <v>1</v>
      </c>
    </row>
    <row r="46" spans="1:39" x14ac:dyDescent="0.25">
      <c r="D46" s="8">
        <v>42</v>
      </c>
      <c r="E46" s="48">
        <v>396</v>
      </c>
      <c r="F46" s="10">
        <v>3</v>
      </c>
      <c r="G46" s="10">
        <v>1</v>
      </c>
      <c r="H46" s="5" t="str">
        <f t="shared" si="5"/>
        <v>det_396</v>
      </c>
      <c r="I46" s="5" t="str">
        <f t="shared" ref="I46:I59" si="7">$B$5&amp;"\"&amp;H46&amp;".txt"</f>
        <v>W:\Performance Measurement\1. Freeway\1. raw data\2010_new\data files\det_396.txt</v>
      </c>
      <c r="J46" s="5" t="str">
        <f t="shared" ref="J46:J59" si="8">$B$5&amp;"\"&amp;H46&amp;".xlsx"</f>
        <v>W:\Performance Measurement\1. Freeway\1. raw data\2010_new\data files\det_396.xlsx</v>
      </c>
      <c r="K46" s="5"/>
      <c r="L46" s="47">
        <v>42</v>
      </c>
      <c r="M46" s="39" t="s">
        <v>60</v>
      </c>
      <c r="N46" s="10">
        <v>144</v>
      </c>
      <c r="O46" s="10">
        <v>3</v>
      </c>
      <c r="P46" s="10">
        <v>1</v>
      </c>
      <c r="Q46" s="19">
        <v>1</v>
      </c>
      <c r="R46" s="67" t="s">
        <v>202</v>
      </c>
      <c r="S46" s="83">
        <v>1</v>
      </c>
      <c r="T46" s="83">
        <v>1</v>
      </c>
      <c r="U46" s="19" t="s">
        <v>44</v>
      </c>
      <c r="V46" s="51" t="s">
        <v>100</v>
      </c>
      <c r="W46" s="55">
        <v>0</v>
      </c>
      <c r="X46" s="5"/>
      <c r="Y46" s="25">
        <v>104</v>
      </c>
      <c r="Z46" s="25">
        <v>3</v>
      </c>
      <c r="AA46" s="25">
        <v>0</v>
      </c>
      <c r="AB46" s="19">
        <v>1</v>
      </c>
      <c r="AC46" s="39"/>
      <c r="AE46" s="9">
        <v>284</v>
      </c>
      <c r="AF46" s="9">
        <v>4</v>
      </c>
      <c r="AH46" s="93" t="s">
        <v>60</v>
      </c>
      <c r="AI46" s="89">
        <v>144</v>
      </c>
      <c r="AJ46" s="102">
        <v>3</v>
      </c>
      <c r="AK46" s="101">
        <v>1</v>
      </c>
      <c r="AL46" s="95" t="b">
        <f t="shared" si="0"/>
        <v>1</v>
      </c>
      <c r="AM46" s="95" t="b">
        <f t="shared" si="1"/>
        <v>1</v>
      </c>
    </row>
    <row r="47" spans="1:39" x14ac:dyDescent="0.25">
      <c r="D47" s="8">
        <v>43</v>
      </c>
      <c r="E47" s="48">
        <v>397</v>
      </c>
      <c r="F47" s="10">
        <v>4</v>
      </c>
      <c r="G47" s="10">
        <v>1</v>
      </c>
      <c r="H47" s="5" t="str">
        <f t="shared" si="5"/>
        <v>det_397</v>
      </c>
      <c r="I47" s="5" t="str">
        <f t="shared" si="7"/>
        <v>W:\Performance Measurement\1. Freeway\1. raw data\2010_new\data files\det_397.txt</v>
      </c>
      <c r="J47" s="5" t="str">
        <f t="shared" si="8"/>
        <v>W:\Performance Measurement\1. Freeway\1. raw data\2010_new\data files\det_397.xlsx</v>
      </c>
      <c r="K47" s="5"/>
      <c r="L47" s="47">
        <v>43</v>
      </c>
      <c r="M47" s="39" t="s">
        <v>60</v>
      </c>
      <c r="N47" s="10">
        <v>92</v>
      </c>
      <c r="O47" s="10">
        <v>3</v>
      </c>
      <c r="P47" s="10">
        <v>1</v>
      </c>
      <c r="Q47" s="19">
        <v>1</v>
      </c>
      <c r="R47" s="67" t="s">
        <v>203</v>
      </c>
      <c r="S47" s="83">
        <v>0</v>
      </c>
      <c r="T47" s="83">
        <v>0</v>
      </c>
      <c r="U47" s="19">
        <v>1</v>
      </c>
      <c r="V47" s="44" t="s">
        <v>101</v>
      </c>
      <c r="W47" s="57" t="s">
        <v>42</v>
      </c>
      <c r="X47" s="5"/>
      <c r="Y47" s="25">
        <v>108</v>
      </c>
      <c r="Z47" s="25">
        <v>3</v>
      </c>
      <c r="AA47" s="25">
        <v>0</v>
      </c>
      <c r="AB47" s="19">
        <v>1</v>
      </c>
      <c r="AC47" s="39"/>
      <c r="AE47" s="9">
        <v>288</v>
      </c>
      <c r="AF47" s="9">
        <v>4</v>
      </c>
      <c r="AH47" s="93" t="s">
        <v>60</v>
      </c>
      <c r="AI47" s="89">
        <v>92</v>
      </c>
      <c r="AJ47" s="102">
        <v>3</v>
      </c>
      <c r="AK47" s="101">
        <v>1</v>
      </c>
      <c r="AL47" s="95" t="b">
        <f t="shared" si="0"/>
        <v>1</v>
      </c>
      <c r="AM47" s="95" t="b">
        <f t="shared" si="1"/>
        <v>1</v>
      </c>
    </row>
    <row r="48" spans="1:39" x14ac:dyDescent="0.25">
      <c r="D48" s="8">
        <v>44</v>
      </c>
      <c r="E48" s="48">
        <v>399</v>
      </c>
      <c r="F48" s="10">
        <v>4</v>
      </c>
      <c r="G48" s="10">
        <v>1</v>
      </c>
      <c r="H48" s="5" t="str">
        <f t="shared" si="5"/>
        <v>det_399</v>
      </c>
      <c r="I48" s="5" t="str">
        <f t="shared" si="7"/>
        <v>W:\Performance Measurement\1. Freeway\1. raw data\2010_new\data files\det_399.txt</v>
      </c>
      <c r="J48" s="5" t="str">
        <f t="shared" si="8"/>
        <v>W:\Performance Measurement\1. Freeway\1. raw data\2010_new\data files\det_399.xlsx</v>
      </c>
      <c r="K48" s="5"/>
      <c r="L48" s="47">
        <v>44</v>
      </c>
      <c r="M48" s="39" t="s">
        <v>60</v>
      </c>
      <c r="N48" s="10">
        <v>141</v>
      </c>
      <c r="O48" s="10">
        <v>4</v>
      </c>
      <c r="P48" s="10">
        <v>1</v>
      </c>
      <c r="Q48" s="19">
        <v>1</v>
      </c>
      <c r="R48" s="67" t="s">
        <v>204</v>
      </c>
      <c r="S48" s="83">
        <v>1</v>
      </c>
      <c r="T48" s="83">
        <v>1</v>
      </c>
      <c r="U48" s="19" t="s">
        <v>43</v>
      </c>
      <c r="V48" s="51" t="s">
        <v>102</v>
      </c>
      <c r="W48" s="55">
        <v>1</v>
      </c>
      <c r="X48" s="5"/>
      <c r="Y48" s="25">
        <v>114</v>
      </c>
      <c r="Z48" s="25">
        <v>3</v>
      </c>
      <c r="AA48" s="25">
        <v>0</v>
      </c>
      <c r="AB48" s="19">
        <v>1</v>
      </c>
      <c r="AC48" s="39"/>
      <c r="AE48" s="9">
        <v>225</v>
      </c>
      <c r="AF48" s="9">
        <v>4</v>
      </c>
      <c r="AH48" s="93" t="s">
        <v>60</v>
      </c>
      <c r="AI48" s="89">
        <v>141</v>
      </c>
      <c r="AJ48" s="102">
        <v>4</v>
      </c>
      <c r="AK48" s="101">
        <v>1</v>
      </c>
      <c r="AL48" s="95" t="b">
        <f t="shared" si="0"/>
        <v>1</v>
      </c>
      <c r="AM48" s="95" t="b">
        <f t="shared" si="1"/>
        <v>1</v>
      </c>
    </row>
    <row r="49" spans="4:39" x14ac:dyDescent="0.25">
      <c r="D49" s="8">
        <v>45</v>
      </c>
      <c r="E49" s="48">
        <v>401</v>
      </c>
      <c r="F49" s="10">
        <v>4</v>
      </c>
      <c r="G49" s="10">
        <v>1</v>
      </c>
      <c r="H49" s="5" t="str">
        <f t="shared" si="5"/>
        <v>det_401</v>
      </c>
      <c r="I49" s="5" t="str">
        <f t="shared" si="7"/>
        <v>W:\Performance Measurement\1. Freeway\1. raw data\2010_new\data files\det_401.txt</v>
      </c>
      <c r="J49" s="5" t="str">
        <f t="shared" si="8"/>
        <v>W:\Performance Measurement\1. Freeway\1. raw data\2010_new\data files\det_401.xlsx</v>
      </c>
      <c r="K49" s="5"/>
      <c r="L49" s="47">
        <v>45</v>
      </c>
      <c r="M49" s="39" t="s">
        <v>61</v>
      </c>
      <c r="N49" s="10">
        <v>396</v>
      </c>
      <c r="O49" s="10">
        <v>3</v>
      </c>
      <c r="P49" s="10">
        <v>1</v>
      </c>
      <c r="Q49" s="19">
        <v>1</v>
      </c>
      <c r="R49" s="67" t="s">
        <v>86</v>
      </c>
      <c r="S49" s="83">
        <v>1</v>
      </c>
      <c r="T49" s="83">
        <v>1</v>
      </c>
      <c r="U49" s="19" t="s">
        <v>44</v>
      </c>
      <c r="V49" s="53" t="s">
        <v>86</v>
      </c>
      <c r="W49" s="75">
        <v>1</v>
      </c>
      <c r="X49" s="5"/>
      <c r="Y49" s="25">
        <v>118</v>
      </c>
      <c r="Z49" s="25">
        <v>3</v>
      </c>
      <c r="AA49" s="25">
        <v>0</v>
      </c>
      <c r="AB49" s="19">
        <v>1</v>
      </c>
      <c r="AC49" s="39"/>
      <c r="AE49" s="9">
        <v>223</v>
      </c>
      <c r="AF49" s="9">
        <v>5</v>
      </c>
      <c r="AH49" s="93" t="s">
        <v>61</v>
      </c>
      <c r="AI49" s="89">
        <v>396</v>
      </c>
      <c r="AJ49" s="102">
        <v>3</v>
      </c>
      <c r="AK49" s="101">
        <v>1</v>
      </c>
      <c r="AL49" s="95" t="b">
        <f t="shared" si="0"/>
        <v>1</v>
      </c>
      <c r="AM49" s="95" t="b">
        <f t="shared" si="1"/>
        <v>1</v>
      </c>
    </row>
    <row r="50" spans="4:39" x14ac:dyDescent="0.25">
      <c r="D50" s="8">
        <v>46</v>
      </c>
      <c r="E50" s="48">
        <v>403</v>
      </c>
      <c r="F50" s="10">
        <v>3</v>
      </c>
      <c r="G50" s="10">
        <v>1</v>
      </c>
      <c r="H50" s="5" t="str">
        <f t="shared" si="5"/>
        <v>det_403</v>
      </c>
      <c r="I50" s="5" t="str">
        <f t="shared" si="7"/>
        <v>W:\Performance Measurement\1. Freeway\1. raw data\2010_new\data files\det_403.txt</v>
      </c>
      <c r="J50" s="5" t="str">
        <f t="shared" si="8"/>
        <v>W:\Performance Measurement\1. Freeway\1. raw data\2010_new\data files\det_403.xlsx</v>
      </c>
      <c r="K50" s="5"/>
      <c r="L50" s="47">
        <v>46</v>
      </c>
      <c r="M50" s="39" t="s">
        <v>61</v>
      </c>
      <c r="N50" s="10">
        <v>397</v>
      </c>
      <c r="O50" s="10">
        <v>4</v>
      </c>
      <c r="P50" s="10">
        <v>1</v>
      </c>
      <c r="Q50" s="34">
        <v>1</v>
      </c>
      <c r="R50" s="67" t="s">
        <v>119</v>
      </c>
      <c r="S50" s="83">
        <v>1</v>
      </c>
      <c r="T50" s="83">
        <v>1</v>
      </c>
      <c r="U50" s="19" t="s">
        <v>42</v>
      </c>
      <c r="V50" s="53" t="s">
        <v>103</v>
      </c>
      <c r="W50" s="57">
        <v>1</v>
      </c>
      <c r="X50" s="5"/>
      <c r="Y50" s="25">
        <v>121</v>
      </c>
      <c r="Z50" s="25">
        <v>3</v>
      </c>
      <c r="AA50" s="25">
        <v>0</v>
      </c>
      <c r="AB50" s="19">
        <v>1</v>
      </c>
      <c r="AC50" s="39"/>
      <c r="AE50" s="9">
        <v>220</v>
      </c>
      <c r="AF50" s="9">
        <v>4</v>
      </c>
      <c r="AH50" s="93" t="s">
        <v>61</v>
      </c>
      <c r="AI50" s="89">
        <v>397</v>
      </c>
      <c r="AJ50" s="102">
        <v>4</v>
      </c>
      <c r="AK50" s="101">
        <v>1</v>
      </c>
      <c r="AL50" s="95" t="b">
        <f t="shared" si="0"/>
        <v>1</v>
      </c>
      <c r="AM50" s="95" t="b">
        <f t="shared" si="1"/>
        <v>1</v>
      </c>
    </row>
    <row r="51" spans="4:39" x14ac:dyDescent="0.25">
      <c r="D51" s="8">
        <v>47</v>
      </c>
      <c r="E51" s="48">
        <v>406</v>
      </c>
      <c r="F51" s="10">
        <v>3</v>
      </c>
      <c r="G51" s="10">
        <v>1</v>
      </c>
      <c r="H51" s="5" t="str">
        <f t="shared" si="5"/>
        <v>det_406</v>
      </c>
      <c r="I51" s="5" t="str">
        <f t="shared" si="7"/>
        <v>W:\Performance Measurement\1. Freeway\1. raw data\2010_new\data files\det_406.txt</v>
      </c>
      <c r="J51" s="5" t="str">
        <f t="shared" si="8"/>
        <v>W:\Performance Measurement\1. Freeway\1. raw data\2010_new\data files\det_406.xlsx</v>
      </c>
      <c r="K51" s="5"/>
      <c r="L51" s="47">
        <v>47</v>
      </c>
      <c r="M51" s="39" t="s">
        <v>61</v>
      </c>
      <c r="N51" s="10">
        <v>399</v>
      </c>
      <c r="O51" s="10">
        <v>4</v>
      </c>
      <c r="P51" s="10">
        <v>1</v>
      </c>
      <c r="Q51" s="19">
        <v>1</v>
      </c>
      <c r="R51" s="67" t="s">
        <v>119</v>
      </c>
      <c r="S51" s="83">
        <v>1</v>
      </c>
      <c r="T51" s="83">
        <v>1</v>
      </c>
      <c r="U51" s="19">
        <v>1</v>
      </c>
      <c r="V51" s="53" t="s">
        <v>103</v>
      </c>
      <c r="W51" s="57">
        <v>1</v>
      </c>
      <c r="X51" s="5"/>
      <c r="Y51" s="25">
        <v>122</v>
      </c>
      <c r="Z51" s="25">
        <v>3</v>
      </c>
      <c r="AA51" s="25">
        <v>0</v>
      </c>
      <c r="AB51" s="19">
        <v>13</v>
      </c>
      <c r="AC51" s="39"/>
      <c r="AE51" s="9">
        <v>217</v>
      </c>
      <c r="AF51" s="9">
        <v>3</v>
      </c>
      <c r="AH51" s="93" t="s">
        <v>61</v>
      </c>
      <c r="AI51" s="89">
        <v>399</v>
      </c>
      <c r="AJ51" s="102">
        <v>4</v>
      </c>
      <c r="AK51" s="101">
        <v>1</v>
      </c>
      <c r="AL51" s="95" t="b">
        <f t="shared" si="0"/>
        <v>1</v>
      </c>
      <c r="AM51" s="95" t="b">
        <f t="shared" si="1"/>
        <v>1</v>
      </c>
    </row>
    <row r="52" spans="4:39" x14ac:dyDescent="0.25">
      <c r="D52" s="8">
        <v>48</v>
      </c>
      <c r="E52" s="48">
        <v>409</v>
      </c>
      <c r="F52" s="10">
        <v>5</v>
      </c>
      <c r="G52" s="10">
        <v>1</v>
      </c>
      <c r="H52" s="5" t="str">
        <f t="shared" si="5"/>
        <v>det_409</v>
      </c>
      <c r="I52" s="5" t="str">
        <f t="shared" si="7"/>
        <v>W:\Performance Measurement\1. Freeway\1. raw data\2010_new\data files\det_409.txt</v>
      </c>
      <c r="J52" s="5" t="str">
        <f t="shared" si="8"/>
        <v>W:\Performance Measurement\1. Freeway\1. raw data\2010_new\data files\det_409.xlsx</v>
      </c>
      <c r="K52" s="5"/>
      <c r="L52" s="47">
        <v>48</v>
      </c>
      <c r="M52" s="39" t="s">
        <v>61</v>
      </c>
      <c r="N52" s="10">
        <v>401</v>
      </c>
      <c r="O52" s="10">
        <v>4</v>
      </c>
      <c r="P52" s="10">
        <v>1</v>
      </c>
      <c r="Q52" s="19">
        <v>1</v>
      </c>
      <c r="R52" s="67" t="s">
        <v>86</v>
      </c>
      <c r="S52" s="83">
        <v>1</v>
      </c>
      <c r="T52" s="83">
        <v>1</v>
      </c>
      <c r="U52" s="19">
        <v>1</v>
      </c>
      <c r="V52" s="53" t="s">
        <v>86</v>
      </c>
      <c r="W52" s="57">
        <v>1</v>
      </c>
      <c r="X52" s="5"/>
      <c r="Y52" s="25">
        <v>123</v>
      </c>
      <c r="Z52" s="25">
        <v>3</v>
      </c>
      <c r="AA52" s="25">
        <v>0</v>
      </c>
      <c r="AB52" s="19">
        <v>1</v>
      </c>
      <c r="AC52" s="39"/>
      <c r="AE52" s="9">
        <v>313</v>
      </c>
      <c r="AF52" s="9">
        <v>4</v>
      </c>
      <c r="AH52" s="93" t="s">
        <v>61</v>
      </c>
      <c r="AI52" s="89">
        <v>401</v>
      </c>
      <c r="AJ52" s="102">
        <v>4</v>
      </c>
      <c r="AK52" s="101">
        <v>1</v>
      </c>
      <c r="AL52" s="95" t="b">
        <f t="shared" si="0"/>
        <v>1</v>
      </c>
      <c r="AM52" s="95" t="b">
        <f t="shared" si="1"/>
        <v>1</v>
      </c>
    </row>
    <row r="53" spans="4:39" x14ac:dyDescent="0.25">
      <c r="D53" s="8">
        <v>49</v>
      </c>
      <c r="E53" s="48">
        <v>411</v>
      </c>
      <c r="F53" s="10">
        <v>3</v>
      </c>
      <c r="G53" s="10">
        <v>1</v>
      </c>
      <c r="H53" s="5" t="str">
        <f t="shared" si="5"/>
        <v>det_411</v>
      </c>
      <c r="I53" s="5" t="str">
        <f t="shared" si="7"/>
        <v>W:\Performance Measurement\1. Freeway\1. raw data\2010_new\data files\det_411.txt</v>
      </c>
      <c r="J53" s="5" t="str">
        <f t="shared" si="8"/>
        <v>W:\Performance Measurement\1. Freeway\1. raw data\2010_new\data files\det_411.xlsx</v>
      </c>
      <c r="K53" s="5"/>
      <c r="L53" s="47">
        <v>49</v>
      </c>
      <c r="M53" s="39" t="s">
        <v>61</v>
      </c>
      <c r="N53" s="10">
        <v>403</v>
      </c>
      <c r="O53" s="10">
        <v>3</v>
      </c>
      <c r="P53" s="10">
        <v>1</v>
      </c>
      <c r="Q53" s="19">
        <v>1</v>
      </c>
      <c r="R53" s="67" t="s">
        <v>128</v>
      </c>
      <c r="S53" s="83">
        <v>1</v>
      </c>
      <c r="T53" s="83">
        <v>1</v>
      </c>
      <c r="U53" s="19">
        <v>1</v>
      </c>
      <c r="V53" s="53" t="s">
        <v>86</v>
      </c>
      <c r="W53" s="57">
        <v>1</v>
      </c>
      <c r="X53" s="5"/>
      <c r="Y53" s="25">
        <v>128</v>
      </c>
      <c r="Z53" s="25">
        <v>4</v>
      </c>
      <c r="AA53" s="25">
        <v>1</v>
      </c>
      <c r="AB53" s="19">
        <v>1</v>
      </c>
      <c r="AC53" s="39"/>
      <c r="AE53" s="9">
        <v>316</v>
      </c>
      <c r="AF53" s="9">
        <v>5</v>
      </c>
      <c r="AH53" s="93" t="s">
        <v>61</v>
      </c>
      <c r="AI53" s="89">
        <v>403</v>
      </c>
      <c r="AJ53" s="102">
        <v>3</v>
      </c>
      <c r="AK53" s="101">
        <v>1</v>
      </c>
      <c r="AL53" s="95" t="b">
        <f t="shared" si="0"/>
        <v>1</v>
      </c>
      <c r="AM53" s="95" t="b">
        <f t="shared" si="1"/>
        <v>1</v>
      </c>
    </row>
    <row r="54" spans="4:39" x14ac:dyDescent="0.25">
      <c r="D54" s="8">
        <v>50</v>
      </c>
      <c r="E54" s="48">
        <v>414</v>
      </c>
      <c r="F54" s="10">
        <v>3</v>
      </c>
      <c r="G54" s="10">
        <v>1</v>
      </c>
      <c r="H54" s="5" t="str">
        <f t="shared" si="5"/>
        <v>det_414</v>
      </c>
      <c r="I54" s="5" t="str">
        <f t="shared" si="7"/>
        <v>W:\Performance Measurement\1. Freeway\1. raw data\2010_new\data files\det_414.txt</v>
      </c>
      <c r="J54" s="5" t="str">
        <f t="shared" si="8"/>
        <v>W:\Performance Measurement\1. Freeway\1. raw data\2010_new\data files\det_414.xlsx</v>
      </c>
      <c r="K54" s="5"/>
      <c r="L54" s="47">
        <v>50</v>
      </c>
      <c r="M54" s="39" t="s">
        <v>61</v>
      </c>
      <c r="N54" s="10">
        <v>406</v>
      </c>
      <c r="O54" s="10">
        <v>3</v>
      </c>
      <c r="P54" s="10">
        <v>1</v>
      </c>
      <c r="Q54" s="19">
        <v>1</v>
      </c>
      <c r="R54" s="67" t="s">
        <v>117</v>
      </c>
      <c r="S54" s="83">
        <v>1</v>
      </c>
      <c r="T54" s="83">
        <v>1</v>
      </c>
      <c r="U54" s="19">
        <v>1</v>
      </c>
      <c r="V54" s="53" t="s">
        <v>86</v>
      </c>
      <c r="W54" s="57">
        <v>1</v>
      </c>
      <c r="X54" s="5"/>
      <c r="Y54" s="25">
        <v>130</v>
      </c>
      <c r="Z54" s="25">
        <v>2</v>
      </c>
      <c r="AA54" s="25">
        <v>1</v>
      </c>
      <c r="AB54" s="19">
        <v>1</v>
      </c>
      <c r="AC54" s="39"/>
      <c r="AE54" s="9">
        <v>318</v>
      </c>
      <c r="AF54" s="9">
        <v>5</v>
      </c>
      <c r="AH54" s="93" t="s">
        <v>61</v>
      </c>
      <c r="AI54" s="89">
        <v>406</v>
      </c>
      <c r="AJ54" s="102">
        <v>3</v>
      </c>
      <c r="AK54" s="101">
        <v>1</v>
      </c>
      <c r="AL54" s="95" t="b">
        <f t="shared" si="0"/>
        <v>1</v>
      </c>
      <c r="AM54" s="95" t="b">
        <f t="shared" si="1"/>
        <v>1</v>
      </c>
    </row>
    <row r="55" spans="4:39" x14ac:dyDescent="0.25">
      <c r="D55" s="8">
        <v>51</v>
      </c>
      <c r="E55" s="48">
        <v>417</v>
      </c>
      <c r="F55" s="10">
        <v>3</v>
      </c>
      <c r="G55" s="10">
        <v>1</v>
      </c>
      <c r="H55" s="5" t="str">
        <f t="shared" si="5"/>
        <v>det_417</v>
      </c>
      <c r="I55" s="5" t="str">
        <f t="shared" si="7"/>
        <v>W:\Performance Measurement\1. Freeway\1. raw data\2010_new\data files\det_417.txt</v>
      </c>
      <c r="J55" s="5" t="str">
        <f t="shared" si="8"/>
        <v>W:\Performance Measurement\1. Freeway\1. raw data\2010_new\data files\det_417.xlsx</v>
      </c>
      <c r="K55" s="5"/>
      <c r="L55" s="47">
        <v>51</v>
      </c>
      <c r="M55" s="39" t="s">
        <v>61</v>
      </c>
      <c r="N55" s="10">
        <v>409</v>
      </c>
      <c r="O55" s="10">
        <v>5</v>
      </c>
      <c r="P55" s="10">
        <v>1</v>
      </c>
      <c r="Q55" s="19">
        <v>1</v>
      </c>
      <c r="R55" s="67" t="s">
        <v>178</v>
      </c>
      <c r="S55" s="83">
        <v>1</v>
      </c>
      <c r="T55" s="83">
        <v>1</v>
      </c>
      <c r="U55" s="19">
        <v>1</v>
      </c>
      <c r="V55" s="53" t="s">
        <v>86</v>
      </c>
      <c r="W55" s="57">
        <v>1</v>
      </c>
      <c r="X55" s="5"/>
      <c r="Y55" s="25">
        <v>133</v>
      </c>
      <c r="Z55" s="25">
        <v>5</v>
      </c>
      <c r="AA55" s="25">
        <v>1</v>
      </c>
      <c r="AB55" s="19">
        <v>1</v>
      </c>
      <c r="AC55" s="39"/>
      <c r="AE55" s="9">
        <v>321</v>
      </c>
      <c r="AF55" s="9">
        <v>6</v>
      </c>
      <c r="AH55" s="93" t="s">
        <v>61</v>
      </c>
      <c r="AI55" s="89">
        <v>409</v>
      </c>
      <c r="AJ55" s="102">
        <v>5</v>
      </c>
      <c r="AK55" s="101">
        <v>1</v>
      </c>
      <c r="AL55" s="95" t="b">
        <f t="shared" si="0"/>
        <v>1</v>
      </c>
      <c r="AM55" s="95" t="b">
        <f t="shared" si="1"/>
        <v>1</v>
      </c>
    </row>
    <row r="56" spans="4:39" x14ac:dyDescent="0.25">
      <c r="D56" s="8">
        <v>52</v>
      </c>
      <c r="E56" s="48">
        <v>420</v>
      </c>
      <c r="F56" s="10">
        <v>4</v>
      </c>
      <c r="G56" s="10">
        <v>1</v>
      </c>
      <c r="H56" s="5" t="str">
        <f t="shared" si="5"/>
        <v>det_420</v>
      </c>
      <c r="I56" s="5" t="str">
        <f t="shared" si="7"/>
        <v>W:\Performance Measurement\1. Freeway\1. raw data\2010_new\data files\det_420.txt</v>
      </c>
      <c r="J56" s="5" t="str">
        <f t="shared" si="8"/>
        <v>W:\Performance Measurement\1. Freeway\1. raw data\2010_new\data files\det_420.xlsx</v>
      </c>
      <c r="K56" s="5"/>
      <c r="L56" s="47">
        <v>52</v>
      </c>
      <c r="M56" s="39" t="s">
        <v>61</v>
      </c>
      <c r="N56" s="10">
        <v>410</v>
      </c>
      <c r="O56" s="10">
        <v>4</v>
      </c>
      <c r="P56" s="10">
        <v>1</v>
      </c>
      <c r="Q56" s="34">
        <v>1</v>
      </c>
      <c r="R56" s="67" t="s">
        <v>205</v>
      </c>
      <c r="S56" s="83">
        <v>0</v>
      </c>
      <c r="T56" s="83">
        <v>0</v>
      </c>
      <c r="U56" s="34" t="s">
        <v>42</v>
      </c>
      <c r="V56" s="74" t="s">
        <v>104</v>
      </c>
      <c r="W56" s="55">
        <v>0</v>
      </c>
      <c r="X56" s="5"/>
      <c r="Y56" s="25">
        <v>137</v>
      </c>
      <c r="Z56" s="25">
        <v>3</v>
      </c>
      <c r="AA56" s="25">
        <v>1</v>
      </c>
      <c r="AB56" s="19">
        <v>1</v>
      </c>
      <c r="AC56" s="39"/>
      <c r="AE56" s="9">
        <v>300</v>
      </c>
      <c r="AF56" s="9">
        <v>4</v>
      </c>
      <c r="AH56" s="93" t="s">
        <v>61</v>
      </c>
      <c r="AI56" s="89">
        <v>410</v>
      </c>
      <c r="AJ56" s="102">
        <v>4</v>
      </c>
      <c r="AK56" s="101">
        <v>1</v>
      </c>
      <c r="AL56" s="95" t="b">
        <f t="shared" si="0"/>
        <v>1</v>
      </c>
      <c r="AM56" s="95" t="b">
        <f t="shared" si="1"/>
        <v>1</v>
      </c>
    </row>
    <row r="57" spans="4:39" x14ac:dyDescent="0.25">
      <c r="D57" s="8">
        <v>53</v>
      </c>
      <c r="E57" s="48">
        <v>423</v>
      </c>
      <c r="F57" s="10">
        <v>3</v>
      </c>
      <c r="G57" s="10">
        <v>1</v>
      </c>
      <c r="H57" s="5" t="str">
        <f t="shared" si="5"/>
        <v>det_423</v>
      </c>
      <c r="I57" s="5" t="str">
        <f t="shared" si="7"/>
        <v>W:\Performance Measurement\1. Freeway\1. raw data\2010_new\data files\det_423.txt</v>
      </c>
      <c r="J57" s="5" t="str">
        <f t="shared" si="8"/>
        <v>W:\Performance Measurement\1. Freeway\1. raw data\2010_new\data files\det_423.xlsx</v>
      </c>
      <c r="K57" s="5"/>
      <c r="L57" s="47">
        <v>53</v>
      </c>
      <c r="M57" s="39" t="s">
        <v>61</v>
      </c>
      <c r="N57" s="10">
        <v>411</v>
      </c>
      <c r="O57" s="10">
        <v>3</v>
      </c>
      <c r="P57" s="10">
        <v>1</v>
      </c>
      <c r="Q57" s="34">
        <v>1</v>
      </c>
      <c r="R57" s="67" t="s">
        <v>206</v>
      </c>
      <c r="S57" s="83">
        <v>1</v>
      </c>
      <c r="T57" s="83">
        <v>1</v>
      </c>
      <c r="U57" s="19" t="s">
        <v>44</v>
      </c>
      <c r="V57" s="79" t="s">
        <v>105</v>
      </c>
      <c r="W57" s="55">
        <v>1</v>
      </c>
      <c r="X57" s="5"/>
      <c r="Y57" s="25">
        <v>139</v>
      </c>
      <c r="Z57" s="25">
        <v>5</v>
      </c>
      <c r="AA57" s="25">
        <v>1</v>
      </c>
      <c r="AB57" s="19">
        <v>1</v>
      </c>
      <c r="AC57" s="39"/>
      <c r="AE57" s="9">
        <v>299</v>
      </c>
      <c r="AF57" s="9">
        <v>5</v>
      </c>
      <c r="AH57" s="93" t="s">
        <v>61</v>
      </c>
      <c r="AI57" s="89">
        <v>411</v>
      </c>
      <c r="AJ57" s="102">
        <v>3</v>
      </c>
      <c r="AK57" s="101">
        <v>1</v>
      </c>
      <c r="AL57" s="95" t="b">
        <f t="shared" si="0"/>
        <v>1</v>
      </c>
      <c r="AM57" s="95" t="b">
        <f t="shared" si="1"/>
        <v>1</v>
      </c>
    </row>
    <row r="58" spans="4:39" x14ac:dyDescent="0.25">
      <c r="D58" s="8">
        <v>54</v>
      </c>
      <c r="E58" s="48">
        <v>153</v>
      </c>
      <c r="F58" s="10">
        <v>3</v>
      </c>
      <c r="G58" s="10">
        <v>0</v>
      </c>
      <c r="H58" s="5" t="str">
        <f t="shared" si="5"/>
        <v>det_153</v>
      </c>
      <c r="I58" s="5" t="str">
        <f t="shared" si="7"/>
        <v>W:\Performance Measurement\1. Freeway\1. raw data\2010_new\data files\det_153.txt</v>
      </c>
      <c r="J58" s="5" t="str">
        <f t="shared" si="8"/>
        <v>W:\Performance Measurement\1. Freeway\1. raw data\2010_new\data files\det_153.xlsx</v>
      </c>
      <c r="K58" s="5"/>
      <c r="L58" s="47">
        <v>54</v>
      </c>
      <c r="M58" s="39" t="s">
        <v>61</v>
      </c>
      <c r="N58" s="10">
        <v>414</v>
      </c>
      <c r="O58" s="10">
        <v>3</v>
      </c>
      <c r="P58" s="10">
        <v>1</v>
      </c>
      <c r="Q58" s="34">
        <v>1</v>
      </c>
      <c r="R58" s="67" t="s">
        <v>119</v>
      </c>
      <c r="S58" s="83">
        <v>1</v>
      </c>
      <c r="T58" s="83">
        <v>1</v>
      </c>
      <c r="U58" s="19" t="s">
        <v>44</v>
      </c>
      <c r="V58" s="74" t="s">
        <v>106</v>
      </c>
      <c r="W58" s="55">
        <v>1</v>
      </c>
      <c r="X58" s="5"/>
      <c r="Y58" s="25">
        <v>141</v>
      </c>
      <c r="Z58" s="25">
        <v>4</v>
      </c>
      <c r="AA58" s="25">
        <v>1</v>
      </c>
      <c r="AB58" s="19" t="s">
        <v>43</v>
      </c>
      <c r="AC58" s="39"/>
      <c r="AE58" s="9">
        <v>297</v>
      </c>
      <c r="AF58" s="9">
        <v>6</v>
      </c>
      <c r="AH58" s="93" t="s">
        <v>61</v>
      </c>
      <c r="AI58" s="89">
        <v>414</v>
      </c>
      <c r="AJ58" s="102">
        <v>3</v>
      </c>
      <c r="AK58" s="101">
        <v>1</v>
      </c>
      <c r="AL58" s="95" t="b">
        <f t="shared" si="0"/>
        <v>1</v>
      </c>
      <c r="AM58" s="95" t="b">
        <f t="shared" si="1"/>
        <v>1</v>
      </c>
    </row>
    <row r="59" spans="4:39" x14ac:dyDescent="0.25">
      <c r="D59" s="8">
        <v>55</v>
      </c>
      <c r="E59" s="48">
        <v>98</v>
      </c>
      <c r="F59" s="10">
        <v>3</v>
      </c>
      <c r="G59" s="10">
        <v>0</v>
      </c>
      <c r="H59" s="5" t="str">
        <f t="shared" si="5"/>
        <v>det_98</v>
      </c>
      <c r="I59" s="5" t="str">
        <f t="shared" si="7"/>
        <v>W:\Performance Measurement\1. Freeway\1. raw data\2010_new\data files\det_98.txt</v>
      </c>
      <c r="J59" s="5" t="str">
        <f t="shared" si="8"/>
        <v>W:\Performance Measurement\1. Freeway\1. raw data\2010_new\data files\det_98.xlsx</v>
      </c>
      <c r="K59" s="5"/>
      <c r="L59" s="47">
        <v>55</v>
      </c>
      <c r="M59" s="39" t="s">
        <v>61</v>
      </c>
      <c r="N59" s="10">
        <v>417</v>
      </c>
      <c r="O59" s="10">
        <v>3</v>
      </c>
      <c r="P59" s="10">
        <v>1</v>
      </c>
      <c r="Q59" s="34">
        <v>1</v>
      </c>
      <c r="R59" s="67" t="s">
        <v>207</v>
      </c>
      <c r="S59" s="83">
        <v>1</v>
      </c>
      <c r="T59" s="83">
        <v>1</v>
      </c>
      <c r="U59" s="19" t="s">
        <v>44</v>
      </c>
      <c r="V59" s="79" t="s">
        <v>107</v>
      </c>
      <c r="W59" s="55">
        <v>1</v>
      </c>
      <c r="X59" s="5"/>
      <c r="Y59" s="25">
        <v>144</v>
      </c>
      <c r="Z59" s="25">
        <v>3</v>
      </c>
      <c r="AA59" s="25">
        <v>1</v>
      </c>
      <c r="AB59" s="19" t="s">
        <v>44</v>
      </c>
      <c r="AC59" s="39"/>
      <c r="AE59" s="9">
        <v>294</v>
      </c>
      <c r="AF59" s="9">
        <v>5</v>
      </c>
      <c r="AH59" s="93" t="s">
        <v>61</v>
      </c>
      <c r="AI59" s="89">
        <v>417</v>
      </c>
      <c r="AJ59" s="102">
        <v>3</v>
      </c>
      <c r="AK59" s="101">
        <v>1</v>
      </c>
      <c r="AL59" s="95" t="b">
        <f t="shared" si="0"/>
        <v>1</v>
      </c>
      <c r="AM59" s="95" t="b">
        <f t="shared" si="1"/>
        <v>1</v>
      </c>
    </row>
    <row r="60" spans="4:39" x14ac:dyDescent="0.25">
      <c r="D60" s="8">
        <v>56</v>
      </c>
      <c r="E60" s="48">
        <v>104</v>
      </c>
      <c r="F60" s="10">
        <v>3</v>
      </c>
      <c r="G60" s="10">
        <v>0</v>
      </c>
      <c r="H60" s="5" t="str">
        <f t="shared" si="5"/>
        <v>det_104</v>
      </c>
      <c r="I60" s="5" t="str">
        <f t="shared" si="3"/>
        <v>W:\Performance Measurement\1. Freeway\1. raw data\2010_new\data files\det_104.txt</v>
      </c>
      <c r="J60" s="5" t="str">
        <f t="shared" si="6"/>
        <v>W:\Performance Measurement\1. Freeway\1. raw data\2010_new\data files\det_104.xlsx</v>
      </c>
      <c r="K60" s="5"/>
      <c r="L60" s="47">
        <v>56</v>
      </c>
      <c r="M60" s="39" t="s">
        <v>61</v>
      </c>
      <c r="N60" s="10">
        <v>420</v>
      </c>
      <c r="O60" s="10">
        <v>4</v>
      </c>
      <c r="P60" s="10">
        <v>1</v>
      </c>
      <c r="Q60" s="19">
        <v>1</v>
      </c>
      <c r="R60" s="67" t="s">
        <v>86</v>
      </c>
      <c r="S60" s="83">
        <v>1</v>
      </c>
      <c r="T60" s="83">
        <v>1</v>
      </c>
      <c r="U60" s="19">
        <v>1</v>
      </c>
      <c r="V60" s="44" t="s">
        <v>108</v>
      </c>
      <c r="W60" s="57">
        <v>1</v>
      </c>
      <c r="X60" s="5"/>
      <c r="Y60" s="25">
        <v>149</v>
      </c>
      <c r="Z60" s="25">
        <v>3</v>
      </c>
      <c r="AA60" s="25">
        <v>1</v>
      </c>
      <c r="AB60" s="19">
        <v>1</v>
      </c>
      <c r="AC60" s="39"/>
      <c r="AE60" s="9">
        <v>292</v>
      </c>
      <c r="AF60" s="9">
        <v>5</v>
      </c>
      <c r="AH60" s="93" t="s">
        <v>61</v>
      </c>
      <c r="AI60" s="89">
        <v>420</v>
      </c>
      <c r="AJ60" s="102">
        <v>4</v>
      </c>
      <c r="AK60" s="101">
        <v>1</v>
      </c>
      <c r="AL60" s="95" t="b">
        <f t="shared" si="0"/>
        <v>1</v>
      </c>
      <c r="AM60" s="95" t="b">
        <f t="shared" si="1"/>
        <v>1</v>
      </c>
    </row>
    <row r="61" spans="4:39" x14ac:dyDescent="0.25">
      <c r="D61" s="8">
        <v>57</v>
      </c>
      <c r="E61" s="48">
        <v>154</v>
      </c>
      <c r="F61" s="10">
        <v>3</v>
      </c>
      <c r="G61" s="10">
        <v>0</v>
      </c>
      <c r="H61" s="5" t="str">
        <f t="shared" si="5"/>
        <v>det_154</v>
      </c>
      <c r="I61" s="5" t="str">
        <f t="shared" si="3"/>
        <v>W:\Performance Measurement\1. Freeway\1. raw data\2010_new\data files\det_154.txt</v>
      </c>
      <c r="J61" s="5" t="str">
        <f t="shared" si="6"/>
        <v>W:\Performance Measurement\1. Freeway\1. raw data\2010_new\data files\det_154.xlsx</v>
      </c>
      <c r="K61" s="5"/>
      <c r="L61" s="47">
        <v>57</v>
      </c>
      <c r="M61" s="39" t="s">
        <v>61</v>
      </c>
      <c r="N61" s="10">
        <v>423</v>
      </c>
      <c r="O61" s="10">
        <v>3</v>
      </c>
      <c r="P61" s="10">
        <v>1</v>
      </c>
      <c r="Q61" s="19">
        <v>1</v>
      </c>
      <c r="R61" s="67" t="s">
        <v>86</v>
      </c>
      <c r="S61" s="83">
        <v>1</v>
      </c>
      <c r="T61" s="83">
        <v>1</v>
      </c>
      <c r="U61" s="19" t="s">
        <v>44</v>
      </c>
      <c r="V61" s="79" t="s">
        <v>109</v>
      </c>
      <c r="W61" s="75">
        <v>1</v>
      </c>
      <c r="X61" s="5"/>
      <c r="Y61" s="25">
        <v>153</v>
      </c>
      <c r="Z61" s="25">
        <v>3</v>
      </c>
      <c r="AA61" s="25">
        <v>0</v>
      </c>
      <c r="AB61" s="19">
        <v>1</v>
      </c>
      <c r="AC61" s="39"/>
      <c r="AE61" s="9">
        <v>203</v>
      </c>
      <c r="AF61" s="9">
        <v>5</v>
      </c>
      <c r="AH61" s="93" t="s">
        <v>61</v>
      </c>
      <c r="AI61" s="89">
        <v>423</v>
      </c>
      <c r="AJ61" s="102">
        <v>3</v>
      </c>
      <c r="AK61" s="101">
        <v>1</v>
      </c>
      <c r="AL61" s="95" t="b">
        <f t="shared" si="0"/>
        <v>1</v>
      </c>
      <c r="AM61" s="95" t="b">
        <f t="shared" si="1"/>
        <v>1</v>
      </c>
    </row>
    <row r="62" spans="4:39" x14ac:dyDescent="0.25">
      <c r="D62" s="8">
        <v>58</v>
      </c>
      <c r="E62" s="48">
        <v>155</v>
      </c>
      <c r="F62" s="10">
        <v>3</v>
      </c>
      <c r="G62" s="10">
        <v>0</v>
      </c>
      <c r="H62" s="5" t="str">
        <f t="shared" si="5"/>
        <v>det_155</v>
      </c>
      <c r="I62" s="5" t="str">
        <f t="shared" si="3"/>
        <v>W:\Performance Measurement\1. Freeway\1. raw data\2010_new\data files\det_155.txt</v>
      </c>
      <c r="J62" s="5" t="str">
        <f t="shared" si="6"/>
        <v>W:\Performance Measurement\1. Freeway\1. raw data\2010_new\data files\det_155.xlsx</v>
      </c>
      <c r="K62" s="5"/>
      <c r="L62" s="47">
        <v>58</v>
      </c>
      <c r="M62" s="39" t="s">
        <v>62</v>
      </c>
      <c r="N62" s="10">
        <v>39</v>
      </c>
      <c r="O62" s="10">
        <v>3</v>
      </c>
      <c r="P62" s="10">
        <v>0</v>
      </c>
      <c r="Q62" s="19">
        <v>1</v>
      </c>
      <c r="R62" s="67" t="s">
        <v>86</v>
      </c>
      <c r="S62" s="83">
        <v>1</v>
      </c>
      <c r="T62" s="83" t="s">
        <v>226</v>
      </c>
      <c r="U62" s="19">
        <v>1</v>
      </c>
      <c r="V62" s="44"/>
      <c r="W62" s="57">
        <v>0</v>
      </c>
      <c r="X62" s="5"/>
      <c r="Y62" s="25">
        <v>154</v>
      </c>
      <c r="Z62" s="25">
        <v>3</v>
      </c>
      <c r="AA62" s="25">
        <v>0</v>
      </c>
      <c r="AB62" s="19">
        <v>1</v>
      </c>
      <c r="AC62" s="39"/>
      <c r="AE62" s="9">
        <v>206</v>
      </c>
      <c r="AF62" s="9">
        <v>4</v>
      </c>
      <c r="AH62" s="93" t="s">
        <v>62</v>
      </c>
      <c r="AI62" s="89">
        <v>39</v>
      </c>
      <c r="AJ62" s="102">
        <v>3</v>
      </c>
      <c r="AK62" s="101">
        <v>0</v>
      </c>
      <c r="AL62" s="95" t="b">
        <f t="shared" si="0"/>
        <v>1</v>
      </c>
      <c r="AM62" s="95" t="b">
        <f t="shared" si="1"/>
        <v>1</v>
      </c>
    </row>
    <row r="63" spans="4:39" x14ac:dyDescent="0.25">
      <c r="D63" s="8">
        <v>59</v>
      </c>
      <c r="E63" s="48">
        <v>156</v>
      </c>
      <c r="F63" s="10">
        <v>3</v>
      </c>
      <c r="G63" s="10">
        <v>0</v>
      </c>
      <c r="H63" s="5" t="str">
        <f t="shared" si="5"/>
        <v>det_156</v>
      </c>
      <c r="I63" s="5" t="str">
        <f t="shared" si="3"/>
        <v>W:\Performance Measurement\1. Freeway\1. raw data\2010_new\data files\det_156.txt</v>
      </c>
      <c r="J63" s="5" t="str">
        <f t="shared" si="6"/>
        <v>W:\Performance Measurement\1. Freeway\1. raw data\2010_new\data files\det_156.xlsx</v>
      </c>
      <c r="K63" s="5"/>
      <c r="L63" s="47">
        <v>59</v>
      </c>
      <c r="M63" s="39" t="s">
        <v>62</v>
      </c>
      <c r="N63" s="10">
        <v>153</v>
      </c>
      <c r="O63" s="10">
        <v>3</v>
      </c>
      <c r="P63" s="10">
        <v>0</v>
      </c>
      <c r="Q63" s="19">
        <v>1</v>
      </c>
      <c r="R63" s="67" t="s">
        <v>86</v>
      </c>
      <c r="S63" s="83">
        <v>1</v>
      </c>
      <c r="T63" s="83" t="s">
        <v>226</v>
      </c>
      <c r="U63" s="19">
        <v>1</v>
      </c>
      <c r="V63" s="44"/>
      <c r="W63" s="57">
        <v>1</v>
      </c>
      <c r="X63" s="5"/>
      <c r="Y63" s="25">
        <v>155</v>
      </c>
      <c r="Z63" s="25">
        <v>3</v>
      </c>
      <c r="AA63" s="25">
        <v>0</v>
      </c>
      <c r="AB63" s="19">
        <v>1</v>
      </c>
      <c r="AC63" s="39"/>
      <c r="AE63" s="9">
        <v>209</v>
      </c>
      <c r="AF63" s="9">
        <v>4</v>
      </c>
      <c r="AH63" s="93" t="s">
        <v>62</v>
      </c>
      <c r="AI63" s="89">
        <v>153</v>
      </c>
      <c r="AJ63" s="102">
        <v>3</v>
      </c>
      <c r="AK63" s="101">
        <v>0</v>
      </c>
      <c r="AL63" s="95" t="b">
        <f t="shared" si="0"/>
        <v>1</v>
      </c>
      <c r="AM63" s="95" t="b">
        <f t="shared" si="1"/>
        <v>1</v>
      </c>
    </row>
    <row r="64" spans="4:39" x14ac:dyDescent="0.25">
      <c r="D64" s="8">
        <v>60</v>
      </c>
      <c r="E64" s="48">
        <v>121</v>
      </c>
      <c r="F64" s="10">
        <v>3</v>
      </c>
      <c r="G64" s="10">
        <v>0</v>
      </c>
      <c r="H64" s="5" t="str">
        <f t="shared" si="5"/>
        <v>det_121</v>
      </c>
      <c r="I64" s="5" t="str">
        <f t="shared" si="3"/>
        <v>W:\Performance Measurement\1. Freeway\1. raw data\2010_new\data files\det_121.txt</v>
      </c>
      <c r="J64" s="5" t="str">
        <f t="shared" si="6"/>
        <v>W:\Performance Measurement\1. Freeway\1. raw data\2010_new\data files\det_121.xlsx</v>
      </c>
      <c r="K64" s="5"/>
      <c r="L64" s="47">
        <v>60</v>
      </c>
      <c r="M64" s="39" t="s">
        <v>62</v>
      </c>
      <c r="N64" s="10">
        <v>98</v>
      </c>
      <c r="O64" s="10">
        <v>3</v>
      </c>
      <c r="P64" s="10">
        <v>0</v>
      </c>
      <c r="Q64" s="19">
        <v>1</v>
      </c>
      <c r="R64" s="67" t="s">
        <v>86</v>
      </c>
      <c r="S64" s="83">
        <v>1</v>
      </c>
      <c r="T64" s="83" t="s">
        <v>226</v>
      </c>
      <c r="U64" s="19">
        <v>1</v>
      </c>
      <c r="V64" s="44"/>
      <c r="W64" s="57">
        <v>1</v>
      </c>
      <c r="X64" s="5"/>
      <c r="Y64" s="25">
        <v>156</v>
      </c>
      <c r="Z64" s="25">
        <v>3</v>
      </c>
      <c r="AA64" s="25">
        <v>0</v>
      </c>
      <c r="AB64" s="19">
        <v>1</v>
      </c>
      <c r="AC64" s="39"/>
      <c r="AE64" s="9">
        <v>214</v>
      </c>
      <c r="AF64" s="9">
        <v>4</v>
      </c>
      <c r="AH64" s="93" t="s">
        <v>62</v>
      </c>
      <c r="AI64" s="89">
        <v>98</v>
      </c>
      <c r="AJ64" s="102">
        <v>3</v>
      </c>
      <c r="AK64" s="101">
        <v>0</v>
      </c>
      <c r="AL64" s="95" t="b">
        <f t="shared" si="0"/>
        <v>1</v>
      </c>
      <c r="AM64" s="95" t="b">
        <f t="shared" si="1"/>
        <v>1</v>
      </c>
    </row>
    <row r="65" spans="4:39" x14ac:dyDescent="0.25">
      <c r="D65" s="8">
        <v>61</v>
      </c>
      <c r="E65" s="48">
        <v>123</v>
      </c>
      <c r="F65" s="10">
        <v>3</v>
      </c>
      <c r="G65" s="10">
        <v>0</v>
      </c>
      <c r="H65" s="5" t="str">
        <f t="shared" si="5"/>
        <v>det_123</v>
      </c>
      <c r="I65" s="5" t="str">
        <f t="shared" si="3"/>
        <v>W:\Performance Measurement\1. Freeway\1. raw data\2010_new\data files\det_123.txt</v>
      </c>
      <c r="J65" s="5" t="str">
        <f t="shared" si="6"/>
        <v>W:\Performance Measurement\1. Freeway\1. raw data\2010_new\data files\det_123.xlsx</v>
      </c>
      <c r="K65" s="5"/>
      <c r="L65" s="47">
        <v>61</v>
      </c>
      <c r="M65" s="39" t="s">
        <v>62</v>
      </c>
      <c r="N65" s="10">
        <v>104</v>
      </c>
      <c r="O65" s="10">
        <v>3</v>
      </c>
      <c r="P65" s="10">
        <v>0</v>
      </c>
      <c r="Q65" s="19">
        <v>1</v>
      </c>
      <c r="R65" s="67" t="s">
        <v>86</v>
      </c>
      <c r="S65" s="83">
        <v>1</v>
      </c>
      <c r="T65" s="83" t="s">
        <v>226</v>
      </c>
      <c r="U65" s="19">
        <v>1</v>
      </c>
      <c r="V65" s="58" t="s">
        <v>110</v>
      </c>
      <c r="W65" s="57">
        <v>1</v>
      </c>
      <c r="X65" s="5"/>
      <c r="Y65" s="25">
        <v>161</v>
      </c>
      <c r="Z65" s="25">
        <v>2</v>
      </c>
      <c r="AA65" s="25">
        <v>0</v>
      </c>
      <c r="AB65" s="19">
        <v>1</v>
      </c>
      <c r="AC65" s="39"/>
      <c r="AE65" s="9">
        <v>198</v>
      </c>
      <c r="AF65" s="9">
        <v>4</v>
      </c>
      <c r="AH65" s="93" t="s">
        <v>62</v>
      </c>
      <c r="AI65" s="89">
        <v>104</v>
      </c>
      <c r="AJ65" s="102">
        <v>3</v>
      </c>
      <c r="AK65" s="101">
        <v>0</v>
      </c>
      <c r="AL65" s="95" t="b">
        <f t="shared" si="0"/>
        <v>1</v>
      </c>
      <c r="AM65" s="95" t="b">
        <f t="shared" si="1"/>
        <v>1</v>
      </c>
    </row>
    <row r="66" spans="4:39" x14ac:dyDescent="0.25">
      <c r="D66" s="8">
        <v>62</v>
      </c>
      <c r="E66" s="48">
        <v>122</v>
      </c>
      <c r="F66" s="10">
        <v>3</v>
      </c>
      <c r="G66" s="10">
        <v>0</v>
      </c>
      <c r="H66" s="5" t="str">
        <f t="shared" si="5"/>
        <v>det_122</v>
      </c>
      <c r="I66" s="5" t="str">
        <f t="shared" si="3"/>
        <v>W:\Performance Measurement\1. Freeway\1. raw data\2010_new\data files\det_122.txt</v>
      </c>
      <c r="J66" s="5" t="str">
        <f t="shared" si="6"/>
        <v>W:\Performance Measurement\1. Freeway\1. raw data\2010_new\data files\det_122.xlsx</v>
      </c>
      <c r="K66" s="5"/>
      <c r="L66" s="47">
        <v>62</v>
      </c>
      <c r="M66" s="39" t="s">
        <v>62</v>
      </c>
      <c r="N66" s="10">
        <v>154</v>
      </c>
      <c r="O66" s="10">
        <v>3</v>
      </c>
      <c r="P66" s="10">
        <v>0</v>
      </c>
      <c r="Q66" s="19">
        <v>1</v>
      </c>
      <c r="R66" s="67" t="s">
        <v>198</v>
      </c>
      <c r="S66" s="83">
        <v>1</v>
      </c>
      <c r="T66" s="83" t="s">
        <v>226</v>
      </c>
      <c r="U66" s="19">
        <v>1</v>
      </c>
      <c r="V66" s="44"/>
      <c r="W66" s="57">
        <v>0</v>
      </c>
      <c r="X66" s="5"/>
      <c r="Y66" s="25">
        <v>162</v>
      </c>
      <c r="Z66" s="25">
        <v>4</v>
      </c>
      <c r="AA66" s="25">
        <v>1</v>
      </c>
      <c r="AB66" s="19" t="s">
        <v>43</v>
      </c>
      <c r="AC66" s="39"/>
      <c r="AE66" s="9">
        <v>195</v>
      </c>
      <c r="AF66" s="9">
        <v>4</v>
      </c>
      <c r="AH66" s="93" t="s">
        <v>62</v>
      </c>
      <c r="AI66" s="89">
        <v>154</v>
      </c>
      <c r="AJ66" s="102">
        <v>3</v>
      </c>
      <c r="AK66" s="101">
        <v>0</v>
      </c>
      <c r="AL66" s="95" t="b">
        <f t="shared" si="0"/>
        <v>1</v>
      </c>
      <c r="AM66" s="95" t="b">
        <f t="shared" si="1"/>
        <v>1</v>
      </c>
    </row>
    <row r="67" spans="4:39" x14ac:dyDescent="0.25">
      <c r="D67" s="8">
        <v>63</v>
      </c>
      <c r="E67" s="48">
        <v>118</v>
      </c>
      <c r="F67" s="10">
        <v>3</v>
      </c>
      <c r="G67" s="10">
        <v>0</v>
      </c>
      <c r="H67" s="5" t="str">
        <f t="shared" si="5"/>
        <v>det_118</v>
      </c>
      <c r="I67" s="5" t="str">
        <f t="shared" si="3"/>
        <v>W:\Performance Measurement\1. Freeway\1. raw data\2010_new\data files\det_118.txt</v>
      </c>
      <c r="J67" s="5" t="str">
        <f t="shared" si="6"/>
        <v>W:\Performance Measurement\1. Freeway\1. raw data\2010_new\data files\det_118.xlsx</v>
      </c>
      <c r="K67" s="5"/>
      <c r="L67" s="47">
        <v>63</v>
      </c>
      <c r="M67" s="39" t="s">
        <v>62</v>
      </c>
      <c r="N67" s="10">
        <v>155</v>
      </c>
      <c r="O67" s="10">
        <v>3</v>
      </c>
      <c r="P67" s="10">
        <v>0</v>
      </c>
      <c r="Q67" s="19">
        <v>1</v>
      </c>
      <c r="R67" s="67" t="s">
        <v>86</v>
      </c>
      <c r="S67" s="83">
        <v>1</v>
      </c>
      <c r="T67" s="83" t="s">
        <v>226</v>
      </c>
      <c r="U67" s="19">
        <v>1</v>
      </c>
      <c r="V67" s="44"/>
      <c r="W67" s="57">
        <v>1</v>
      </c>
      <c r="X67" s="5"/>
      <c r="Y67" s="25">
        <v>163</v>
      </c>
      <c r="Z67" s="25">
        <v>3</v>
      </c>
      <c r="AA67" s="25">
        <v>0</v>
      </c>
      <c r="AB67" s="19">
        <v>13</v>
      </c>
      <c r="AC67" s="39"/>
      <c r="AE67" s="9">
        <v>193</v>
      </c>
      <c r="AF67" s="9">
        <v>4</v>
      </c>
      <c r="AH67" s="93" t="s">
        <v>62</v>
      </c>
      <c r="AI67" s="89">
        <v>155</v>
      </c>
      <c r="AJ67" s="102">
        <v>3</v>
      </c>
      <c r="AK67" s="101">
        <v>0</v>
      </c>
      <c r="AL67" s="95" t="b">
        <f t="shared" si="0"/>
        <v>1</v>
      </c>
      <c r="AM67" s="95" t="b">
        <f t="shared" si="1"/>
        <v>1</v>
      </c>
    </row>
    <row r="68" spans="4:39" x14ac:dyDescent="0.25">
      <c r="D68" s="8">
        <v>64</v>
      </c>
      <c r="E68" s="48">
        <v>114</v>
      </c>
      <c r="F68" s="10">
        <v>3</v>
      </c>
      <c r="G68" s="10">
        <v>0</v>
      </c>
      <c r="H68" s="5" t="str">
        <f t="shared" si="5"/>
        <v>det_114</v>
      </c>
      <c r="I68" s="5" t="str">
        <f t="shared" si="3"/>
        <v>W:\Performance Measurement\1. Freeway\1. raw data\2010_new\data files\det_114.txt</v>
      </c>
      <c r="J68" s="5" t="str">
        <f t="shared" si="6"/>
        <v>W:\Performance Measurement\1. Freeway\1. raw data\2010_new\data files\det_114.xlsx</v>
      </c>
      <c r="K68" s="5"/>
      <c r="L68" s="47">
        <v>64</v>
      </c>
      <c r="M68" s="39" t="s">
        <v>62</v>
      </c>
      <c r="N68" s="10">
        <v>156</v>
      </c>
      <c r="O68" s="10">
        <v>3</v>
      </c>
      <c r="P68" s="10">
        <v>0</v>
      </c>
      <c r="Q68" s="19">
        <v>1</v>
      </c>
      <c r="R68" s="67" t="s">
        <v>86</v>
      </c>
      <c r="S68" s="83">
        <v>1</v>
      </c>
      <c r="T68" s="83" t="s">
        <v>226</v>
      </c>
      <c r="U68" s="19">
        <v>1</v>
      </c>
      <c r="V68" s="58" t="s">
        <v>110</v>
      </c>
      <c r="W68" s="57">
        <v>1</v>
      </c>
      <c r="X68" s="5"/>
      <c r="Y68" s="25">
        <v>167</v>
      </c>
      <c r="Z68" s="25">
        <v>2</v>
      </c>
      <c r="AA68" s="25">
        <v>0</v>
      </c>
      <c r="AB68" s="19">
        <v>1</v>
      </c>
      <c r="AC68" s="39"/>
      <c r="AE68" s="9">
        <v>190</v>
      </c>
      <c r="AF68" s="9">
        <v>4</v>
      </c>
      <c r="AH68" s="93" t="s">
        <v>62</v>
      </c>
      <c r="AI68" s="89">
        <v>156</v>
      </c>
      <c r="AJ68" s="102">
        <v>3</v>
      </c>
      <c r="AK68" s="101">
        <v>0</v>
      </c>
      <c r="AL68" s="95" t="b">
        <f t="shared" ref="AL68:AL131" si="9">O68=AJ68</f>
        <v>1</v>
      </c>
      <c r="AM68" s="95" t="b">
        <f t="shared" ref="AM68:AM131" si="10">P68=AK68</f>
        <v>1</v>
      </c>
    </row>
    <row r="69" spans="4:39" x14ac:dyDescent="0.25">
      <c r="D69" s="8">
        <v>65</v>
      </c>
      <c r="E69" s="48">
        <v>108</v>
      </c>
      <c r="F69" s="10">
        <v>3</v>
      </c>
      <c r="G69" s="10">
        <v>0</v>
      </c>
      <c r="H69" s="5" t="str">
        <f t="shared" ref="H69:H100" si="11">"det_"&amp;E69&amp;""</f>
        <v>det_108</v>
      </c>
      <c r="I69" s="5" t="str">
        <f t="shared" ref="I69:I132" si="12">$B$5&amp;"\"&amp;H69&amp;".txt"</f>
        <v>W:\Performance Measurement\1. Freeway\1. raw data\2010_new\data files\det_108.txt</v>
      </c>
      <c r="J69" s="5" t="str">
        <f t="shared" si="6"/>
        <v>W:\Performance Measurement\1. Freeway\1. raw data\2010_new\data files\det_108.xlsx</v>
      </c>
      <c r="K69" s="5"/>
      <c r="L69" s="47">
        <v>65</v>
      </c>
      <c r="M69" s="39" t="s">
        <v>62</v>
      </c>
      <c r="N69" s="10">
        <v>121</v>
      </c>
      <c r="O69" s="10">
        <v>3</v>
      </c>
      <c r="P69" s="10">
        <v>0</v>
      </c>
      <c r="Q69" s="19">
        <v>1</v>
      </c>
      <c r="R69" s="67" t="s">
        <v>86</v>
      </c>
      <c r="S69" s="83">
        <v>1</v>
      </c>
      <c r="T69" s="83" t="s">
        <v>226</v>
      </c>
      <c r="U69" s="19">
        <v>1</v>
      </c>
      <c r="V69" s="44"/>
      <c r="W69" s="57">
        <v>1</v>
      </c>
      <c r="X69" s="5"/>
      <c r="Y69" s="25">
        <v>169</v>
      </c>
      <c r="Z69" s="25">
        <v>3</v>
      </c>
      <c r="AA69" s="25">
        <v>0</v>
      </c>
      <c r="AB69" s="19">
        <v>1</v>
      </c>
      <c r="AC69" s="39"/>
      <c r="AE69" s="9">
        <v>130</v>
      </c>
      <c r="AF69" s="9">
        <v>3</v>
      </c>
      <c r="AH69" s="93" t="s">
        <v>62</v>
      </c>
      <c r="AI69" s="89">
        <v>121</v>
      </c>
      <c r="AJ69" s="102">
        <v>3</v>
      </c>
      <c r="AK69" s="101">
        <v>0</v>
      </c>
      <c r="AL69" s="95" t="b">
        <f t="shared" si="9"/>
        <v>1</v>
      </c>
      <c r="AM69" s="95" t="b">
        <f t="shared" si="10"/>
        <v>1</v>
      </c>
    </row>
    <row r="70" spans="4:39" x14ac:dyDescent="0.25">
      <c r="D70" s="8">
        <v>66</v>
      </c>
      <c r="E70" s="48">
        <v>103</v>
      </c>
      <c r="F70" s="10">
        <v>3</v>
      </c>
      <c r="G70" s="10">
        <v>0</v>
      </c>
      <c r="H70" s="5" t="str">
        <f t="shared" si="11"/>
        <v>det_103</v>
      </c>
      <c r="I70" s="5" t="str">
        <f t="shared" si="12"/>
        <v>W:\Performance Measurement\1. Freeway\1. raw data\2010_new\data files\det_103.txt</v>
      </c>
      <c r="J70" s="5" t="str">
        <f t="shared" si="6"/>
        <v>W:\Performance Measurement\1. Freeway\1. raw data\2010_new\data files\det_103.xlsx</v>
      </c>
      <c r="K70" s="5"/>
      <c r="L70" s="47">
        <v>66</v>
      </c>
      <c r="M70" s="39" t="s">
        <v>62</v>
      </c>
      <c r="N70" s="10">
        <v>123</v>
      </c>
      <c r="O70" s="10">
        <v>3</v>
      </c>
      <c r="P70" s="10">
        <v>0</v>
      </c>
      <c r="Q70" s="19">
        <v>1</v>
      </c>
      <c r="R70" s="67" t="s">
        <v>221</v>
      </c>
      <c r="S70" s="83">
        <v>1</v>
      </c>
      <c r="T70" s="83" t="s">
        <v>226</v>
      </c>
      <c r="U70" s="19">
        <v>1</v>
      </c>
      <c r="V70" s="59" t="s">
        <v>111</v>
      </c>
      <c r="W70" s="57">
        <v>1</v>
      </c>
      <c r="X70" s="5"/>
      <c r="Y70" s="25">
        <v>171</v>
      </c>
      <c r="Z70" s="25">
        <v>3</v>
      </c>
      <c r="AA70" s="25">
        <v>0</v>
      </c>
      <c r="AB70" s="19">
        <v>1</v>
      </c>
      <c r="AC70" s="39"/>
      <c r="AE70" s="9">
        <v>337</v>
      </c>
      <c r="AF70" s="9">
        <v>4</v>
      </c>
      <c r="AH70" s="93" t="s">
        <v>62</v>
      </c>
      <c r="AI70" s="89">
        <v>123</v>
      </c>
      <c r="AJ70" s="102">
        <v>3</v>
      </c>
      <c r="AK70" s="101">
        <v>0</v>
      </c>
      <c r="AL70" s="95" t="b">
        <f t="shared" si="9"/>
        <v>1</v>
      </c>
      <c r="AM70" s="95" t="b">
        <f t="shared" si="10"/>
        <v>1</v>
      </c>
    </row>
    <row r="71" spans="4:39" x14ac:dyDescent="0.25">
      <c r="D71" s="8">
        <v>67</v>
      </c>
      <c r="E71" s="48">
        <v>97</v>
      </c>
      <c r="F71" s="10">
        <v>3</v>
      </c>
      <c r="G71" s="10">
        <v>0</v>
      </c>
      <c r="H71" s="5" t="str">
        <f t="shared" si="11"/>
        <v>det_97</v>
      </c>
      <c r="I71" s="5" t="str">
        <f t="shared" si="12"/>
        <v>W:\Performance Measurement\1. Freeway\1. raw data\2010_new\data files\det_97.txt</v>
      </c>
      <c r="J71" s="5" t="str">
        <f t="shared" si="6"/>
        <v>W:\Performance Measurement\1. Freeway\1. raw data\2010_new\data files\det_97.xlsx</v>
      </c>
      <c r="K71" s="5"/>
      <c r="L71" s="47">
        <v>67</v>
      </c>
      <c r="M71" s="39" t="s">
        <v>62</v>
      </c>
      <c r="N71" s="10">
        <v>122</v>
      </c>
      <c r="O71" s="10">
        <v>3</v>
      </c>
      <c r="P71" s="10">
        <v>0</v>
      </c>
      <c r="Q71" s="19">
        <v>1</v>
      </c>
      <c r="R71" s="67" t="s">
        <v>227</v>
      </c>
      <c r="S71" s="83">
        <v>0</v>
      </c>
      <c r="T71" s="83" t="s">
        <v>226</v>
      </c>
      <c r="U71" s="19">
        <v>13</v>
      </c>
      <c r="V71" s="60" t="s">
        <v>112</v>
      </c>
      <c r="W71" s="57">
        <v>0</v>
      </c>
      <c r="X71" s="5"/>
      <c r="Y71" s="25">
        <v>176</v>
      </c>
      <c r="Z71" s="25">
        <v>2</v>
      </c>
      <c r="AA71" s="25">
        <v>0</v>
      </c>
      <c r="AB71" s="19">
        <v>12</v>
      </c>
      <c r="AC71" s="39"/>
      <c r="AE71" s="9">
        <v>340</v>
      </c>
      <c r="AF71" s="9">
        <v>4</v>
      </c>
      <c r="AH71" s="93" t="s">
        <v>62</v>
      </c>
      <c r="AI71" s="89">
        <v>122</v>
      </c>
      <c r="AJ71" s="102">
        <v>3</v>
      </c>
      <c r="AK71" s="101">
        <v>0</v>
      </c>
      <c r="AL71" s="95" t="b">
        <f t="shared" si="9"/>
        <v>1</v>
      </c>
      <c r="AM71" s="95" t="b">
        <f t="shared" si="10"/>
        <v>1</v>
      </c>
    </row>
    <row r="72" spans="4:39" x14ac:dyDescent="0.25">
      <c r="D72" s="8">
        <v>68</v>
      </c>
      <c r="E72" s="48">
        <v>36</v>
      </c>
      <c r="F72" s="10">
        <v>3</v>
      </c>
      <c r="G72" s="10">
        <v>0</v>
      </c>
      <c r="H72" s="5" t="str">
        <f t="shared" si="11"/>
        <v>det_36</v>
      </c>
      <c r="I72" s="5" t="str">
        <f t="shared" si="12"/>
        <v>W:\Performance Measurement\1. Freeway\1. raw data\2010_new\data files\det_36.txt</v>
      </c>
      <c r="J72" s="5" t="str">
        <f t="shared" si="6"/>
        <v>W:\Performance Measurement\1. Freeway\1. raw data\2010_new\data files\det_36.xlsx</v>
      </c>
      <c r="K72" s="5"/>
      <c r="L72" s="47">
        <v>68</v>
      </c>
      <c r="M72" s="39" t="s">
        <v>62</v>
      </c>
      <c r="N72" s="10">
        <v>118</v>
      </c>
      <c r="O72" s="10">
        <v>3</v>
      </c>
      <c r="P72" s="10">
        <v>0</v>
      </c>
      <c r="Q72" s="19">
        <v>1</v>
      </c>
      <c r="R72" s="67" t="s">
        <v>86</v>
      </c>
      <c r="S72" s="83">
        <v>1</v>
      </c>
      <c r="T72" s="83" t="s">
        <v>226</v>
      </c>
      <c r="U72" s="19">
        <v>1</v>
      </c>
      <c r="V72" s="59" t="s">
        <v>111</v>
      </c>
      <c r="W72" s="57">
        <v>1</v>
      </c>
      <c r="X72" s="5"/>
      <c r="Y72" s="25">
        <v>178</v>
      </c>
      <c r="Z72" s="25">
        <v>3</v>
      </c>
      <c r="AA72" s="25">
        <v>0</v>
      </c>
      <c r="AB72" s="19">
        <v>13</v>
      </c>
      <c r="AC72" s="39"/>
      <c r="AE72" s="9">
        <v>343</v>
      </c>
      <c r="AF72" s="9">
        <v>4</v>
      </c>
      <c r="AH72" s="93" t="s">
        <v>62</v>
      </c>
      <c r="AI72" s="89">
        <v>118</v>
      </c>
      <c r="AJ72" s="102">
        <v>3</v>
      </c>
      <c r="AK72" s="101">
        <v>0</v>
      </c>
      <c r="AL72" s="95" t="b">
        <f t="shared" si="9"/>
        <v>1</v>
      </c>
      <c r="AM72" s="95" t="b">
        <f t="shared" si="10"/>
        <v>1</v>
      </c>
    </row>
    <row r="73" spans="4:39" x14ac:dyDescent="0.25">
      <c r="D73" s="8">
        <v>69</v>
      </c>
      <c r="E73" s="48">
        <v>161</v>
      </c>
      <c r="F73" s="10">
        <v>2</v>
      </c>
      <c r="G73" s="10">
        <v>0</v>
      </c>
      <c r="H73" s="5" t="str">
        <f t="shared" si="11"/>
        <v>det_161</v>
      </c>
      <c r="I73" s="5" t="str">
        <f t="shared" si="12"/>
        <v>W:\Performance Measurement\1. Freeway\1. raw data\2010_new\data files\det_161.txt</v>
      </c>
      <c r="J73" s="5" t="str">
        <f t="shared" si="6"/>
        <v>W:\Performance Measurement\1. Freeway\1. raw data\2010_new\data files\det_161.xlsx</v>
      </c>
      <c r="K73" s="5"/>
      <c r="L73" s="47">
        <v>69</v>
      </c>
      <c r="M73" s="39" t="s">
        <v>62</v>
      </c>
      <c r="N73" s="10">
        <v>114</v>
      </c>
      <c r="O73" s="10">
        <v>3</v>
      </c>
      <c r="P73" s="10">
        <v>0</v>
      </c>
      <c r="Q73" s="19">
        <v>1</v>
      </c>
      <c r="R73" s="67" t="s">
        <v>221</v>
      </c>
      <c r="S73" s="83">
        <v>1</v>
      </c>
      <c r="T73" s="83" t="s">
        <v>226</v>
      </c>
      <c r="U73" s="19">
        <v>1</v>
      </c>
      <c r="V73" s="59" t="s">
        <v>86</v>
      </c>
      <c r="W73" s="57">
        <v>1</v>
      </c>
      <c r="X73" s="5"/>
      <c r="Y73" s="25">
        <v>179</v>
      </c>
      <c r="Z73" s="25">
        <v>2</v>
      </c>
      <c r="AA73" s="25">
        <v>0</v>
      </c>
      <c r="AB73" s="19">
        <v>1</v>
      </c>
      <c r="AC73" s="39"/>
      <c r="AE73" s="9">
        <v>346</v>
      </c>
      <c r="AF73" s="9">
        <v>4</v>
      </c>
      <c r="AH73" s="93" t="s">
        <v>62</v>
      </c>
      <c r="AI73" s="89">
        <v>114</v>
      </c>
      <c r="AJ73" s="102">
        <v>3</v>
      </c>
      <c r="AK73" s="101">
        <v>0</v>
      </c>
      <c r="AL73" s="95" t="b">
        <f t="shared" si="9"/>
        <v>1</v>
      </c>
      <c r="AM73" s="95" t="b">
        <f t="shared" si="10"/>
        <v>1</v>
      </c>
    </row>
    <row r="74" spans="4:39" x14ac:dyDescent="0.25">
      <c r="D74" s="8">
        <v>70</v>
      </c>
      <c r="E74" s="48">
        <v>162</v>
      </c>
      <c r="F74" s="10">
        <v>4</v>
      </c>
      <c r="G74" s="10">
        <v>1</v>
      </c>
      <c r="H74" s="5" t="str">
        <f t="shared" si="11"/>
        <v>det_162</v>
      </c>
      <c r="I74" s="5" t="str">
        <f t="shared" si="12"/>
        <v>W:\Performance Measurement\1. Freeway\1. raw data\2010_new\data files\det_162.txt</v>
      </c>
      <c r="J74" s="5" t="str">
        <f t="shared" si="6"/>
        <v>W:\Performance Measurement\1. Freeway\1. raw data\2010_new\data files\det_162.xlsx</v>
      </c>
      <c r="K74" s="5"/>
      <c r="L74" s="47">
        <v>70</v>
      </c>
      <c r="M74" s="39" t="s">
        <v>62</v>
      </c>
      <c r="N74" s="10">
        <v>108</v>
      </c>
      <c r="O74" s="10">
        <v>3</v>
      </c>
      <c r="P74" s="10">
        <v>0</v>
      </c>
      <c r="Q74" s="19">
        <v>1</v>
      </c>
      <c r="R74" s="67" t="s">
        <v>228</v>
      </c>
      <c r="S74" s="83">
        <v>0</v>
      </c>
      <c r="T74" s="83" t="s">
        <v>226</v>
      </c>
      <c r="U74" s="19">
        <v>1</v>
      </c>
      <c r="V74" s="59" t="s">
        <v>113</v>
      </c>
      <c r="W74" s="57">
        <v>0</v>
      </c>
      <c r="X74" s="5"/>
      <c r="Y74" s="25">
        <v>182</v>
      </c>
      <c r="Z74" s="25">
        <v>3</v>
      </c>
      <c r="AA74" s="25">
        <v>0</v>
      </c>
      <c r="AB74" s="19">
        <v>13</v>
      </c>
      <c r="AC74" s="39"/>
      <c r="AE74" s="9">
        <v>349</v>
      </c>
      <c r="AF74" s="9">
        <v>4</v>
      </c>
      <c r="AH74" s="93" t="s">
        <v>62</v>
      </c>
      <c r="AI74" s="89">
        <v>108</v>
      </c>
      <c r="AJ74" s="102">
        <v>3</v>
      </c>
      <c r="AK74" s="101">
        <v>0</v>
      </c>
      <c r="AL74" s="95" t="b">
        <f t="shared" si="9"/>
        <v>1</v>
      </c>
      <c r="AM74" s="95" t="b">
        <f t="shared" si="10"/>
        <v>1</v>
      </c>
    </row>
    <row r="75" spans="4:39" x14ac:dyDescent="0.25">
      <c r="D75" s="8">
        <v>71</v>
      </c>
      <c r="E75" s="48">
        <v>337</v>
      </c>
      <c r="F75" s="10">
        <v>3</v>
      </c>
      <c r="G75" s="10">
        <v>1</v>
      </c>
      <c r="H75" s="5" t="str">
        <f t="shared" si="11"/>
        <v>det_337</v>
      </c>
      <c r="I75" s="5" t="str">
        <f t="shared" si="12"/>
        <v>W:\Performance Measurement\1. Freeway\1. raw data\2010_new\data files\det_337.txt</v>
      </c>
      <c r="J75" s="5" t="str">
        <f t="shared" si="6"/>
        <v>W:\Performance Measurement\1. Freeway\1. raw data\2010_new\data files\det_337.xlsx</v>
      </c>
      <c r="K75" s="5"/>
      <c r="L75" s="47">
        <v>71</v>
      </c>
      <c r="M75" s="39" t="s">
        <v>62</v>
      </c>
      <c r="N75" s="10">
        <v>103</v>
      </c>
      <c r="O75" s="10">
        <v>3</v>
      </c>
      <c r="P75" s="10">
        <v>0</v>
      </c>
      <c r="Q75" s="19">
        <v>1</v>
      </c>
      <c r="R75" s="67" t="s">
        <v>86</v>
      </c>
      <c r="S75" s="83">
        <v>1</v>
      </c>
      <c r="T75" s="83" t="s">
        <v>226</v>
      </c>
      <c r="U75" s="19">
        <v>1</v>
      </c>
      <c r="V75" s="60" t="s">
        <v>114</v>
      </c>
      <c r="W75" s="57">
        <v>1</v>
      </c>
      <c r="X75" s="5"/>
      <c r="Y75" s="25">
        <v>184</v>
      </c>
      <c r="Z75" s="25">
        <v>2</v>
      </c>
      <c r="AA75" s="25">
        <v>0</v>
      </c>
      <c r="AB75" s="19">
        <v>1</v>
      </c>
      <c r="AC75" s="39"/>
      <c r="AE75" s="9">
        <v>352</v>
      </c>
      <c r="AF75" s="9">
        <v>4</v>
      </c>
      <c r="AH75" s="93" t="s">
        <v>62</v>
      </c>
      <c r="AI75" s="89">
        <v>103</v>
      </c>
      <c r="AJ75" s="102">
        <v>3</v>
      </c>
      <c r="AK75" s="101">
        <v>0</v>
      </c>
      <c r="AL75" s="95" t="b">
        <f t="shared" si="9"/>
        <v>1</v>
      </c>
      <c r="AM75" s="95" t="b">
        <f t="shared" si="10"/>
        <v>1</v>
      </c>
    </row>
    <row r="76" spans="4:39" x14ac:dyDescent="0.25">
      <c r="D76" s="8">
        <v>72</v>
      </c>
      <c r="E76" s="48">
        <v>340</v>
      </c>
      <c r="F76" s="10">
        <v>3</v>
      </c>
      <c r="G76" s="10">
        <v>1</v>
      </c>
      <c r="H76" s="5" t="str">
        <f t="shared" si="11"/>
        <v>det_340</v>
      </c>
      <c r="I76" s="5" t="str">
        <f t="shared" si="12"/>
        <v>W:\Performance Measurement\1. Freeway\1. raw data\2010_new\data files\det_340.txt</v>
      </c>
      <c r="J76" s="5" t="str">
        <f t="shared" si="6"/>
        <v>W:\Performance Measurement\1. Freeway\1. raw data\2010_new\data files\det_340.xlsx</v>
      </c>
      <c r="K76" s="5"/>
      <c r="L76" s="47">
        <v>72</v>
      </c>
      <c r="M76" s="39" t="s">
        <v>62</v>
      </c>
      <c r="N76" s="10">
        <v>97</v>
      </c>
      <c r="O76" s="10">
        <v>3</v>
      </c>
      <c r="P76" s="10">
        <v>0</v>
      </c>
      <c r="Q76" s="19">
        <v>1</v>
      </c>
      <c r="R76" s="67" t="s">
        <v>221</v>
      </c>
      <c r="S76" s="83">
        <v>1</v>
      </c>
      <c r="T76" s="83" t="s">
        <v>226</v>
      </c>
      <c r="U76" s="19">
        <v>1</v>
      </c>
      <c r="V76" s="59" t="s">
        <v>115</v>
      </c>
      <c r="W76" s="57">
        <v>1</v>
      </c>
      <c r="X76" s="5"/>
      <c r="Y76" s="25">
        <v>187</v>
      </c>
      <c r="Z76" s="25">
        <v>2</v>
      </c>
      <c r="AA76" s="25">
        <v>0</v>
      </c>
      <c r="AB76" s="19">
        <v>12</v>
      </c>
      <c r="AC76" s="39"/>
      <c r="AE76" s="9">
        <v>355</v>
      </c>
      <c r="AF76" s="9">
        <v>4</v>
      </c>
      <c r="AH76" s="93" t="s">
        <v>62</v>
      </c>
      <c r="AI76" s="89">
        <v>97</v>
      </c>
      <c r="AJ76" s="102">
        <v>3</v>
      </c>
      <c r="AK76" s="101">
        <v>0</v>
      </c>
      <c r="AL76" s="95" t="b">
        <f t="shared" si="9"/>
        <v>1</v>
      </c>
      <c r="AM76" s="95" t="b">
        <f t="shared" si="10"/>
        <v>1</v>
      </c>
    </row>
    <row r="77" spans="4:39" x14ac:dyDescent="0.25">
      <c r="D77" s="8">
        <v>73</v>
      </c>
      <c r="E77" s="48">
        <v>343</v>
      </c>
      <c r="F77" s="10">
        <v>3</v>
      </c>
      <c r="G77" s="10">
        <v>1</v>
      </c>
      <c r="H77" s="5" t="str">
        <f t="shared" si="11"/>
        <v>det_343</v>
      </c>
      <c r="I77" s="5" t="str">
        <f t="shared" si="12"/>
        <v>W:\Performance Measurement\1. Freeway\1. raw data\2010_new\data files\det_343.txt</v>
      </c>
      <c r="J77" s="5" t="str">
        <f t="shared" si="6"/>
        <v>W:\Performance Measurement\1. Freeway\1. raw data\2010_new\data files\det_343.xlsx</v>
      </c>
      <c r="K77" s="5"/>
      <c r="L77" s="47">
        <v>73</v>
      </c>
      <c r="M77" s="39" t="s">
        <v>62</v>
      </c>
      <c r="N77" s="10">
        <v>36</v>
      </c>
      <c r="O77" s="10">
        <v>3</v>
      </c>
      <c r="P77" s="10">
        <v>0</v>
      </c>
      <c r="Q77" s="19">
        <v>1</v>
      </c>
      <c r="R77" s="67" t="s">
        <v>229</v>
      </c>
      <c r="S77" s="83" t="s">
        <v>42</v>
      </c>
      <c r="T77" s="83" t="s">
        <v>226</v>
      </c>
      <c r="U77" s="19">
        <v>1</v>
      </c>
      <c r="V77" s="60" t="s">
        <v>116</v>
      </c>
      <c r="W77" s="57">
        <v>0</v>
      </c>
      <c r="X77" s="5"/>
      <c r="Y77" s="25">
        <v>190</v>
      </c>
      <c r="Z77" s="25">
        <v>3</v>
      </c>
      <c r="AA77" s="25">
        <v>1</v>
      </c>
      <c r="AB77" s="19">
        <v>1</v>
      </c>
      <c r="AC77" s="39"/>
      <c r="AE77" s="9">
        <v>357</v>
      </c>
      <c r="AF77" s="9">
        <v>4</v>
      </c>
      <c r="AH77" s="93" t="s">
        <v>62</v>
      </c>
      <c r="AI77" s="89">
        <v>36</v>
      </c>
      <c r="AJ77" s="102">
        <v>3</v>
      </c>
      <c r="AK77" s="101">
        <v>0</v>
      </c>
      <c r="AL77" s="95" t="b">
        <f t="shared" si="9"/>
        <v>1</v>
      </c>
      <c r="AM77" s="95" t="b">
        <f t="shared" si="10"/>
        <v>1</v>
      </c>
    </row>
    <row r="78" spans="4:39" x14ac:dyDescent="0.25">
      <c r="D78" s="8">
        <v>74</v>
      </c>
      <c r="E78" s="48">
        <v>346</v>
      </c>
      <c r="F78" s="10">
        <v>3</v>
      </c>
      <c r="G78" s="10">
        <v>1</v>
      </c>
      <c r="H78" s="5" t="str">
        <f t="shared" si="11"/>
        <v>det_346</v>
      </c>
      <c r="I78" s="5" t="str">
        <f t="shared" si="12"/>
        <v>W:\Performance Measurement\1. Freeway\1. raw data\2010_new\data files\det_346.txt</v>
      </c>
      <c r="J78" s="5" t="str">
        <f t="shared" si="6"/>
        <v>W:\Performance Measurement\1. Freeway\1. raw data\2010_new\data files\det_346.xlsx</v>
      </c>
      <c r="K78" s="5"/>
      <c r="L78" s="47">
        <v>74</v>
      </c>
      <c r="M78" s="39" t="s">
        <v>63</v>
      </c>
      <c r="N78" s="10">
        <v>161</v>
      </c>
      <c r="O78" s="10">
        <v>2</v>
      </c>
      <c r="P78" s="10">
        <v>0</v>
      </c>
      <c r="Q78" s="34">
        <v>1</v>
      </c>
      <c r="R78" s="67" t="s">
        <v>86</v>
      </c>
      <c r="S78" s="83">
        <v>1</v>
      </c>
      <c r="T78" s="83">
        <v>0</v>
      </c>
      <c r="U78" s="56">
        <v>12</v>
      </c>
      <c r="V78" s="44"/>
      <c r="W78" s="57">
        <v>1</v>
      </c>
      <c r="X78" s="5"/>
      <c r="Y78" s="25">
        <v>193</v>
      </c>
      <c r="Z78" s="25">
        <v>3</v>
      </c>
      <c r="AA78" s="25">
        <v>1</v>
      </c>
      <c r="AB78" s="19">
        <v>1</v>
      </c>
      <c r="AC78" s="39"/>
      <c r="AE78" s="9">
        <v>358</v>
      </c>
      <c r="AF78" s="9">
        <v>4</v>
      </c>
      <c r="AH78" s="93" t="s">
        <v>63</v>
      </c>
      <c r="AI78" s="89">
        <v>161</v>
      </c>
      <c r="AJ78" s="102">
        <v>2</v>
      </c>
      <c r="AK78" s="101">
        <v>0</v>
      </c>
      <c r="AL78" s="95" t="b">
        <f t="shared" si="9"/>
        <v>1</v>
      </c>
      <c r="AM78" s="95" t="b">
        <f t="shared" si="10"/>
        <v>1</v>
      </c>
    </row>
    <row r="79" spans="4:39" x14ac:dyDescent="0.25">
      <c r="D79" s="8">
        <v>75</v>
      </c>
      <c r="E79" s="48">
        <v>349</v>
      </c>
      <c r="F79" s="10">
        <v>3</v>
      </c>
      <c r="G79" s="10">
        <v>1</v>
      </c>
      <c r="H79" s="5" t="str">
        <f t="shared" si="11"/>
        <v>det_349</v>
      </c>
      <c r="I79" s="5" t="str">
        <f t="shared" si="12"/>
        <v>W:\Performance Measurement\1. Freeway\1. raw data\2010_new\data files\det_349.txt</v>
      </c>
      <c r="J79" s="5" t="str">
        <f t="shared" si="6"/>
        <v>W:\Performance Measurement\1. Freeway\1. raw data\2010_new\data files\det_349.xlsx</v>
      </c>
      <c r="K79" s="5"/>
      <c r="L79" s="47">
        <v>75</v>
      </c>
      <c r="M79" s="39" t="s">
        <v>63</v>
      </c>
      <c r="N79" s="10">
        <v>162</v>
      </c>
      <c r="O79" s="10">
        <v>4</v>
      </c>
      <c r="P79" s="10">
        <v>1</v>
      </c>
      <c r="Q79" s="19">
        <v>1</v>
      </c>
      <c r="R79" s="67" t="s">
        <v>178</v>
      </c>
      <c r="S79" s="83">
        <v>1</v>
      </c>
      <c r="T79" s="83">
        <v>0</v>
      </c>
      <c r="U79" s="19" t="s">
        <v>43</v>
      </c>
      <c r="V79" s="59" t="s">
        <v>117</v>
      </c>
      <c r="W79" s="55">
        <v>1</v>
      </c>
      <c r="X79" s="5"/>
      <c r="Y79" s="25">
        <v>195</v>
      </c>
      <c r="Z79" s="25">
        <v>3</v>
      </c>
      <c r="AA79" s="25">
        <v>1</v>
      </c>
      <c r="AB79" s="19">
        <v>1</v>
      </c>
      <c r="AC79" s="39"/>
      <c r="AE79" s="9">
        <v>361</v>
      </c>
      <c r="AF79" s="9">
        <v>4</v>
      </c>
      <c r="AH79" s="93" t="s">
        <v>63</v>
      </c>
      <c r="AI79" s="89">
        <v>162</v>
      </c>
      <c r="AJ79" s="102">
        <v>4</v>
      </c>
      <c r="AK79" s="101">
        <v>1</v>
      </c>
      <c r="AL79" s="95" t="b">
        <f t="shared" si="9"/>
        <v>1</v>
      </c>
      <c r="AM79" s="95" t="b">
        <f t="shared" si="10"/>
        <v>1</v>
      </c>
    </row>
    <row r="80" spans="4:39" x14ac:dyDescent="0.25">
      <c r="D80" s="8">
        <v>76</v>
      </c>
      <c r="E80" s="48">
        <v>352</v>
      </c>
      <c r="F80" s="10">
        <v>3</v>
      </c>
      <c r="G80" s="10">
        <v>1</v>
      </c>
      <c r="H80" s="5" t="str">
        <f t="shared" si="11"/>
        <v>det_352</v>
      </c>
      <c r="I80" s="5" t="str">
        <f t="shared" si="12"/>
        <v>W:\Performance Measurement\1. Freeway\1. raw data\2010_new\data files\det_352.txt</v>
      </c>
      <c r="J80" s="5" t="str">
        <f t="shared" si="6"/>
        <v>W:\Performance Measurement\1. Freeway\1. raw data\2010_new\data files\det_352.xlsx</v>
      </c>
      <c r="K80" s="5"/>
      <c r="L80" s="47">
        <v>76</v>
      </c>
      <c r="M80" s="39" t="s">
        <v>63</v>
      </c>
      <c r="N80" s="10">
        <v>337</v>
      </c>
      <c r="O80" s="10">
        <v>3</v>
      </c>
      <c r="P80" s="10">
        <v>1</v>
      </c>
      <c r="Q80" s="19">
        <v>1</v>
      </c>
      <c r="R80" s="67" t="s">
        <v>230</v>
      </c>
      <c r="S80" s="83">
        <v>1</v>
      </c>
      <c r="T80" s="83">
        <v>1</v>
      </c>
      <c r="U80" s="19">
        <v>1</v>
      </c>
      <c r="V80" s="59" t="s">
        <v>118</v>
      </c>
      <c r="W80" s="57">
        <v>1</v>
      </c>
      <c r="X80" s="5"/>
      <c r="Y80" s="25">
        <v>198</v>
      </c>
      <c r="Z80" s="25">
        <v>3</v>
      </c>
      <c r="AA80" s="25">
        <v>1</v>
      </c>
      <c r="AB80" s="19">
        <v>1</v>
      </c>
      <c r="AC80" s="39"/>
      <c r="AE80" s="9">
        <v>367</v>
      </c>
      <c r="AF80" s="9">
        <v>4</v>
      </c>
      <c r="AH80" s="93" t="s">
        <v>63</v>
      </c>
      <c r="AI80" s="89">
        <v>337</v>
      </c>
      <c r="AJ80" s="102">
        <v>3</v>
      </c>
      <c r="AK80" s="101">
        <v>1</v>
      </c>
      <c r="AL80" s="95" t="b">
        <f t="shared" si="9"/>
        <v>1</v>
      </c>
      <c r="AM80" s="95" t="b">
        <f t="shared" si="10"/>
        <v>1</v>
      </c>
    </row>
    <row r="81" spans="4:39" x14ac:dyDescent="0.25">
      <c r="D81" s="8">
        <v>77</v>
      </c>
      <c r="E81" s="48">
        <v>355</v>
      </c>
      <c r="F81" s="10">
        <v>3</v>
      </c>
      <c r="G81" s="10">
        <v>1</v>
      </c>
      <c r="H81" s="5" t="str">
        <f t="shared" si="11"/>
        <v>det_355</v>
      </c>
      <c r="I81" s="5" t="str">
        <f t="shared" si="12"/>
        <v>W:\Performance Measurement\1. Freeway\1. raw data\2010_new\data files\det_355.txt</v>
      </c>
      <c r="J81" s="5" t="str">
        <f t="shared" si="6"/>
        <v>W:\Performance Measurement\1. Freeway\1. raw data\2010_new\data files\det_355.xlsx</v>
      </c>
      <c r="K81" s="5"/>
      <c r="L81" s="47">
        <v>77</v>
      </c>
      <c r="M81" s="39" t="s">
        <v>63</v>
      </c>
      <c r="N81" s="10">
        <v>340</v>
      </c>
      <c r="O81" s="10">
        <v>3</v>
      </c>
      <c r="P81" s="10">
        <v>1</v>
      </c>
      <c r="Q81" s="19">
        <v>1</v>
      </c>
      <c r="R81" s="67" t="s">
        <v>230</v>
      </c>
      <c r="S81" s="83">
        <v>1</v>
      </c>
      <c r="T81" s="83">
        <v>1</v>
      </c>
      <c r="U81" s="19">
        <v>1</v>
      </c>
      <c r="V81" s="59" t="s">
        <v>119</v>
      </c>
      <c r="W81" s="57">
        <v>1</v>
      </c>
      <c r="X81" s="5"/>
      <c r="Y81" s="25">
        <v>201</v>
      </c>
      <c r="Z81" s="25">
        <v>3</v>
      </c>
      <c r="AA81" s="25">
        <v>1</v>
      </c>
      <c r="AB81" s="19">
        <v>1</v>
      </c>
      <c r="AC81" s="39"/>
      <c r="AE81" s="9">
        <v>370</v>
      </c>
      <c r="AF81" s="9">
        <v>4</v>
      </c>
      <c r="AH81" s="93" t="s">
        <v>63</v>
      </c>
      <c r="AI81" s="89">
        <v>340</v>
      </c>
      <c r="AJ81" s="102">
        <v>3</v>
      </c>
      <c r="AK81" s="101">
        <v>1</v>
      </c>
      <c r="AL81" s="95" t="b">
        <f t="shared" si="9"/>
        <v>1</v>
      </c>
      <c r="AM81" s="95" t="b">
        <f t="shared" si="10"/>
        <v>1</v>
      </c>
    </row>
    <row r="82" spans="4:39" x14ac:dyDescent="0.25">
      <c r="D82" s="8">
        <v>78</v>
      </c>
      <c r="E82" s="48">
        <v>357</v>
      </c>
      <c r="F82" s="10">
        <v>3</v>
      </c>
      <c r="G82" s="10">
        <v>1</v>
      </c>
      <c r="H82" s="5" t="str">
        <f t="shared" si="11"/>
        <v>det_357</v>
      </c>
      <c r="I82" s="5" t="str">
        <f t="shared" si="12"/>
        <v>W:\Performance Measurement\1. Freeway\1. raw data\2010_new\data files\det_357.txt</v>
      </c>
      <c r="J82" s="5" t="str">
        <f t="shared" si="6"/>
        <v>W:\Performance Measurement\1. Freeway\1. raw data\2010_new\data files\det_357.xlsx</v>
      </c>
      <c r="K82" s="5"/>
      <c r="L82" s="47">
        <v>78</v>
      </c>
      <c r="M82" s="39" t="s">
        <v>63</v>
      </c>
      <c r="N82" s="10">
        <v>343</v>
      </c>
      <c r="O82" s="10">
        <v>3</v>
      </c>
      <c r="P82" s="10">
        <v>1</v>
      </c>
      <c r="Q82" s="19">
        <v>1</v>
      </c>
      <c r="R82" s="67" t="s">
        <v>54</v>
      </c>
      <c r="S82" s="83">
        <v>1</v>
      </c>
      <c r="T82" s="83">
        <v>1</v>
      </c>
      <c r="U82" s="19">
        <v>1</v>
      </c>
      <c r="V82" s="59" t="s">
        <v>86</v>
      </c>
      <c r="W82" s="57">
        <v>1</v>
      </c>
      <c r="X82" s="5"/>
      <c r="Y82" s="25">
        <v>203</v>
      </c>
      <c r="Z82" s="25">
        <v>4</v>
      </c>
      <c r="AA82" s="25">
        <v>1</v>
      </c>
      <c r="AB82" s="19">
        <v>1</v>
      </c>
      <c r="AC82" s="39"/>
      <c r="AE82" s="9">
        <v>373</v>
      </c>
      <c r="AF82" s="9">
        <v>4</v>
      </c>
      <c r="AH82" s="93" t="s">
        <v>63</v>
      </c>
      <c r="AI82" s="89">
        <v>343</v>
      </c>
      <c r="AJ82" s="102">
        <v>3</v>
      </c>
      <c r="AK82" s="101">
        <v>1</v>
      </c>
      <c r="AL82" s="95" t="b">
        <f t="shared" si="9"/>
        <v>1</v>
      </c>
      <c r="AM82" s="95" t="b">
        <f t="shared" si="10"/>
        <v>1</v>
      </c>
    </row>
    <row r="83" spans="4:39" x14ac:dyDescent="0.25">
      <c r="D83" s="8">
        <v>79</v>
      </c>
      <c r="E83" s="48">
        <v>358</v>
      </c>
      <c r="F83" s="10">
        <v>3</v>
      </c>
      <c r="G83" s="10">
        <v>1</v>
      </c>
      <c r="H83" s="5" t="str">
        <f t="shared" si="11"/>
        <v>det_358</v>
      </c>
      <c r="I83" s="5" t="str">
        <f t="shared" si="12"/>
        <v>W:\Performance Measurement\1. Freeway\1. raw data\2010_new\data files\det_358.txt</v>
      </c>
      <c r="J83" s="5" t="str">
        <f t="shared" si="6"/>
        <v>W:\Performance Measurement\1. Freeway\1. raw data\2010_new\data files\det_358.xlsx</v>
      </c>
      <c r="K83" s="5"/>
      <c r="L83" s="47">
        <v>79</v>
      </c>
      <c r="M83" s="39" t="s">
        <v>63</v>
      </c>
      <c r="N83" s="10">
        <v>346</v>
      </c>
      <c r="O83" s="10">
        <v>3</v>
      </c>
      <c r="P83" s="10">
        <v>1</v>
      </c>
      <c r="Q83" s="19">
        <v>1</v>
      </c>
      <c r="R83" s="67" t="s">
        <v>230</v>
      </c>
      <c r="S83" s="83">
        <v>1</v>
      </c>
      <c r="T83" s="83">
        <v>1</v>
      </c>
      <c r="U83" s="19">
        <v>1</v>
      </c>
      <c r="V83" s="59" t="s">
        <v>120</v>
      </c>
      <c r="W83" s="57">
        <v>1</v>
      </c>
      <c r="X83" s="5"/>
      <c r="Y83" s="25">
        <v>206</v>
      </c>
      <c r="Z83" s="25">
        <v>3</v>
      </c>
      <c r="AA83" s="25">
        <v>1</v>
      </c>
      <c r="AB83" s="19">
        <v>1</v>
      </c>
      <c r="AC83" s="39"/>
      <c r="AE83" s="9">
        <v>376</v>
      </c>
      <c r="AF83" s="9">
        <v>4</v>
      </c>
      <c r="AH83" s="93" t="s">
        <v>63</v>
      </c>
      <c r="AI83" s="89">
        <v>346</v>
      </c>
      <c r="AJ83" s="102">
        <v>3</v>
      </c>
      <c r="AK83" s="101">
        <v>1</v>
      </c>
      <c r="AL83" s="95" t="b">
        <f t="shared" si="9"/>
        <v>1</v>
      </c>
      <c r="AM83" s="95" t="b">
        <f t="shared" si="10"/>
        <v>1</v>
      </c>
    </row>
    <row r="84" spans="4:39" x14ac:dyDescent="0.25">
      <c r="D84" s="8">
        <v>80</v>
      </c>
      <c r="E84" s="48">
        <v>361</v>
      </c>
      <c r="F84" s="10">
        <v>3</v>
      </c>
      <c r="G84" s="10">
        <v>1</v>
      </c>
      <c r="H84" s="5" t="str">
        <f t="shared" si="11"/>
        <v>det_361</v>
      </c>
      <c r="I84" s="5" t="str">
        <f t="shared" si="12"/>
        <v>W:\Performance Measurement\1. Freeway\1. raw data\2010_new\data files\det_361.txt</v>
      </c>
      <c r="J84" s="5" t="str">
        <f t="shared" si="6"/>
        <v>W:\Performance Measurement\1. Freeway\1. raw data\2010_new\data files\det_361.xlsx</v>
      </c>
      <c r="K84" s="5"/>
      <c r="L84" s="47">
        <v>80</v>
      </c>
      <c r="M84" s="39" t="s">
        <v>63</v>
      </c>
      <c r="N84" s="10">
        <v>349</v>
      </c>
      <c r="O84" s="10">
        <v>3</v>
      </c>
      <c r="P84" s="10">
        <v>1</v>
      </c>
      <c r="Q84" s="19">
        <v>1</v>
      </c>
      <c r="R84" s="67" t="s">
        <v>230</v>
      </c>
      <c r="S84" s="83">
        <v>1</v>
      </c>
      <c r="T84" s="83">
        <v>1</v>
      </c>
      <c r="U84" s="19">
        <v>1</v>
      </c>
      <c r="V84" s="59" t="s">
        <v>121</v>
      </c>
      <c r="W84" s="57">
        <v>1</v>
      </c>
      <c r="X84" s="5"/>
      <c r="Y84" s="25">
        <v>209</v>
      </c>
      <c r="Z84" s="25">
        <v>3</v>
      </c>
      <c r="AA84" s="25">
        <v>1</v>
      </c>
      <c r="AB84" s="19">
        <v>1</v>
      </c>
      <c r="AC84" s="39"/>
      <c r="AE84" s="9">
        <v>39</v>
      </c>
      <c r="AF84" s="9">
        <v>3</v>
      </c>
      <c r="AH84" s="93" t="s">
        <v>63</v>
      </c>
      <c r="AI84" s="89">
        <v>349</v>
      </c>
      <c r="AJ84" s="102">
        <v>3</v>
      </c>
      <c r="AK84" s="101">
        <v>1</v>
      </c>
      <c r="AL84" s="95" t="b">
        <f t="shared" si="9"/>
        <v>1</v>
      </c>
      <c r="AM84" s="95" t="b">
        <f t="shared" si="10"/>
        <v>1</v>
      </c>
    </row>
    <row r="85" spans="4:39" x14ac:dyDescent="0.25">
      <c r="D85" s="8">
        <v>81</v>
      </c>
      <c r="E85" s="48">
        <v>364</v>
      </c>
      <c r="F85" s="10">
        <v>3</v>
      </c>
      <c r="G85" s="10">
        <v>1</v>
      </c>
      <c r="H85" s="5" t="str">
        <f t="shared" si="11"/>
        <v>det_364</v>
      </c>
      <c r="I85" s="5" t="str">
        <f t="shared" si="12"/>
        <v>W:\Performance Measurement\1. Freeway\1. raw data\2010_new\data files\det_364.txt</v>
      </c>
      <c r="J85" s="5" t="str">
        <f t="shared" si="6"/>
        <v>W:\Performance Measurement\1. Freeway\1. raw data\2010_new\data files\det_364.xlsx</v>
      </c>
      <c r="K85" s="5"/>
      <c r="L85" s="47">
        <v>81</v>
      </c>
      <c r="M85" s="39" t="s">
        <v>63</v>
      </c>
      <c r="N85" s="10">
        <v>352</v>
      </c>
      <c r="O85" s="10">
        <v>3</v>
      </c>
      <c r="P85" s="10">
        <v>1</v>
      </c>
      <c r="Q85" s="19">
        <v>1</v>
      </c>
      <c r="R85" s="67" t="s">
        <v>230</v>
      </c>
      <c r="S85" s="83">
        <v>1</v>
      </c>
      <c r="T85" s="83">
        <v>1</v>
      </c>
      <c r="U85" s="19">
        <v>1</v>
      </c>
      <c r="V85" s="59" t="s">
        <v>120</v>
      </c>
      <c r="W85" s="57">
        <v>1</v>
      </c>
      <c r="X85" s="5"/>
      <c r="Y85" s="25">
        <v>212</v>
      </c>
      <c r="Z85" s="25">
        <v>4</v>
      </c>
      <c r="AA85" s="25">
        <v>1</v>
      </c>
      <c r="AB85" s="19">
        <v>1</v>
      </c>
      <c r="AC85" s="39"/>
      <c r="AE85" s="9">
        <v>153</v>
      </c>
      <c r="AF85" s="9">
        <v>3</v>
      </c>
      <c r="AH85" s="93" t="s">
        <v>63</v>
      </c>
      <c r="AI85" s="89">
        <v>352</v>
      </c>
      <c r="AJ85" s="102">
        <v>3</v>
      </c>
      <c r="AK85" s="101">
        <v>1</v>
      </c>
      <c r="AL85" s="95" t="b">
        <f t="shared" si="9"/>
        <v>1</v>
      </c>
      <c r="AM85" s="95" t="b">
        <f t="shared" si="10"/>
        <v>1</v>
      </c>
    </row>
    <row r="86" spans="4:39" x14ac:dyDescent="0.25">
      <c r="D86" s="8">
        <v>82</v>
      </c>
      <c r="E86" s="48">
        <v>367</v>
      </c>
      <c r="F86" s="10">
        <v>3</v>
      </c>
      <c r="G86" s="10">
        <v>1</v>
      </c>
      <c r="H86" s="5" t="str">
        <f t="shared" si="11"/>
        <v>det_367</v>
      </c>
      <c r="I86" s="5" t="str">
        <f t="shared" si="12"/>
        <v>W:\Performance Measurement\1. Freeway\1. raw data\2010_new\data files\det_367.txt</v>
      </c>
      <c r="J86" s="5" t="str">
        <f t="shared" si="6"/>
        <v>W:\Performance Measurement\1. Freeway\1. raw data\2010_new\data files\det_367.xlsx</v>
      </c>
      <c r="K86" s="5"/>
      <c r="L86" s="47">
        <v>82</v>
      </c>
      <c r="M86" s="39" t="s">
        <v>63</v>
      </c>
      <c r="N86" s="10">
        <v>355</v>
      </c>
      <c r="O86" s="10">
        <v>3</v>
      </c>
      <c r="P86" s="10">
        <v>1</v>
      </c>
      <c r="Q86" s="19">
        <v>1</v>
      </c>
      <c r="R86" s="67" t="s">
        <v>230</v>
      </c>
      <c r="S86" s="83">
        <v>1</v>
      </c>
      <c r="T86" s="83">
        <v>1</v>
      </c>
      <c r="U86" s="19">
        <v>1</v>
      </c>
      <c r="V86" s="59" t="s">
        <v>122</v>
      </c>
      <c r="W86" s="57">
        <v>1</v>
      </c>
      <c r="X86" s="5"/>
      <c r="Y86" s="25">
        <v>214</v>
      </c>
      <c r="Z86" s="25">
        <v>3</v>
      </c>
      <c r="AA86" s="25">
        <v>1</v>
      </c>
      <c r="AB86" s="19">
        <v>1</v>
      </c>
      <c r="AC86" s="39"/>
      <c r="AE86" s="9">
        <v>98</v>
      </c>
      <c r="AF86" s="9">
        <v>3</v>
      </c>
      <c r="AH86" s="93" t="s">
        <v>63</v>
      </c>
      <c r="AI86" s="89">
        <v>355</v>
      </c>
      <c r="AJ86" s="102">
        <v>3</v>
      </c>
      <c r="AK86" s="101">
        <v>1</v>
      </c>
      <c r="AL86" s="95" t="b">
        <f t="shared" si="9"/>
        <v>1</v>
      </c>
      <c r="AM86" s="95" t="b">
        <f t="shared" si="10"/>
        <v>1</v>
      </c>
    </row>
    <row r="87" spans="4:39" x14ac:dyDescent="0.25">
      <c r="D87" s="8">
        <v>83</v>
      </c>
      <c r="E87" s="48">
        <v>370</v>
      </c>
      <c r="F87" s="10">
        <v>3</v>
      </c>
      <c r="G87" s="10">
        <v>1</v>
      </c>
      <c r="H87" s="5" t="str">
        <f t="shared" si="11"/>
        <v>det_370</v>
      </c>
      <c r="I87" s="5" t="str">
        <f t="shared" si="12"/>
        <v>W:\Performance Measurement\1. Freeway\1. raw data\2010_new\data files\det_370.txt</v>
      </c>
      <c r="J87" s="5" t="str">
        <f t="shared" si="6"/>
        <v>W:\Performance Measurement\1. Freeway\1. raw data\2010_new\data files\det_370.xlsx</v>
      </c>
      <c r="K87" s="5"/>
      <c r="L87" s="47">
        <v>83</v>
      </c>
      <c r="M87" s="39" t="s">
        <v>63</v>
      </c>
      <c r="N87" s="10">
        <v>357</v>
      </c>
      <c r="O87" s="10">
        <v>3</v>
      </c>
      <c r="P87" s="10">
        <v>1</v>
      </c>
      <c r="Q87" s="19">
        <v>1</v>
      </c>
      <c r="R87" s="67" t="s">
        <v>86</v>
      </c>
      <c r="S87" s="83">
        <v>1</v>
      </c>
      <c r="T87" s="83">
        <v>1</v>
      </c>
      <c r="U87" s="19">
        <v>1</v>
      </c>
      <c r="V87" s="59" t="s">
        <v>119</v>
      </c>
      <c r="W87" s="19">
        <v>1</v>
      </c>
      <c r="X87" s="5"/>
      <c r="Y87" s="25">
        <v>217</v>
      </c>
      <c r="Z87" s="25">
        <v>2</v>
      </c>
      <c r="AA87" s="25">
        <v>1</v>
      </c>
      <c r="AB87" s="19">
        <v>1</v>
      </c>
      <c r="AC87" s="39"/>
      <c r="AE87" s="9">
        <v>104</v>
      </c>
      <c r="AF87" s="9">
        <v>3</v>
      </c>
      <c r="AH87" s="93" t="s">
        <v>63</v>
      </c>
      <c r="AI87" s="89">
        <v>357</v>
      </c>
      <c r="AJ87" s="102">
        <v>3</v>
      </c>
      <c r="AK87" s="101">
        <v>1</v>
      </c>
      <c r="AL87" s="95" t="b">
        <f t="shared" si="9"/>
        <v>1</v>
      </c>
      <c r="AM87" s="95" t="b">
        <f t="shared" si="10"/>
        <v>1</v>
      </c>
    </row>
    <row r="88" spans="4:39" x14ac:dyDescent="0.25">
      <c r="D88" s="8">
        <v>84</v>
      </c>
      <c r="E88" s="48">
        <v>373</v>
      </c>
      <c r="F88" s="10">
        <v>3</v>
      </c>
      <c r="G88" s="10">
        <v>1</v>
      </c>
      <c r="H88" s="5" t="str">
        <f t="shared" si="11"/>
        <v>det_373</v>
      </c>
      <c r="I88" s="5" t="str">
        <f t="shared" si="12"/>
        <v>W:\Performance Measurement\1. Freeway\1. raw data\2010_new\data files\det_373.txt</v>
      </c>
      <c r="J88" s="5" t="str">
        <f t="shared" si="6"/>
        <v>W:\Performance Measurement\1. Freeway\1. raw data\2010_new\data files\det_373.xlsx</v>
      </c>
      <c r="K88" s="5"/>
      <c r="L88" s="47">
        <v>84</v>
      </c>
      <c r="M88" s="39" t="s">
        <v>63</v>
      </c>
      <c r="N88" s="10">
        <v>358</v>
      </c>
      <c r="O88" s="10">
        <v>3</v>
      </c>
      <c r="P88" s="10">
        <v>1</v>
      </c>
      <c r="Q88" s="19">
        <v>1</v>
      </c>
      <c r="R88" s="67" t="s">
        <v>117</v>
      </c>
      <c r="S88" s="83">
        <v>1</v>
      </c>
      <c r="T88" s="83">
        <v>1</v>
      </c>
      <c r="U88" s="19">
        <v>1</v>
      </c>
      <c r="V88" s="59" t="s">
        <v>87</v>
      </c>
      <c r="W88" s="19">
        <v>1</v>
      </c>
      <c r="X88" s="5"/>
      <c r="Y88" s="25">
        <v>220</v>
      </c>
      <c r="Z88" s="25">
        <v>3</v>
      </c>
      <c r="AA88" s="25">
        <v>1</v>
      </c>
      <c r="AB88" s="19">
        <v>1</v>
      </c>
      <c r="AC88" s="39"/>
      <c r="AE88" s="9">
        <v>155</v>
      </c>
      <c r="AF88" s="9">
        <v>3</v>
      </c>
      <c r="AH88" s="93" t="s">
        <v>63</v>
      </c>
      <c r="AI88" s="89">
        <v>358</v>
      </c>
      <c r="AJ88" s="102">
        <v>3</v>
      </c>
      <c r="AK88" s="101">
        <v>1</v>
      </c>
      <c r="AL88" s="95" t="b">
        <f t="shared" si="9"/>
        <v>1</v>
      </c>
      <c r="AM88" s="95" t="b">
        <f t="shared" si="10"/>
        <v>1</v>
      </c>
    </row>
    <row r="89" spans="4:39" x14ac:dyDescent="0.25">
      <c r="D89" s="8">
        <v>85</v>
      </c>
      <c r="E89" s="48">
        <v>376</v>
      </c>
      <c r="F89" s="10">
        <v>3</v>
      </c>
      <c r="G89" s="10">
        <v>1</v>
      </c>
      <c r="H89" s="5" t="str">
        <f t="shared" si="11"/>
        <v>det_376</v>
      </c>
      <c r="I89" s="5" t="str">
        <f t="shared" si="12"/>
        <v>W:\Performance Measurement\1. Freeway\1. raw data\2010_new\data files\det_376.txt</v>
      </c>
      <c r="J89" s="5" t="str">
        <f t="shared" si="6"/>
        <v>W:\Performance Measurement\1. Freeway\1. raw data\2010_new\data files\det_376.xlsx</v>
      </c>
      <c r="K89" s="5"/>
      <c r="L89" s="47">
        <v>85</v>
      </c>
      <c r="M89" s="39" t="s">
        <v>63</v>
      </c>
      <c r="N89" s="10">
        <v>361</v>
      </c>
      <c r="O89" s="10">
        <v>3</v>
      </c>
      <c r="P89" s="10">
        <v>1</v>
      </c>
      <c r="Q89" s="19">
        <v>1</v>
      </c>
      <c r="R89" s="67" t="s">
        <v>231</v>
      </c>
      <c r="S89" s="83">
        <v>1</v>
      </c>
      <c r="T89" s="83">
        <v>1</v>
      </c>
      <c r="U89" s="19">
        <v>1</v>
      </c>
      <c r="V89" s="59" t="s">
        <v>123</v>
      </c>
      <c r="W89" s="19">
        <v>1</v>
      </c>
      <c r="X89" s="5"/>
      <c r="Y89" s="25">
        <v>223</v>
      </c>
      <c r="Z89" s="25">
        <v>4</v>
      </c>
      <c r="AA89" s="25">
        <v>1</v>
      </c>
      <c r="AB89" s="19">
        <v>1</v>
      </c>
      <c r="AC89" s="39"/>
      <c r="AE89" s="9">
        <v>156</v>
      </c>
      <c r="AF89" s="9">
        <v>3</v>
      </c>
      <c r="AH89" s="93" t="s">
        <v>63</v>
      </c>
      <c r="AI89" s="89">
        <v>361</v>
      </c>
      <c r="AJ89" s="102">
        <v>3</v>
      </c>
      <c r="AK89" s="101">
        <v>1</v>
      </c>
      <c r="AL89" s="95" t="b">
        <f t="shared" si="9"/>
        <v>1</v>
      </c>
      <c r="AM89" s="95" t="b">
        <f t="shared" si="10"/>
        <v>1</v>
      </c>
    </row>
    <row r="90" spans="4:39" x14ac:dyDescent="0.25">
      <c r="D90" s="8">
        <v>86</v>
      </c>
      <c r="E90" s="48">
        <v>128</v>
      </c>
      <c r="F90" s="10">
        <v>4</v>
      </c>
      <c r="G90" s="10">
        <v>1</v>
      </c>
      <c r="H90" s="5" t="str">
        <f t="shared" si="11"/>
        <v>det_128</v>
      </c>
      <c r="I90" s="5" t="str">
        <f t="shared" si="12"/>
        <v>W:\Performance Measurement\1. Freeway\1. raw data\2010_new\data files\det_128.txt</v>
      </c>
      <c r="J90" s="5" t="str">
        <f t="shared" si="6"/>
        <v>W:\Performance Measurement\1. Freeway\1. raw data\2010_new\data files\det_128.xlsx</v>
      </c>
      <c r="K90" s="5"/>
      <c r="L90" s="47">
        <v>86</v>
      </c>
      <c r="M90" s="39" t="s">
        <v>63</v>
      </c>
      <c r="N90" s="10">
        <v>364</v>
      </c>
      <c r="O90" s="10">
        <v>3</v>
      </c>
      <c r="P90" s="10">
        <v>1</v>
      </c>
      <c r="Q90" s="19">
        <v>1</v>
      </c>
      <c r="R90" s="67" t="s">
        <v>232</v>
      </c>
      <c r="S90" s="83">
        <v>0</v>
      </c>
      <c r="T90" s="83" t="s">
        <v>226</v>
      </c>
      <c r="U90" s="19">
        <v>1</v>
      </c>
      <c r="V90" s="59" t="s">
        <v>124</v>
      </c>
      <c r="W90" s="56" t="s">
        <v>42</v>
      </c>
      <c r="X90" s="5"/>
      <c r="Y90" s="25">
        <v>225</v>
      </c>
      <c r="Z90" s="25">
        <v>3</v>
      </c>
      <c r="AA90" s="25">
        <v>1</v>
      </c>
      <c r="AB90" s="19">
        <v>1</v>
      </c>
      <c r="AC90" s="39"/>
      <c r="AE90" s="9">
        <v>121</v>
      </c>
      <c r="AF90" s="9">
        <v>3</v>
      </c>
      <c r="AH90" s="93" t="s">
        <v>63</v>
      </c>
      <c r="AI90" s="89">
        <v>364</v>
      </c>
      <c r="AJ90" s="102">
        <v>3</v>
      </c>
      <c r="AK90" s="101">
        <v>1</v>
      </c>
      <c r="AL90" s="95" t="b">
        <f t="shared" si="9"/>
        <v>1</v>
      </c>
      <c r="AM90" s="95" t="b">
        <f t="shared" si="10"/>
        <v>1</v>
      </c>
    </row>
    <row r="91" spans="4:39" x14ac:dyDescent="0.25">
      <c r="D91" s="8">
        <v>87</v>
      </c>
      <c r="E91" s="48">
        <v>163</v>
      </c>
      <c r="F91" s="10">
        <v>3</v>
      </c>
      <c r="G91" s="10">
        <v>0</v>
      </c>
      <c r="H91" s="5" t="str">
        <f t="shared" si="11"/>
        <v>det_163</v>
      </c>
      <c r="I91" s="5" t="str">
        <f t="shared" si="12"/>
        <v>W:\Performance Measurement\1. Freeway\1. raw data\2010_new\data files\det_163.txt</v>
      </c>
      <c r="J91" s="5" t="str">
        <f t="shared" si="6"/>
        <v>W:\Performance Measurement\1. Freeway\1. raw data\2010_new\data files\det_163.xlsx</v>
      </c>
      <c r="K91" s="5"/>
      <c r="L91" s="47">
        <v>87</v>
      </c>
      <c r="M91" s="39" t="s">
        <v>63</v>
      </c>
      <c r="N91" s="10">
        <v>367</v>
      </c>
      <c r="O91" s="10">
        <v>3</v>
      </c>
      <c r="P91" s="10">
        <v>1</v>
      </c>
      <c r="Q91" s="19">
        <v>1</v>
      </c>
      <c r="R91" s="67" t="s">
        <v>233</v>
      </c>
      <c r="S91" s="83">
        <v>1</v>
      </c>
      <c r="T91" s="83">
        <v>1</v>
      </c>
      <c r="U91" s="19">
        <v>1</v>
      </c>
      <c r="V91" s="59" t="s">
        <v>125</v>
      </c>
      <c r="W91" s="19">
        <v>1</v>
      </c>
      <c r="X91" s="5"/>
      <c r="Y91" s="25">
        <v>229</v>
      </c>
      <c r="Z91" s="25">
        <v>1</v>
      </c>
      <c r="AA91" s="25">
        <v>1</v>
      </c>
      <c r="AB91" s="19">
        <v>1</v>
      </c>
      <c r="AC91" s="39"/>
      <c r="AE91" s="9">
        <v>123</v>
      </c>
      <c r="AF91" s="9">
        <v>3</v>
      </c>
      <c r="AH91" s="93" t="s">
        <v>63</v>
      </c>
      <c r="AI91" s="89">
        <v>367</v>
      </c>
      <c r="AJ91" s="102">
        <v>3</v>
      </c>
      <c r="AK91" s="101">
        <v>1</v>
      </c>
      <c r="AL91" s="95" t="b">
        <f t="shared" si="9"/>
        <v>1</v>
      </c>
      <c r="AM91" s="95" t="b">
        <f t="shared" si="10"/>
        <v>1</v>
      </c>
    </row>
    <row r="92" spans="4:39" x14ac:dyDescent="0.25">
      <c r="D92" s="8">
        <v>88</v>
      </c>
      <c r="E92" s="48">
        <v>203</v>
      </c>
      <c r="F92" s="10">
        <v>4</v>
      </c>
      <c r="G92" s="10">
        <v>1</v>
      </c>
      <c r="H92" s="5" t="str">
        <f t="shared" si="11"/>
        <v>det_203</v>
      </c>
      <c r="I92" s="5" t="str">
        <f t="shared" si="12"/>
        <v>W:\Performance Measurement\1. Freeway\1. raw data\2010_new\data files\det_203.txt</v>
      </c>
      <c r="J92" s="5" t="str">
        <f t="shared" si="6"/>
        <v>W:\Performance Measurement\1. Freeway\1. raw data\2010_new\data files\det_203.xlsx</v>
      </c>
      <c r="K92" s="5"/>
      <c r="L92" s="47">
        <v>88</v>
      </c>
      <c r="M92" s="39" t="s">
        <v>63</v>
      </c>
      <c r="N92" s="10">
        <v>370</v>
      </c>
      <c r="O92" s="10">
        <v>3</v>
      </c>
      <c r="P92" s="10">
        <v>1</v>
      </c>
      <c r="Q92" s="19">
        <v>1</v>
      </c>
      <c r="R92" s="67" t="s">
        <v>234</v>
      </c>
      <c r="S92" s="83">
        <v>1</v>
      </c>
      <c r="T92" s="83">
        <v>1</v>
      </c>
      <c r="U92" s="19">
        <v>1</v>
      </c>
      <c r="V92" s="59" t="s">
        <v>119</v>
      </c>
      <c r="W92" s="19">
        <v>1</v>
      </c>
      <c r="X92" s="5"/>
      <c r="Y92" s="25">
        <v>230</v>
      </c>
      <c r="Z92" s="25">
        <v>4</v>
      </c>
      <c r="AA92" s="25">
        <v>1</v>
      </c>
      <c r="AB92" s="20" t="s">
        <v>43</v>
      </c>
      <c r="AC92" s="39"/>
      <c r="AE92" s="9">
        <v>118</v>
      </c>
      <c r="AF92" s="9">
        <v>3</v>
      </c>
      <c r="AH92" s="93" t="s">
        <v>63</v>
      </c>
      <c r="AI92" s="89">
        <v>370</v>
      </c>
      <c r="AJ92" s="102">
        <v>3</v>
      </c>
      <c r="AK92" s="101">
        <v>1</v>
      </c>
      <c r="AL92" s="95" t="b">
        <f t="shared" si="9"/>
        <v>1</v>
      </c>
      <c r="AM92" s="95" t="b">
        <f t="shared" si="10"/>
        <v>1</v>
      </c>
    </row>
    <row r="93" spans="4:39" x14ac:dyDescent="0.25">
      <c r="D93" s="8">
        <v>89</v>
      </c>
      <c r="E93" s="48">
        <v>206</v>
      </c>
      <c r="F93" s="10">
        <v>3</v>
      </c>
      <c r="G93" s="10">
        <v>1</v>
      </c>
      <c r="H93" s="5" t="str">
        <f t="shared" si="11"/>
        <v>det_206</v>
      </c>
      <c r="I93" s="5" t="str">
        <f t="shared" si="12"/>
        <v>W:\Performance Measurement\1. Freeway\1. raw data\2010_new\data files\det_206.txt</v>
      </c>
      <c r="J93" s="5" t="str">
        <f t="shared" si="6"/>
        <v>W:\Performance Measurement\1. Freeway\1. raw data\2010_new\data files\det_206.xlsx</v>
      </c>
      <c r="K93" s="5"/>
      <c r="L93" s="47">
        <v>89</v>
      </c>
      <c r="M93" s="39" t="s">
        <v>63</v>
      </c>
      <c r="N93" s="10">
        <v>373</v>
      </c>
      <c r="O93" s="10">
        <v>3</v>
      </c>
      <c r="P93" s="10">
        <v>1</v>
      </c>
      <c r="Q93" s="19">
        <v>1</v>
      </c>
      <c r="R93" s="67" t="s">
        <v>234</v>
      </c>
      <c r="S93" s="83">
        <v>1</v>
      </c>
      <c r="T93" s="83">
        <v>1</v>
      </c>
      <c r="U93" s="19">
        <v>1</v>
      </c>
      <c r="V93" s="59" t="s">
        <v>119</v>
      </c>
      <c r="W93" s="19">
        <v>1</v>
      </c>
      <c r="X93" s="5"/>
      <c r="Y93" s="25">
        <v>233</v>
      </c>
      <c r="Z93" s="25">
        <v>4</v>
      </c>
      <c r="AA93" s="25">
        <v>1</v>
      </c>
      <c r="AB93" s="20" t="s">
        <v>43</v>
      </c>
      <c r="AC93" s="39"/>
      <c r="AE93" s="9">
        <v>114</v>
      </c>
      <c r="AF93" s="9">
        <v>3</v>
      </c>
      <c r="AH93" s="93" t="s">
        <v>63</v>
      </c>
      <c r="AI93" s="89">
        <v>373</v>
      </c>
      <c r="AJ93" s="102">
        <v>3</v>
      </c>
      <c r="AK93" s="101">
        <v>1</v>
      </c>
      <c r="AL93" s="95" t="b">
        <f t="shared" si="9"/>
        <v>1</v>
      </c>
      <c r="AM93" s="95" t="b">
        <f t="shared" si="10"/>
        <v>1</v>
      </c>
    </row>
    <row r="94" spans="4:39" x14ac:dyDescent="0.25">
      <c r="D94" s="8">
        <v>90</v>
      </c>
      <c r="E94" s="48">
        <v>209</v>
      </c>
      <c r="F94" s="10">
        <v>3</v>
      </c>
      <c r="G94" s="10">
        <v>1</v>
      </c>
      <c r="H94" s="5" t="str">
        <f t="shared" si="11"/>
        <v>det_209</v>
      </c>
      <c r="I94" s="5" t="str">
        <f t="shared" si="12"/>
        <v>W:\Performance Measurement\1. Freeway\1. raw data\2010_new\data files\det_209.txt</v>
      </c>
      <c r="J94" s="5" t="str">
        <f t="shared" si="6"/>
        <v>W:\Performance Measurement\1. Freeway\1. raw data\2010_new\data files\det_209.xlsx</v>
      </c>
      <c r="K94" s="5"/>
      <c r="L94" s="47">
        <v>90</v>
      </c>
      <c r="M94" s="39" t="s">
        <v>63</v>
      </c>
      <c r="N94" s="10">
        <v>376</v>
      </c>
      <c r="O94" s="10">
        <v>3</v>
      </c>
      <c r="P94" s="10">
        <v>1</v>
      </c>
      <c r="Q94" s="19">
        <v>1</v>
      </c>
      <c r="R94" s="67" t="s">
        <v>234</v>
      </c>
      <c r="S94" s="83">
        <v>1</v>
      </c>
      <c r="T94" s="83">
        <v>1</v>
      </c>
      <c r="U94" s="19">
        <v>1</v>
      </c>
      <c r="V94" s="59" t="s">
        <v>119</v>
      </c>
      <c r="W94" s="19">
        <v>1</v>
      </c>
      <c r="X94" s="5"/>
      <c r="Y94" s="25">
        <v>235</v>
      </c>
      <c r="Z94" s="25">
        <v>5</v>
      </c>
      <c r="AA94" s="25">
        <v>1</v>
      </c>
      <c r="AB94" s="20" t="s">
        <v>45</v>
      </c>
      <c r="AC94" s="39"/>
      <c r="AE94" s="9">
        <v>103</v>
      </c>
      <c r="AF94" s="9">
        <v>3</v>
      </c>
      <c r="AH94" s="93" t="s">
        <v>63</v>
      </c>
      <c r="AI94" s="89">
        <v>376</v>
      </c>
      <c r="AJ94" s="102">
        <v>3</v>
      </c>
      <c r="AK94" s="101">
        <v>1</v>
      </c>
      <c r="AL94" s="95" t="b">
        <f t="shared" si="9"/>
        <v>1</v>
      </c>
      <c r="AM94" s="95" t="b">
        <f t="shared" si="10"/>
        <v>1</v>
      </c>
    </row>
    <row r="95" spans="4:39" x14ac:dyDescent="0.25">
      <c r="D95" s="8">
        <v>91</v>
      </c>
      <c r="E95" s="48">
        <v>212</v>
      </c>
      <c r="F95" s="10">
        <v>4</v>
      </c>
      <c r="G95" s="10">
        <v>1</v>
      </c>
      <c r="H95" s="5" t="str">
        <f t="shared" si="11"/>
        <v>det_212</v>
      </c>
      <c r="I95" s="5" t="str">
        <f t="shared" si="12"/>
        <v>W:\Performance Measurement\1. Freeway\1. raw data\2010_new\data files\det_212.txt</v>
      </c>
      <c r="J95" s="5" t="str">
        <f t="shared" si="6"/>
        <v>W:\Performance Measurement\1. Freeway\1. raw data\2010_new\data files\det_212.xlsx</v>
      </c>
      <c r="K95" s="5"/>
      <c r="L95" s="47">
        <v>91</v>
      </c>
      <c r="M95" s="39" t="s">
        <v>63</v>
      </c>
      <c r="N95" s="10">
        <v>128</v>
      </c>
      <c r="O95" s="10">
        <v>4</v>
      </c>
      <c r="P95" s="10">
        <v>1</v>
      </c>
      <c r="Q95" s="19">
        <v>1</v>
      </c>
      <c r="R95" s="67" t="s">
        <v>235</v>
      </c>
      <c r="S95" s="83">
        <v>1</v>
      </c>
      <c r="T95" s="83">
        <v>0</v>
      </c>
      <c r="U95" s="19">
        <v>1</v>
      </c>
      <c r="V95" s="59" t="s">
        <v>126</v>
      </c>
      <c r="W95" s="56" t="s">
        <v>42</v>
      </c>
      <c r="X95" s="5"/>
      <c r="Y95" s="25">
        <v>237</v>
      </c>
      <c r="Z95" s="25">
        <v>4</v>
      </c>
      <c r="AA95" s="25">
        <v>1</v>
      </c>
      <c r="AB95" s="20" t="s">
        <v>43</v>
      </c>
      <c r="AC95" s="39"/>
      <c r="AE95" s="9">
        <v>97</v>
      </c>
      <c r="AF95" s="9">
        <v>3</v>
      </c>
      <c r="AH95" s="93" t="s">
        <v>63</v>
      </c>
      <c r="AI95" s="89">
        <v>128</v>
      </c>
      <c r="AJ95" s="102">
        <v>4</v>
      </c>
      <c r="AK95" s="101">
        <v>1</v>
      </c>
      <c r="AL95" s="95" t="b">
        <f t="shared" si="9"/>
        <v>1</v>
      </c>
      <c r="AM95" s="95" t="b">
        <f t="shared" si="10"/>
        <v>1</v>
      </c>
    </row>
    <row r="96" spans="4:39" x14ac:dyDescent="0.25">
      <c r="D96" s="8">
        <v>92</v>
      </c>
      <c r="E96" s="48">
        <v>214</v>
      </c>
      <c r="F96" s="10">
        <v>3</v>
      </c>
      <c r="G96" s="10">
        <v>1</v>
      </c>
      <c r="H96" s="5" t="str">
        <f t="shared" si="11"/>
        <v>det_214</v>
      </c>
      <c r="I96" s="5" t="str">
        <f t="shared" si="12"/>
        <v>W:\Performance Measurement\1. Freeway\1. raw data\2010_new\data files\det_214.txt</v>
      </c>
      <c r="J96" s="5" t="str">
        <f t="shared" si="6"/>
        <v>W:\Performance Measurement\1. Freeway\1. raw data\2010_new\data files\det_214.xlsx</v>
      </c>
      <c r="K96" s="5"/>
      <c r="L96" s="47">
        <v>92</v>
      </c>
      <c r="M96" s="39" t="s">
        <v>64</v>
      </c>
      <c r="N96" s="10">
        <v>163</v>
      </c>
      <c r="O96" s="10">
        <v>3</v>
      </c>
      <c r="P96" s="10">
        <v>0</v>
      </c>
      <c r="Q96" s="19">
        <v>0</v>
      </c>
      <c r="R96" s="67" t="s">
        <v>236</v>
      </c>
      <c r="S96" s="83">
        <v>0</v>
      </c>
      <c r="T96" s="83" t="s">
        <v>226</v>
      </c>
      <c r="U96" s="19">
        <v>13</v>
      </c>
      <c r="V96" s="60" t="s">
        <v>127</v>
      </c>
      <c r="W96" s="56">
        <v>0</v>
      </c>
      <c r="X96" s="5"/>
      <c r="Y96" s="25">
        <v>239</v>
      </c>
      <c r="Z96" s="25">
        <v>4</v>
      </c>
      <c r="AA96" s="25">
        <v>1</v>
      </c>
      <c r="AB96" s="20" t="s">
        <v>43</v>
      </c>
      <c r="AC96" s="39"/>
      <c r="AE96" s="9">
        <v>399</v>
      </c>
      <c r="AF96" s="9">
        <v>5</v>
      </c>
      <c r="AH96" s="93" t="s">
        <v>64</v>
      </c>
      <c r="AI96" s="89">
        <v>163</v>
      </c>
      <c r="AJ96" s="102">
        <v>0</v>
      </c>
      <c r="AK96" s="101">
        <v>0</v>
      </c>
      <c r="AL96" s="95" t="b">
        <f t="shared" si="9"/>
        <v>0</v>
      </c>
      <c r="AM96" s="95" t="b">
        <f t="shared" si="10"/>
        <v>1</v>
      </c>
    </row>
    <row r="97" spans="4:39" x14ac:dyDescent="0.25">
      <c r="D97" s="8">
        <v>93</v>
      </c>
      <c r="E97" s="48">
        <v>201</v>
      </c>
      <c r="F97" s="10">
        <v>3</v>
      </c>
      <c r="G97" s="10">
        <v>1</v>
      </c>
      <c r="H97" s="5" t="str">
        <f t="shared" si="11"/>
        <v>det_201</v>
      </c>
      <c r="I97" s="5" t="str">
        <f t="shared" si="12"/>
        <v>W:\Performance Measurement\1. Freeway\1. raw data\2010_new\data files\det_201.txt</v>
      </c>
      <c r="J97" s="5" t="str">
        <f t="shared" si="6"/>
        <v>W:\Performance Measurement\1. Freeway\1. raw data\2010_new\data files\det_201.xlsx</v>
      </c>
      <c r="K97" s="5"/>
      <c r="L97" s="47">
        <v>93</v>
      </c>
      <c r="M97" s="39" t="s">
        <v>64</v>
      </c>
      <c r="N97" s="10">
        <v>203</v>
      </c>
      <c r="O97" s="10">
        <v>4</v>
      </c>
      <c r="P97" s="10">
        <v>1</v>
      </c>
      <c r="Q97" s="19">
        <v>1</v>
      </c>
      <c r="R97" s="67" t="s">
        <v>237</v>
      </c>
      <c r="S97" s="83">
        <v>1</v>
      </c>
      <c r="T97" s="83">
        <v>1</v>
      </c>
      <c r="U97" s="19">
        <v>1</v>
      </c>
      <c r="V97" s="61" t="s">
        <v>117</v>
      </c>
      <c r="W97" s="19">
        <v>1</v>
      </c>
      <c r="X97" s="5"/>
      <c r="Y97" s="25">
        <v>241</v>
      </c>
      <c r="Z97" s="25">
        <v>4</v>
      </c>
      <c r="AA97" s="25">
        <v>1</v>
      </c>
      <c r="AB97" s="20" t="s">
        <v>43</v>
      </c>
      <c r="AC97" s="39"/>
      <c r="AE97" s="9">
        <v>401</v>
      </c>
      <c r="AF97" s="9">
        <v>5</v>
      </c>
      <c r="AH97" s="93" t="s">
        <v>64</v>
      </c>
      <c r="AI97" s="89">
        <v>203</v>
      </c>
      <c r="AJ97" s="102">
        <v>4</v>
      </c>
      <c r="AK97" s="101">
        <v>1</v>
      </c>
      <c r="AL97" s="95" t="b">
        <f t="shared" si="9"/>
        <v>1</v>
      </c>
      <c r="AM97" s="95" t="b">
        <f t="shared" si="10"/>
        <v>1</v>
      </c>
    </row>
    <row r="98" spans="4:39" x14ac:dyDescent="0.25">
      <c r="D98" s="8">
        <v>94</v>
      </c>
      <c r="E98" s="48">
        <v>198</v>
      </c>
      <c r="F98" s="10">
        <v>3</v>
      </c>
      <c r="G98" s="10">
        <v>1</v>
      </c>
      <c r="H98" s="5" t="str">
        <f t="shared" si="11"/>
        <v>det_198</v>
      </c>
      <c r="I98" s="5" t="str">
        <f t="shared" si="12"/>
        <v>W:\Performance Measurement\1. Freeway\1. raw data\2010_new\data files\det_198.txt</v>
      </c>
      <c r="J98" s="5" t="str">
        <f t="shared" si="6"/>
        <v>W:\Performance Measurement\1. Freeway\1. raw data\2010_new\data files\det_198.xlsx</v>
      </c>
      <c r="K98" s="5"/>
      <c r="L98" s="47">
        <v>94</v>
      </c>
      <c r="M98" s="39" t="s">
        <v>64</v>
      </c>
      <c r="N98" s="10">
        <v>206</v>
      </c>
      <c r="O98" s="10">
        <v>3</v>
      </c>
      <c r="P98" s="10">
        <v>1</v>
      </c>
      <c r="Q98" s="19">
        <v>1</v>
      </c>
      <c r="R98" s="67" t="s">
        <v>237</v>
      </c>
      <c r="S98" s="83">
        <v>1</v>
      </c>
      <c r="T98" s="83">
        <v>1</v>
      </c>
      <c r="U98" s="19">
        <v>1</v>
      </c>
      <c r="V98" s="61" t="s">
        <v>128</v>
      </c>
      <c r="W98" s="19">
        <v>1</v>
      </c>
      <c r="X98" s="5"/>
      <c r="Y98" s="25">
        <v>243</v>
      </c>
      <c r="Z98" s="25">
        <v>4</v>
      </c>
      <c r="AA98" s="25">
        <v>1</v>
      </c>
      <c r="AB98" s="20" t="s">
        <v>43</v>
      </c>
      <c r="AC98" s="39"/>
      <c r="AE98" s="9">
        <v>403</v>
      </c>
      <c r="AF98" s="9">
        <v>4</v>
      </c>
      <c r="AH98" s="93" t="s">
        <v>64</v>
      </c>
      <c r="AI98" s="89">
        <v>206</v>
      </c>
      <c r="AJ98" s="102">
        <v>3</v>
      </c>
      <c r="AK98" s="101">
        <v>1</v>
      </c>
      <c r="AL98" s="95" t="b">
        <f t="shared" si="9"/>
        <v>1</v>
      </c>
      <c r="AM98" s="95" t="b">
        <f t="shared" si="10"/>
        <v>1</v>
      </c>
    </row>
    <row r="99" spans="4:39" x14ac:dyDescent="0.25">
      <c r="D99" s="8">
        <v>95</v>
      </c>
      <c r="E99" s="48">
        <v>195</v>
      </c>
      <c r="F99" s="10">
        <v>3</v>
      </c>
      <c r="G99" s="10">
        <v>1</v>
      </c>
      <c r="H99" s="5" t="str">
        <f t="shared" si="11"/>
        <v>det_195</v>
      </c>
      <c r="I99" s="5" t="str">
        <f t="shared" si="12"/>
        <v>W:\Performance Measurement\1. Freeway\1. raw data\2010_new\data files\det_195.txt</v>
      </c>
      <c r="J99" s="5" t="str">
        <f t="shared" si="6"/>
        <v>W:\Performance Measurement\1. Freeway\1. raw data\2010_new\data files\det_195.xlsx</v>
      </c>
      <c r="K99" s="5"/>
      <c r="L99" s="47">
        <v>95</v>
      </c>
      <c r="M99" s="39" t="s">
        <v>64</v>
      </c>
      <c r="N99" s="10">
        <v>209</v>
      </c>
      <c r="O99" s="10">
        <v>3</v>
      </c>
      <c r="P99" s="10">
        <v>1</v>
      </c>
      <c r="Q99" s="19">
        <v>1</v>
      </c>
      <c r="R99" s="67" t="s">
        <v>237</v>
      </c>
      <c r="S99" s="83">
        <v>1</v>
      </c>
      <c r="T99" s="83">
        <v>1</v>
      </c>
      <c r="U99" s="19">
        <v>1</v>
      </c>
      <c r="V99" s="59" t="s">
        <v>129</v>
      </c>
      <c r="W99" s="19">
        <v>1</v>
      </c>
      <c r="X99" s="5"/>
      <c r="Y99" s="25">
        <v>245</v>
      </c>
      <c r="Z99" s="25">
        <v>5</v>
      </c>
      <c r="AA99" s="25">
        <v>1</v>
      </c>
      <c r="AB99" s="20" t="s">
        <v>45</v>
      </c>
      <c r="AC99" s="39"/>
      <c r="AE99" s="9">
        <v>406</v>
      </c>
      <c r="AF99" s="9">
        <v>4</v>
      </c>
      <c r="AH99" s="93" t="s">
        <v>64</v>
      </c>
      <c r="AI99" s="89">
        <v>209</v>
      </c>
      <c r="AJ99" s="102">
        <v>3</v>
      </c>
      <c r="AK99" s="101">
        <v>1</v>
      </c>
      <c r="AL99" s="95" t="b">
        <f t="shared" si="9"/>
        <v>1</v>
      </c>
      <c r="AM99" s="95" t="b">
        <f t="shared" si="10"/>
        <v>1</v>
      </c>
    </row>
    <row r="100" spans="4:39" x14ac:dyDescent="0.25">
      <c r="D100" s="8">
        <v>96</v>
      </c>
      <c r="E100" s="48">
        <v>193</v>
      </c>
      <c r="F100" s="10">
        <v>3</v>
      </c>
      <c r="G100" s="10">
        <v>1</v>
      </c>
      <c r="H100" s="5" t="str">
        <f t="shared" si="11"/>
        <v>det_193</v>
      </c>
      <c r="I100" s="5" t="str">
        <f t="shared" si="12"/>
        <v>W:\Performance Measurement\1. Freeway\1. raw data\2010_new\data files\det_193.txt</v>
      </c>
      <c r="J100" s="5" t="str">
        <f t="shared" si="6"/>
        <v>W:\Performance Measurement\1. Freeway\1. raw data\2010_new\data files\det_193.xlsx</v>
      </c>
      <c r="K100" s="5"/>
      <c r="L100" s="47">
        <v>96</v>
      </c>
      <c r="M100" s="39" t="s">
        <v>64</v>
      </c>
      <c r="N100" s="10">
        <v>212</v>
      </c>
      <c r="O100" s="10">
        <v>4</v>
      </c>
      <c r="P100" s="10">
        <v>1</v>
      </c>
      <c r="Q100" s="19">
        <v>14</v>
      </c>
      <c r="R100" s="67" t="s">
        <v>254</v>
      </c>
      <c r="S100" s="83">
        <v>1</v>
      </c>
      <c r="T100" s="83">
        <v>0</v>
      </c>
      <c r="U100" s="19">
        <v>1</v>
      </c>
      <c r="V100" s="59" t="s">
        <v>130</v>
      </c>
      <c r="W100" s="56">
        <v>0</v>
      </c>
      <c r="X100" s="5"/>
      <c r="Y100" s="25">
        <v>246</v>
      </c>
      <c r="Z100" s="25">
        <v>5</v>
      </c>
      <c r="AA100" s="25">
        <v>1</v>
      </c>
      <c r="AB100" s="20" t="s">
        <v>45</v>
      </c>
      <c r="AC100" s="39"/>
      <c r="AE100" s="9">
        <v>420</v>
      </c>
      <c r="AF100" s="9">
        <v>5</v>
      </c>
      <c r="AH100" s="93" t="s">
        <v>64</v>
      </c>
      <c r="AI100" s="89">
        <v>212</v>
      </c>
      <c r="AJ100" s="102">
        <v>4</v>
      </c>
      <c r="AK100" s="101">
        <v>1</v>
      </c>
      <c r="AL100" s="95" t="b">
        <f t="shared" si="9"/>
        <v>1</v>
      </c>
      <c r="AM100" s="95" t="b">
        <f t="shared" si="10"/>
        <v>1</v>
      </c>
    </row>
    <row r="101" spans="4:39" x14ac:dyDescent="0.25">
      <c r="D101" s="8">
        <v>97</v>
      </c>
      <c r="E101" s="48">
        <v>190</v>
      </c>
      <c r="F101" s="10">
        <v>3</v>
      </c>
      <c r="G101" s="10">
        <v>1</v>
      </c>
      <c r="H101" s="5" t="str">
        <f t="shared" ref="H101:H164" si="13">"det_"&amp;E101&amp;""</f>
        <v>det_190</v>
      </c>
      <c r="I101" s="5" t="str">
        <f t="shared" si="12"/>
        <v>W:\Performance Measurement\1. Freeway\1. raw data\2010_new\data files\det_190.txt</v>
      </c>
      <c r="J101" s="5" t="str">
        <f t="shared" ref="J101:J164" si="14">$B$5&amp;"\"&amp;H101&amp;".xlsx"</f>
        <v>W:\Performance Measurement\1. Freeway\1. raw data\2010_new\data files\det_190.xlsx</v>
      </c>
      <c r="K101" s="5"/>
      <c r="L101" s="47">
        <v>97</v>
      </c>
      <c r="M101" s="39" t="s">
        <v>64</v>
      </c>
      <c r="N101" s="10">
        <v>214</v>
      </c>
      <c r="O101" s="10">
        <v>3</v>
      </c>
      <c r="P101" s="10">
        <v>1</v>
      </c>
      <c r="Q101" s="19">
        <v>1</v>
      </c>
      <c r="R101" s="67" t="s">
        <v>237</v>
      </c>
      <c r="S101" s="83">
        <v>1</v>
      </c>
      <c r="T101" s="83">
        <v>1</v>
      </c>
      <c r="U101" s="19">
        <v>1</v>
      </c>
      <c r="V101" s="59" t="s">
        <v>117</v>
      </c>
      <c r="W101" s="57">
        <v>1</v>
      </c>
      <c r="X101" s="5"/>
      <c r="Y101" s="25">
        <v>248</v>
      </c>
      <c r="Z101" s="25">
        <v>5</v>
      </c>
      <c r="AA101" s="25">
        <v>1</v>
      </c>
      <c r="AB101" s="20" t="s">
        <v>41</v>
      </c>
      <c r="AC101" s="39"/>
      <c r="AE101" s="9">
        <v>93</v>
      </c>
      <c r="AF101" s="9">
        <v>4</v>
      </c>
      <c r="AH101" s="93" t="s">
        <v>64</v>
      </c>
      <c r="AI101" s="89">
        <v>214</v>
      </c>
      <c r="AJ101" s="102">
        <v>3</v>
      </c>
      <c r="AK101" s="101">
        <v>1</v>
      </c>
      <c r="AL101" s="95" t="b">
        <f t="shared" si="9"/>
        <v>1</v>
      </c>
      <c r="AM101" s="95" t="b">
        <f t="shared" si="10"/>
        <v>1</v>
      </c>
    </row>
    <row r="102" spans="4:39" x14ac:dyDescent="0.25">
      <c r="D102" s="8">
        <v>98</v>
      </c>
      <c r="E102" s="48">
        <v>130</v>
      </c>
      <c r="F102" s="10">
        <v>2</v>
      </c>
      <c r="G102" s="10">
        <v>1</v>
      </c>
      <c r="H102" s="5" t="str">
        <f t="shared" si="13"/>
        <v>det_130</v>
      </c>
      <c r="I102" s="5" t="str">
        <f t="shared" si="12"/>
        <v>W:\Performance Measurement\1. Freeway\1. raw data\2010_new\data files\det_130.txt</v>
      </c>
      <c r="J102" s="5" t="str">
        <f t="shared" si="14"/>
        <v>W:\Performance Measurement\1. Freeway\1. raw data\2010_new\data files\det_130.xlsx</v>
      </c>
      <c r="K102" s="5"/>
      <c r="L102" s="47">
        <v>98</v>
      </c>
      <c r="M102" s="39" t="s">
        <v>64</v>
      </c>
      <c r="N102" s="10">
        <v>201</v>
      </c>
      <c r="O102" s="10">
        <v>3</v>
      </c>
      <c r="P102" s="10">
        <v>1</v>
      </c>
      <c r="Q102" s="19">
        <v>1</v>
      </c>
      <c r="R102" s="67" t="s">
        <v>238</v>
      </c>
      <c r="S102" s="83">
        <v>1</v>
      </c>
      <c r="T102" s="83">
        <v>0</v>
      </c>
      <c r="U102" s="19">
        <v>1</v>
      </c>
      <c r="V102" s="60"/>
      <c r="W102" s="57">
        <v>1</v>
      </c>
      <c r="X102" s="5"/>
      <c r="Y102" s="25">
        <v>250</v>
      </c>
      <c r="Z102" s="25">
        <v>5</v>
      </c>
      <c r="AA102" s="25">
        <v>1</v>
      </c>
      <c r="AB102" s="20" t="s">
        <v>45</v>
      </c>
      <c r="AC102" s="39"/>
      <c r="AE102" s="9">
        <v>40</v>
      </c>
      <c r="AF102" s="9">
        <v>6</v>
      </c>
      <c r="AH102" s="93" t="s">
        <v>64</v>
      </c>
      <c r="AI102" s="89">
        <v>201</v>
      </c>
      <c r="AJ102" s="102">
        <v>3</v>
      </c>
      <c r="AK102" s="101">
        <v>1</v>
      </c>
      <c r="AL102" s="95" t="b">
        <f t="shared" si="9"/>
        <v>1</v>
      </c>
      <c r="AM102" s="95" t="b">
        <f t="shared" si="10"/>
        <v>1</v>
      </c>
    </row>
    <row r="103" spans="4:39" x14ac:dyDescent="0.25">
      <c r="D103" s="8">
        <v>99</v>
      </c>
      <c r="E103" s="48">
        <v>313</v>
      </c>
      <c r="F103" s="10">
        <v>3</v>
      </c>
      <c r="G103" s="10">
        <v>1</v>
      </c>
      <c r="H103" s="5" t="str">
        <f t="shared" si="13"/>
        <v>det_313</v>
      </c>
      <c r="I103" s="5" t="str">
        <f t="shared" si="12"/>
        <v>W:\Performance Measurement\1. Freeway\1. raw data\2010_new\data files\det_313.txt</v>
      </c>
      <c r="J103" s="5" t="str">
        <f t="shared" si="14"/>
        <v>W:\Performance Measurement\1. Freeway\1. raw data\2010_new\data files\det_313.xlsx</v>
      </c>
      <c r="K103" s="5"/>
      <c r="L103" s="47">
        <v>99</v>
      </c>
      <c r="M103" s="39" t="s">
        <v>64</v>
      </c>
      <c r="N103" s="10">
        <v>198</v>
      </c>
      <c r="O103" s="10">
        <v>3</v>
      </c>
      <c r="P103" s="10">
        <v>1</v>
      </c>
      <c r="Q103" s="19">
        <v>1</v>
      </c>
      <c r="R103" s="67" t="s">
        <v>237</v>
      </c>
      <c r="S103" s="83">
        <v>1</v>
      </c>
      <c r="T103" s="83">
        <v>1</v>
      </c>
      <c r="U103" s="19">
        <v>1</v>
      </c>
      <c r="V103" s="60"/>
      <c r="W103" s="57">
        <v>1</v>
      </c>
      <c r="X103" s="5"/>
      <c r="Y103" s="25">
        <v>252</v>
      </c>
      <c r="Z103" s="25">
        <v>5</v>
      </c>
      <c r="AA103" s="25">
        <v>1</v>
      </c>
      <c r="AB103" s="20" t="s">
        <v>41</v>
      </c>
      <c r="AC103" s="39"/>
      <c r="AE103" s="9">
        <v>50</v>
      </c>
      <c r="AF103" s="9">
        <v>5</v>
      </c>
      <c r="AH103" s="93" t="s">
        <v>64</v>
      </c>
      <c r="AI103" s="89">
        <v>198</v>
      </c>
      <c r="AJ103" s="102">
        <v>3</v>
      </c>
      <c r="AK103" s="101">
        <v>1</v>
      </c>
      <c r="AL103" s="95" t="b">
        <f t="shared" si="9"/>
        <v>1</v>
      </c>
      <c r="AM103" s="95" t="b">
        <f t="shared" si="10"/>
        <v>1</v>
      </c>
    </row>
    <row r="104" spans="4:39" x14ac:dyDescent="0.25">
      <c r="D104" s="8">
        <v>100</v>
      </c>
      <c r="E104" s="48">
        <v>316</v>
      </c>
      <c r="F104" s="10">
        <v>4</v>
      </c>
      <c r="G104" s="10">
        <v>1</v>
      </c>
      <c r="H104" s="5" t="str">
        <f t="shared" si="13"/>
        <v>det_316</v>
      </c>
      <c r="I104" s="5" t="str">
        <f t="shared" si="12"/>
        <v>W:\Performance Measurement\1. Freeway\1. raw data\2010_new\data files\det_316.txt</v>
      </c>
      <c r="J104" s="5" t="str">
        <f t="shared" si="14"/>
        <v>W:\Performance Measurement\1. Freeway\1. raw data\2010_new\data files\det_316.xlsx</v>
      </c>
      <c r="K104" s="5"/>
      <c r="L104" s="47">
        <v>100</v>
      </c>
      <c r="M104" s="39" t="s">
        <v>64</v>
      </c>
      <c r="N104" s="10">
        <v>195</v>
      </c>
      <c r="O104" s="10">
        <v>3</v>
      </c>
      <c r="P104" s="10">
        <v>1</v>
      </c>
      <c r="Q104" s="19">
        <v>1</v>
      </c>
      <c r="R104" s="67" t="s">
        <v>239</v>
      </c>
      <c r="S104" s="83">
        <v>1</v>
      </c>
      <c r="T104" s="83">
        <v>1</v>
      </c>
      <c r="U104" s="19">
        <v>1</v>
      </c>
      <c r="V104" s="60"/>
      <c r="W104" s="57">
        <v>1</v>
      </c>
      <c r="X104" s="5"/>
      <c r="Y104" s="25">
        <v>254</v>
      </c>
      <c r="Z104" s="25">
        <v>3</v>
      </c>
      <c r="AA104" s="25">
        <v>1</v>
      </c>
      <c r="AB104" s="20" t="s">
        <v>44</v>
      </c>
      <c r="AC104" s="39"/>
      <c r="AE104" s="9">
        <v>55</v>
      </c>
      <c r="AF104" s="9">
        <v>6</v>
      </c>
      <c r="AH104" s="93" t="s">
        <v>64</v>
      </c>
      <c r="AI104" s="89">
        <v>195</v>
      </c>
      <c r="AJ104" s="102">
        <v>3</v>
      </c>
      <c r="AK104" s="101">
        <v>1</v>
      </c>
      <c r="AL104" s="95" t="b">
        <f t="shared" si="9"/>
        <v>1</v>
      </c>
      <c r="AM104" s="95" t="b">
        <f t="shared" si="10"/>
        <v>1</v>
      </c>
    </row>
    <row r="105" spans="4:39" x14ac:dyDescent="0.25">
      <c r="D105" s="8">
        <v>101</v>
      </c>
      <c r="E105" s="48">
        <v>318</v>
      </c>
      <c r="F105" s="10">
        <v>4</v>
      </c>
      <c r="G105" s="10">
        <v>1</v>
      </c>
      <c r="H105" s="5" t="str">
        <f t="shared" si="13"/>
        <v>det_318</v>
      </c>
      <c r="I105" s="5" t="str">
        <f t="shared" si="12"/>
        <v>W:\Performance Measurement\1. Freeway\1. raw data\2010_new\data files\det_318.txt</v>
      </c>
      <c r="J105" s="5" t="str">
        <f t="shared" si="14"/>
        <v>W:\Performance Measurement\1. Freeway\1. raw data\2010_new\data files\det_318.xlsx</v>
      </c>
      <c r="K105" s="5"/>
      <c r="L105" s="47">
        <v>101</v>
      </c>
      <c r="M105" s="39" t="s">
        <v>64</v>
      </c>
      <c r="N105" s="10">
        <v>193</v>
      </c>
      <c r="O105" s="10">
        <v>3</v>
      </c>
      <c r="P105" s="10">
        <v>1</v>
      </c>
      <c r="Q105" s="19">
        <v>1</v>
      </c>
      <c r="R105" s="67" t="s">
        <v>237</v>
      </c>
      <c r="S105" s="83">
        <v>1</v>
      </c>
      <c r="T105" s="83">
        <v>1</v>
      </c>
      <c r="U105" s="19">
        <v>1</v>
      </c>
      <c r="V105" s="60" t="s">
        <v>87</v>
      </c>
      <c r="W105" s="57">
        <v>0</v>
      </c>
      <c r="X105" s="5"/>
      <c r="Y105" s="29">
        <v>255</v>
      </c>
      <c r="Z105" s="10">
        <v>4</v>
      </c>
      <c r="AA105" s="10">
        <v>0</v>
      </c>
      <c r="AB105" s="35">
        <v>14</v>
      </c>
      <c r="AC105" s="39"/>
      <c r="AE105" s="9">
        <v>92</v>
      </c>
      <c r="AF105" s="9">
        <v>4</v>
      </c>
      <c r="AH105" s="93" t="s">
        <v>64</v>
      </c>
      <c r="AI105" s="89">
        <v>193</v>
      </c>
      <c r="AJ105" s="102">
        <v>3</v>
      </c>
      <c r="AK105" s="101">
        <v>1</v>
      </c>
      <c r="AL105" s="95" t="b">
        <f t="shared" si="9"/>
        <v>1</v>
      </c>
      <c r="AM105" s="95" t="b">
        <f t="shared" si="10"/>
        <v>1</v>
      </c>
    </row>
    <row r="106" spans="4:39" x14ac:dyDescent="0.25">
      <c r="D106" s="8">
        <v>102</v>
      </c>
      <c r="E106" s="48">
        <v>321</v>
      </c>
      <c r="F106" s="10">
        <v>5</v>
      </c>
      <c r="G106" s="10">
        <v>1</v>
      </c>
      <c r="H106" s="5" t="str">
        <f t="shared" si="13"/>
        <v>det_321</v>
      </c>
      <c r="I106" s="5" t="str">
        <f t="shared" si="12"/>
        <v>W:\Performance Measurement\1. Freeway\1. raw data\2010_new\data files\det_321.txt</v>
      </c>
      <c r="J106" s="5" t="str">
        <f t="shared" si="14"/>
        <v>W:\Performance Measurement\1. Freeway\1. raw data\2010_new\data files\det_321.xlsx</v>
      </c>
      <c r="K106" s="5"/>
      <c r="L106" s="47">
        <v>102</v>
      </c>
      <c r="M106" s="39" t="s">
        <v>64</v>
      </c>
      <c r="N106" s="10">
        <v>190</v>
      </c>
      <c r="O106" s="10">
        <v>3</v>
      </c>
      <c r="P106" s="10">
        <v>1</v>
      </c>
      <c r="Q106" s="19">
        <v>1</v>
      </c>
      <c r="R106" s="67" t="s">
        <v>237</v>
      </c>
      <c r="S106" s="83">
        <v>1</v>
      </c>
      <c r="T106" s="83">
        <v>1</v>
      </c>
      <c r="U106" s="19">
        <v>1</v>
      </c>
      <c r="V106" s="60"/>
      <c r="W106" s="57">
        <v>1</v>
      </c>
      <c r="X106" s="5"/>
      <c r="Y106" s="25">
        <v>256</v>
      </c>
      <c r="Z106" s="25">
        <v>3</v>
      </c>
      <c r="AA106" s="25">
        <v>1</v>
      </c>
      <c r="AB106" s="34" t="s">
        <v>44</v>
      </c>
      <c r="AC106" s="39"/>
      <c r="AE106" s="9">
        <v>75</v>
      </c>
      <c r="AF106" s="9">
        <v>6</v>
      </c>
      <c r="AH106" s="93" t="s">
        <v>64</v>
      </c>
      <c r="AI106" s="89">
        <v>190</v>
      </c>
      <c r="AJ106" s="102">
        <v>3</v>
      </c>
      <c r="AK106" s="101">
        <v>1</v>
      </c>
      <c r="AL106" s="95" t="b">
        <f t="shared" si="9"/>
        <v>1</v>
      </c>
      <c r="AM106" s="95" t="b">
        <f t="shared" si="10"/>
        <v>1</v>
      </c>
    </row>
    <row r="107" spans="4:39" x14ac:dyDescent="0.25">
      <c r="D107" s="8">
        <v>103</v>
      </c>
      <c r="E107" s="48">
        <v>323</v>
      </c>
      <c r="F107" s="10">
        <v>4</v>
      </c>
      <c r="G107" s="10">
        <v>1</v>
      </c>
      <c r="H107" s="5" t="str">
        <f t="shared" si="13"/>
        <v>det_323</v>
      </c>
      <c r="I107" s="5" t="str">
        <f t="shared" si="12"/>
        <v>W:\Performance Measurement\1. Freeway\1. raw data\2010_new\data files\det_323.txt</v>
      </c>
      <c r="J107" s="5" t="str">
        <f t="shared" si="14"/>
        <v>W:\Performance Measurement\1. Freeway\1. raw data\2010_new\data files\det_323.xlsx</v>
      </c>
      <c r="K107" s="5"/>
      <c r="L107" s="47">
        <v>103</v>
      </c>
      <c r="M107" s="39" t="s">
        <v>64</v>
      </c>
      <c r="N107" s="10">
        <v>130</v>
      </c>
      <c r="O107" s="10">
        <v>2</v>
      </c>
      <c r="P107" s="10">
        <v>1</v>
      </c>
      <c r="Q107" s="19">
        <v>1</v>
      </c>
      <c r="R107" s="67" t="s">
        <v>117</v>
      </c>
      <c r="S107" s="83">
        <v>1</v>
      </c>
      <c r="T107" s="83">
        <v>1</v>
      </c>
      <c r="U107" s="19">
        <v>1</v>
      </c>
      <c r="V107" s="69"/>
      <c r="W107" s="19">
        <v>1</v>
      </c>
      <c r="X107" s="5"/>
      <c r="Y107" s="25">
        <v>258</v>
      </c>
      <c r="Z107" s="25">
        <v>5</v>
      </c>
      <c r="AA107" s="25">
        <v>1</v>
      </c>
      <c r="AB107" s="19">
        <v>1</v>
      </c>
      <c r="AC107" s="39"/>
      <c r="AE107" s="9">
        <v>80</v>
      </c>
      <c r="AF107" s="9">
        <v>5</v>
      </c>
      <c r="AH107" s="93" t="s">
        <v>64</v>
      </c>
      <c r="AI107" s="89">
        <v>130</v>
      </c>
      <c r="AJ107" s="102">
        <v>2</v>
      </c>
      <c r="AK107" s="101">
        <v>1</v>
      </c>
      <c r="AL107" s="95" t="b">
        <f t="shared" si="9"/>
        <v>1</v>
      </c>
      <c r="AM107" s="95" t="b">
        <f t="shared" si="10"/>
        <v>1</v>
      </c>
    </row>
    <row r="108" spans="4:39" x14ac:dyDescent="0.25">
      <c r="D108" s="8">
        <v>104</v>
      </c>
      <c r="E108" s="48">
        <v>325</v>
      </c>
      <c r="F108" s="10">
        <v>3</v>
      </c>
      <c r="G108" s="10">
        <v>1</v>
      </c>
      <c r="H108" s="5" t="str">
        <f t="shared" si="13"/>
        <v>det_325</v>
      </c>
      <c r="I108" s="5" t="str">
        <f t="shared" si="12"/>
        <v>W:\Performance Measurement\1. Freeway\1. raw data\2010_new\data files\det_325.txt</v>
      </c>
      <c r="J108" s="5" t="str">
        <f t="shared" si="14"/>
        <v>W:\Performance Measurement\1. Freeway\1. raw data\2010_new\data files\det_325.xlsx</v>
      </c>
      <c r="K108" s="5"/>
      <c r="L108" s="47">
        <v>104</v>
      </c>
      <c r="M108" s="39" t="s">
        <v>65</v>
      </c>
      <c r="N108" s="10">
        <v>313</v>
      </c>
      <c r="O108" s="10">
        <v>3</v>
      </c>
      <c r="P108" s="10">
        <v>1</v>
      </c>
      <c r="Q108" s="19">
        <v>1</v>
      </c>
      <c r="R108" s="67" t="s">
        <v>240</v>
      </c>
      <c r="S108" s="83">
        <v>1</v>
      </c>
      <c r="T108" s="83">
        <v>1</v>
      </c>
      <c r="U108" s="19">
        <v>1</v>
      </c>
      <c r="V108" s="58" t="s">
        <v>117</v>
      </c>
      <c r="W108" s="19">
        <v>1</v>
      </c>
      <c r="X108" s="5"/>
      <c r="Y108" s="25">
        <v>261</v>
      </c>
      <c r="Z108" s="25">
        <v>4</v>
      </c>
      <c r="AA108" s="25">
        <v>1</v>
      </c>
      <c r="AB108" s="19">
        <v>1</v>
      </c>
      <c r="AC108" s="39"/>
      <c r="AE108" s="9">
        <v>85</v>
      </c>
      <c r="AF108" s="9">
        <v>5</v>
      </c>
      <c r="AH108" s="93" t="s">
        <v>65</v>
      </c>
      <c r="AI108" s="89">
        <v>313</v>
      </c>
      <c r="AJ108" s="102">
        <v>3</v>
      </c>
      <c r="AK108" s="101">
        <v>1</v>
      </c>
      <c r="AL108" s="95" t="b">
        <f t="shared" si="9"/>
        <v>1</v>
      </c>
      <c r="AM108" s="95" t="b">
        <f t="shared" si="10"/>
        <v>1</v>
      </c>
    </row>
    <row r="109" spans="4:39" x14ac:dyDescent="0.25">
      <c r="D109" s="8">
        <v>105</v>
      </c>
      <c r="E109" s="48">
        <v>328</v>
      </c>
      <c r="F109" s="10">
        <v>3</v>
      </c>
      <c r="G109" s="10">
        <v>1</v>
      </c>
      <c r="H109" s="5" t="str">
        <f t="shared" si="13"/>
        <v>det_328</v>
      </c>
      <c r="I109" s="5" t="str">
        <f t="shared" si="12"/>
        <v>W:\Performance Measurement\1. Freeway\1. raw data\2010_new\data files\det_328.txt</v>
      </c>
      <c r="J109" s="5" t="str">
        <f t="shared" si="14"/>
        <v>W:\Performance Measurement\1. Freeway\1. raw data\2010_new\data files\det_328.xlsx</v>
      </c>
      <c r="K109" s="5"/>
      <c r="L109" s="47">
        <v>105</v>
      </c>
      <c r="M109" s="39" t="s">
        <v>65</v>
      </c>
      <c r="N109" s="10">
        <v>316</v>
      </c>
      <c r="O109" s="10">
        <v>4</v>
      </c>
      <c r="P109" s="10">
        <v>1</v>
      </c>
      <c r="Q109" s="19">
        <v>1</v>
      </c>
      <c r="R109" s="67" t="s">
        <v>117</v>
      </c>
      <c r="S109" s="83">
        <v>1</v>
      </c>
      <c r="T109" s="83">
        <v>1</v>
      </c>
      <c r="U109" s="19">
        <v>1</v>
      </c>
      <c r="V109" s="58" t="s">
        <v>131</v>
      </c>
      <c r="W109" s="56">
        <v>1</v>
      </c>
      <c r="X109" s="5"/>
      <c r="Y109" s="25">
        <v>263</v>
      </c>
      <c r="Z109" s="25">
        <v>4</v>
      </c>
      <c r="AA109" s="25">
        <v>1</v>
      </c>
      <c r="AB109" s="19" t="s">
        <v>43</v>
      </c>
      <c r="AC109" s="39"/>
      <c r="AE109" s="9">
        <v>139</v>
      </c>
      <c r="AF109" s="9">
        <v>6</v>
      </c>
      <c r="AH109" s="93" t="s">
        <v>65</v>
      </c>
      <c r="AI109" s="89">
        <v>316</v>
      </c>
      <c r="AJ109" s="102">
        <v>4</v>
      </c>
      <c r="AK109" s="101">
        <v>1</v>
      </c>
      <c r="AL109" s="95" t="b">
        <f t="shared" si="9"/>
        <v>1</v>
      </c>
      <c r="AM109" s="95" t="b">
        <f t="shared" si="10"/>
        <v>1</v>
      </c>
    </row>
    <row r="110" spans="4:39" x14ac:dyDescent="0.25">
      <c r="D110" s="8">
        <v>106</v>
      </c>
      <c r="E110" s="48">
        <v>331</v>
      </c>
      <c r="F110" s="10">
        <v>3</v>
      </c>
      <c r="G110" s="10">
        <v>1</v>
      </c>
      <c r="H110" s="5" t="str">
        <f t="shared" si="13"/>
        <v>det_331</v>
      </c>
      <c r="I110" s="5" t="str">
        <f t="shared" si="12"/>
        <v>W:\Performance Measurement\1. Freeway\1. raw data\2010_new\data files\det_331.txt</v>
      </c>
      <c r="J110" s="5" t="str">
        <f t="shared" si="14"/>
        <v>W:\Performance Measurement\1. Freeway\1. raw data\2010_new\data files\det_331.xlsx</v>
      </c>
      <c r="K110" s="5"/>
      <c r="L110" s="47">
        <v>106</v>
      </c>
      <c r="M110" s="39" t="s">
        <v>65</v>
      </c>
      <c r="N110" s="10">
        <v>318</v>
      </c>
      <c r="O110" s="10">
        <v>4</v>
      </c>
      <c r="P110" s="10">
        <v>1</v>
      </c>
      <c r="Q110" s="19">
        <v>1</v>
      </c>
      <c r="R110" s="67" t="s">
        <v>241</v>
      </c>
      <c r="S110" s="83">
        <v>1</v>
      </c>
      <c r="T110" s="83">
        <v>0</v>
      </c>
      <c r="U110" s="19">
        <v>1</v>
      </c>
      <c r="V110" s="58" t="s">
        <v>132</v>
      </c>
      <c r="W110" s="56">
        <v>1</v>
      </c>
      <c r="X110" s="5"/>
      <c r="Y110" s="25">
        <v>264</v>
      </c>
      <c r="Z110" s="25">
        <v>5</v>
      </c>
      <c r="AA110" s="25">
        <v>1</v>
      </c>
      <c r="AB110" s="19">
        <v>1</v>
      </c>
      <c r="AC110" s="39"/>
      <c r="AE110" s="9">
        <v>84</v>
      </c>
      <c r="AF110" s="9">
        <v>5</v>
      </c>
      <c r="AH110" s="93" t="s">
        <v>65</v>
      </c>
      <c r="AI110" s="89">
        <v>318</v>
      </c>
      <c r="AJ110" s="102">
        <v>4</v>
      </c>
      <c r="AK110" s="101">
        <v>1</v>
      </c>
      <c r="AL110" s="95" t="b">
        <f t="shared" si="9"/>
        <v>1</v>
      </c>
      <c r="AM110" s="95" t="b">
        <f t="shared" si="10"/>
        <v>1</v>
      </c>
    </row>
    <row r="111" spans="4:39" x14ac:dyDescent="0.25">
      <c r="D111" s="8">
        <v>107</v>
      </c>
      <c r="E111" s="48">
        <v>334</v>
      </c>
      <c r="F111" s="10">
        <v>3</v>
      </c>
      <c r="G111" s="10">
        <v>1</v>
      </c>
      <c r="H111" s="5" t="str">
        <f t="shared" si="13"/>
        <v>det_334</v>
      </c>
      <c r="I111" s="5" t="str">
        <f t="shared" si="12"/>
        <v>W:\Performance Measurement\1. Freeway\1. raw data\2010_new\data files\det_334.txt</v>
      </c>
      <c r="J111" s="5" t="str">
        <f t="shared" si="14"/>
        <v>W:\Performance Measurement\1. Freeway\1. raw data\2010_new\data files\det_334.xlsx</v>
      </c>
      <c r="K111" s="5"/>
      <c r="L111" s="47">
        <v>107</v>
      </c>
      <c r="M111" s="39" t="s">
        <v>65</v>
      </c>
      <c r="N111" s="10">
        <v>321</v>
      </c>
      <c r="O111" s="10">
        <v>5</v>
      </c>
      <c r="P111" s="10">
        <v>1</v>
      </c>
      <c r="Q111" s="19">
        <v>1</v>
      </c>
      <c r="R111" s="67" t="s">
        <v>242</v>
      </c>
      <c r="S111" s="83">
        <v>1</v>
      </c>
      <c r="T111" s="83">
        <v>0</v>
      </c>
      <c r="U111" s="19">
        <v>1</v>
      </c>
      <c r="V111" s="58" t="s">
        <v>133</v>
      </c>
      <c r="W111" s="56">
        <v>1</v>
      </c>
      <c r="X111" s="5"/>
      <c r="Y111" s="25">
        <v>267</v>
      </c>
      <c r="Z111" s="25">
        <v>4</v>
      </c>
      <c r="AA111" s="25">
        <v>1</v>
      </c>
      <c r="AB111" s="19">
        <v>1</v>
      </c>
      <c r="AC111" s="39"/>
      <c r="AE111" s="9">
        <v>137</v>
      </c>
      <c r="AF111" s="9">
        <v>4</v>
      </c>
      <c r="AH111" s="93" t="s">
        <v>65</v>
      </c>
      <c r="AI111" s="89">
        <v>321</v>
      </c>
      <c r="AJ111" s="102">
        <v>5</v>
      </c>
      <c r="AK111" s="101">
        <v>1</v>
      </c>
      <c r="AL111" s="95" t="b">
        <f t="shared" si="9"/>
        <v>1</v>
      </c>
      <c r="AM111" s="95" t="b">
        <f t="shared" si="10"/>
        <v>1</v>
      </c>
    </row>
    <row r="112" spans="4:39" x14ac:dyDescent="0.25">
      <c r="D112" s="8">
        <v>108</v>
      </c>
      <c r="E112" s="48">
        <v>309</v>
      </c>
      <c r="F112" s="10">
        <v>3</v>
      </c>
      <c r="G112" s="10">
        <v>1</v>
      </c>
      <c r="H112" s="5" t="str">
        <f t="shared" si="13"/>
        <v>det_309</v>
      </c>
      <c r="I112" s="5" t="str">
        <f t="shared" si="12"/>
        <v>W:\Performance Measurement\1. Freeway\1. raw data\2010_new\data files\det_309.txt</v>
      </c>
      <c r="J112" s="5" t="str">
        <f t="shared" si="14"/>
        <v>W:\Performance Measurement\1. Freeway\1. raw data\2010_new\data files\det_309.xlsx</v>
      </c>
      <c r="K112" s="5"/>
      <c r="L112" s="47">
        <v>108</v>
      </c>
      <c r="M112" s="39" t="s">
        <v>65</v>
      </c>
      <c r="N112" s="10">
        <v>323</v>
      </c>
      <c r="O112" s="10">
        <v>4</v>
      </c>
      <c r="P112" s="10">
        <v>1</v>
      </c>
      <c r="Q112" s="19">
        <v>1</v>
      </c>
      <c r="R112" s="67" t="s">
        <v>240</v>
      </c>
      <c r="S112" s="83">
        <v>1</v>
      </c>
      <c r="T112" s="83">
        <v>1</v>
      </c>
      <c r="U112" s="19" t="s">
        <v>43</v>
      </c>
      <c r="V112" s="58" t="s">
        <v>119</v>
      </c>
      <c r="W112" s="19">
        <v>1</v>
      </c>
      <c r="X112" s="5"/>
      <c r="Y112" s="25">
        <v>270</v>
      </c>
      <c r="Z112" s="25">
        <v>3</v>
      </c>
      <c r="AA112" s="25">
        <v>1</v>
      </c>
      <c r="AB112" s="19" t="s">
        <v>44</v>
      </c>
      <c r="AC112" s="39"/>
      <c r="AE112" s="9">
        <v>8</v>
      </c>
      <c r="AF112" s="9">
        <v>5</v>
      </c>
      <c r="AH112" s="93" t="s">
        <v>65</v>
      </c>
      <c r="AI112" s="89">
        <v>323</v>
      </c>
      <c r="AJ112" s="102">
        <v>4</v>
      </c>
      <c r="AK112" s="101">
        <v>1</v>
      </c>
      <c r="AL112" s="95" t="b">
        <f t="shared" si="9"/>
        <v>1</v>
      </c>
      <c r="AM112" s="95" t="b">
        <f t="shared" si="10"/>
        <v>1</v>
      </c>
    </row>
    <row r="113" spans="4:39" x14ac:dyDescent="0.25">
      <c r="D113" s="8">
        <v>109</v>
      </c>
      <c r="E113" s="48">
        <v>306</v>
      </c>
      <c r="F113" s="10">
        <v>3</v>
      </c>
      <c r="G113" s="10">
        <v>1</v>
      </c>
      <c r="H113" s="5" t="str">
        <f t="shared" si="13"/>
        <v>det_306</v>
      </c>
      <c r="I113" s="5" t="str">
        <f t="shared" si="12"/>
        <v>W:\Performance Measurement\1. Freeway\1. raw data\2010_new\data files\det_306.txt</v>
      </c>
      <c r="J113" s="5" t="str">
        <f t="shared" si="14"/>
        <v>W:\Performance Measurement\1. Freeway\1. raw data\2010_new\data files\det_306.xlsx</v>
      </c>
      <c r="K113" s="5"/>
      <c r="L113" s="47">
        <v>109</v>
      </c>
      <c r="M113" s="39" t="s">
        <v>65</v>
      </c>
      <c r="N113" s="10">
        <v>325</v>
      </c>
      <c r="O113" s="10">
        <v>3</v>
      </c>
      <c r="P113" s="10">
        <v>1</v>
      </c>
      <c r="Q113" s="19">
        <v>1</v>
      </c>
      <c r="R113" s="67" t="s">
        <v>240</v>
      </c>
      <c r="S113" s="83">
        <v>1</v>
      </c>
      <c r="T113" s="83">
        <v>1</v>
      </c>
      <c r="U113" s="19">
        <v>1</v>
      </c>
      <c r="V113" s="58" t="s">
        <v>134</v>
      </c>
      <c r="W113" s="19">
        <v>1</v>
      </c>
      <c r="X113" s="5"/>
      <c r="Y113" s="25">
        <v>271</v>
      </c>
      <c r="Z113" s="25">
        <v>3</v>
      </c>
      <c r="AA113" s="25">
        <v>0</v>
      </c>
      <c r="AB113" s="19">
        <v>1</v>
      </c>
      <c r="AC113" s="39"/>
      <c r="AE113" s="9">
        <v>14</v>
      </c>
      <c r="AF113" s="9">
        <v>5</v>
      </c>
      <c r="AH113" s="93" t="s">
        <v>65</v>
      </c>
      <c r="AI113" s="89">
        <v>325</v>
      </c>
      <c r="AJ113" s="102">
        <v>3</v>
      </c>
      <c r="AK113" s="101">
        <v>1</v>
      </c>
      <c r="AL113" s="95" t="b">
        <f t="shared" si="9"/>
        <v>1</v>
      </c>
      <c r="AM113" s="95" t="b">
        <f t="shared" si="10"/>
        <v>1</v>
      </c>
    </row>
    <row r="114" spans="4:39" x14ac:dyDescent="0.25">
      <c r="D114" s="8">
        <v>110</v>
      </c>
      <c r="E114" s="48">
        <v>303</v>
      </c>
      <c r="F114" s="10">
        <v>3</v>
      </c>
      <c r="G114" s="10">
        <v>1</v>
      </c>
      <c r="H114" s="5" t="str">
        <f t="shared" si="13"/>
        <v>det_303</v>
      </c>
      <c r="I114" s="5" t="str">
        <f t="shared" si="12"/>
        <v>W:\Performance Measurement\1. Freeway\1. raw data\2010_new\data files\det_303.txt</v>
      </c>
      <c r="J114" s="5" t="str">
        <f t="shared" si="14"/>
        <v>W:\Performance Measurement\1. Freeway\1. raw data\2010_new\data files\det_303.xlsx</v>
      </c>
      <c r="K114" s="5"/>
      <c r="L114" s="47">
        <v>110</v>
      </c>
      <c r="M114" s="39" t="s">
        <v>65</v>
      </c>
      <c r="N114" s="10">
        <v>328</v>
      </c>
      <c r="O114" s="10">
        <v>3</v>
      </c>
      <c r="P114" s="10">
        <v>1</v>
      </c>
      <c r="Q114" s="19">
        <v>1</v>
      </c>
      <c r="R114" s="67" t="s">
        <v>240</v>
      </c>
      <c r="S114" s="83">
        <v>1</v>
      </c>
      <c r="T114" s="83">
        <v>1</v>
      </c>
      <c r="U114" s="19">
        <v>1</v>
      </c>
      <c r="V114" s="71" t="s">
        <v>135</v>
      </c>
      <c r="W114" s="19">
        <v>1</v>
      </c>
      <c r="X114" s="5"/>
      <c r="Y114" s="26">
        <v>272</v>
      </c>
      <c r="Z114" s="25">
        <v>3</v>
      </c>
      <c r="AA114" s="25">
        <v>1</v>
      </c>
      <c r="AB114" s="19" t="s">
        <v>44</v>
      </c>
      <c r="AC114" s="39" t="s">
        <v>50</v>
      </c>
      <c r="AE114" s="9">
        <v>20</v>
      </c>
      <c r="AF114" s="9">
        <v>5</v>
      </c>
      <c r="AH114" s="93" t="s">
        <v>65</v>
      </c>
      <c r="AI114" s="89">
        <v>328</v>
      </c>
      <c r="AJ114" s="102">
        <v>3</v>
      </c>
      <c r="AK114" s="101">
        <v>1</v>
      </c>
      <c r="AL114" s="95" t="b">
        <f t="shared" si="9"/>
        <v>1</v>
      </c>
      <c r="AM114" s="95" t="b">
        <f t="shared" si="10"/>
        <v>1</v>
      </c>
    </row>
    <row r="115" spans="4:39" x14ac:dyDescent="0.25">
      <c r="D115" s="8">
        <v>111</v>
      </c>
      <c r="E115" s="48">
        <v>300</v>
      </c>
      <c r="F115" s="10">
        <v>3</v>
      </c>
      <c r="G115" s="10">
        <v>1</v>
      </c>
      <c r="H115" s="5" t="str">
        <f t="shared" si="13"/>
        <v>det_300</v>
      </c>
      <c r="I115" s="5" t="str">
        <f t="shared" si="12"/>
        <v>W:\Performance Measurement\1. Freeway\1. raw data\2010_new\data files\det_300.txt</v>
      </c>
      <c r="J115" s="5" t="str">
        <f t="shared" si="14"/>
        <v>W:\Performance Measurement\1. Freeway\1. raw data\2010_new\data files\det_300.xlsx</v>
      </c>
      <c r="K115" s="5"/>
      <c r="L115" s="47">
        <v>111</v>
      </c>
      <c r="M115" s="39" t="s">
        <v>65</v>
      </c>
      <c r="N115" s="10">
        <v>331</v>
      </c>
      <c r="O115" s="10">
        <v>3</v>
      </c>
      <c r="P115" s="10">
        <v>1</v>
      </c>
      <c r="Q115" s="19">
        <v>1</v>
      </c>
      <c r="R115" s="67" t="s">
        <v>240</v>
      </c>
      <c r="S115" s="83">
        <v>1</v>
      </c>
      <c r="T115" s="83">
        <v>1</v>
      </c>
      <c r="U115" s="19">
        <v>1</v>
      </c>
      <c r="V115" s="58" t="s">
        <v>136</v>
      </c>
      <c r="W115" s="19">
        <v>1</v>
      </c>
      <c r="X115" s="5"/>
      <c r="Y115" s="25">
        <v>275</v>
      </c>
      <c r="Z115" s="25">
        <v>5</v>
      </c>
      <c r="AA115" s="25">
        <v>1</v>
      </c>
      <c r="AB115" s="19" t="s">
        <v>45</v>
      </c>
      <c r="AC115" s="39"/>
      <c r="AE115" s="9">
        <v>25</v>
      </c>
      <c r="AF115" s="9">
        <v>5</v>
      </c>
      <c r="AH115" s="93" t="s">
        <v>65</v>
      </c>
      <c r="AI115" s="89">
        <v>331</v>
      </c>
      <c r="AJ115" s="102">
        <v>3</v>
      </c>
      <c r="AK115" s="101">
        <v>1</v>
      </c>
      <c r="AL115" s="95" t="b">
        <f t="shared" si="9"/>
        <v>1</v>
      </c>
      <c r="AM115" s="95" t="b">
        <f t="shared" si="10"/>
        <v>1</v>
      </c>
    </row>
    <row r="116" spans="4:39" x14ac:dyDescent="0.25">
      <c r="D116" s="8">
        <v>112</v>
      </c>
      <c r="E116" s="48">
        <v>299</v>
      </c>
      <c r="F116" s="10">
        <v>4</v>
      </c>
      <c r="G116" s="10">
        <v>1</v>
      </c>
      <c r="H116" s="5" t="str">
        <f t="shared" si="13"/>
        <v>det_299</v>
      </c>
      <c r="I116" s="5" t="str">
        <f t="shared" si="12"/>
        <v>W:\Performance Measurement\1. Freeway\1. raw data\2010_new\data files\det_299.txt</v>
      </c>
      <c r="J116" s="5" t="str">
        <f t="shared" si="14"/>
        <v>W:\Performance Measurement\1. Freeway\1. raw data\2010_new\data files\det_299.xlsx</v>
      </c>
      <c r="K116" s="5"/>
      <c r="L116" s="47">
        <v>112</v>
      </c>
      <c r="M116" s="39" t="s">
        <v>65</v>
      </c>
      <c r="N116" s="10">
        <v>334</v>
      </c>
      <c r="O116" s="10">
        <v>3</v>
      </c>
      <c r="P116" s="10">
        <v>1</v>
      </c>
      <c r="Q116" s="19">
        <v>1</v>
      </c>
      <c r="R116" s="67" t="s">
        <v>243</v>
      </c>
      <c r="S116" s="83">
        <v>1</v>
      </c>
      <c r="T116" s="83">
        <v>1</v>
      </c>
      <c r="U116" s="19">
        <v>1</v>
      </c>
      <c r="V116" s="59" t="s">
        <v>134</v>
      </c>
      <c r="W116" s="19">
        <v>1</v>
      </c>
      <c r="X116" s="5"/>
      <c r="Y116" s="25">
        <v>278</v>
      </c>
      <c r="Z116" s="25">
        <v>4</v>
      </c>
      <c r="AA116" s="25">
        <v>1</v>
      </c>
      <c r="AB116" s="19">
        <v>1</v>
      </c>
      <c r="AC116" s="39"/>
      <c r="AE116" s="9">
        <v>30</v>
      </c>
      <c r="AF116" s="9">
        <v>6</v>
      </c>
      <c r="AH116" s="93" t="s">
        <v>65</v>
      </c>
      <c r="AI116" s="89">
        <v>334</v>
      </c>
      <c r="AJ116" s="102">
        <v>3</v>
      </c>
      <c r="AK116" s="101">
        <v>1</v>
      </c>
      <c r="AL116" s="95" t="b">
        <f t="shared" si="9"/>
        <v>1</v>
      </c>
      <c r="AM116" s="95" t="b">
        <f t="shared" si="10"/>
        <v>1</v>
      </c>
    </row>
    <row r="117" spans="4:39" x14ac:dyDescent="0.25">
      <c r="D117" s="8">
        <v>113</v>
      </c>
      <c r="E117" s="48">
        <v>297</v>
      </c>
      <c r="F117" s="10">
        <v>5</v>
      </c>
      <c r="G117" s="10">
        <v>1</v>
      </c>
      <c r="H117" s="5" t="str">
        <f t="shared" si="13"/>
        <v>det_297</v>
      </c>
      <c r="I117" s="5" t="str">
        <f t="shared" si="12"/>
        <v>W:\Performance Measurement\1. Freeway\1. raw data\2010_new\data files\det_297.txt</v>
      </c>
      <c r="J117" s="5" t="str">
        <f t="shared" si="14"/>
        <v>W:\Performance Measurement\1. Freeway\1. raw data\2010_new\data files\det_297.xlsx</v>
      </c>
      <c r="K117" s="5"/>
      <c r="L117" s="47">
        <v>113</v>
      </c>
      <c r="M117" s="39" t="s">
        <v>65</v>
      </c>
      <c r="N117" s="33">
        <v>336</v>
      </c>
      <c r="O117" s="10">
        <v>3</v>
      </c>
      <c r="P117" s="10">
        <v>1</v>
      </c>
      <c r="Q117" s="34">
        <v>1</v>
      </c>
      <c r="R117" s="67" t="s">
        <v>244</v>
      </c>
      <c r="S117" s="83">
        <v>1</v>
      </c>
      <c r="T117" s="83">
        <v>1</v>
      </c>
      <c r="U117" s="19">
        <v>14</v>
      </c>
      <c r="V117" s="72" t="s">
        <v>137</v>
      </c>
      <c r="W117" s="19">
        <v>0</v>
      </c>
      <c r="X117" s="5"/>
      <c r="Y117" s="26">
        <v>281</v>
      </c>
      <c r="Z117" s="25">
        <v>4</v>
      </c>
      <c r="AA117" s="25">
        <v>1</v>
      </c>
      <c r="AB117" s="19">
        <v>1</v>
      </c>
      <c r="AC117" s="39" t="s">
        <v>50</v>
      </c>
      <c r="AE117" s="9">
        <v>35</v>
      </c>
      <c r="AF117" s="9">
        <v>5</v>
      </c>
      <c r="AH117" s="93" t="s">
        <v>65</v>
      </c>
      <c r="AI117" s="89">
        <v>336</v>
      </c>
      <c r="AJ117" s="102">
        <v>3</v>
      </c>
      <c r="AK117" s="101">
        <v>1</v>
      </c>
      <c r="AL117" s="95" t="b">
        <f t="shared" si="9"/>
        <v>1</v>
      </c>
      <c r="AM117" s="95" t="b">
        <f t="shared" si="10"/>
        <v>1</v>
      </c>
    </row>
    <row r="118" spans="4:39" x14ac:dyDescent="0.25">
      <c r="D118" s="8">
        <v>114</v>
      </c>
      <c r="E118" s="48">
        <v>294</v>
      </c>
      <c r="F118" s="10">
        <v>4</v>
      </c>
      <c r="G118" s="10">
        <v>1</v>
      </c>
      <c r="H118" s="5" t="str">
        <f t="shared" si="13"/>
        <v>det_294</v>
      </c>
      <c r="I118" s="5" t="str">
        <f t="shared" si="12"/>
        <v>W:\Performance Measurement\1. Freeway\1. raw data\2010_new\data files\det_294.txt</v>
      </c>
      <c r="J118" s="5" t="str">
        <f t="shared" si="14"/>
        <v>W:\Performance Measurement\1. Freeway\1. raw data\2010_new\data files\det_294.xlsx</v>
      </c>
      <c r="K118" s="5"/>
      <c r="L118" s="47">
        <v>114</v>
      </c>
      <c r="M118" s="39" t="s">
        <v>65</v>
      </c>
      <c r="N118" s="33">
        <v>312</v>
      </c>
      <c r="O118" s="10">
        <v>3</v>
      </c>
      <c r="P118" s="10">
        <v>1</v>
      </c>
      <c r="Q118" s="19">
        <v>1</v>
      </c>
      <c r="R118" s="67" t="s">
        <v>244</v>
      </c>
      <c r="S118" s="83">
        <v>0</v>
      </c>
      <c r="T118" s="83" t="s">
        <v>226</v>
      </c>
      <c r="U118" s="19">
        <v>1</v>
      </c>
      <c r="V118" s="70"/>
      <c r="W118" s="19">
        <v>0</v>
      </c>
      <c r="X118" s="5"/>
      <c r="Y118" s="25">
        <v>284</v>
      </c>
      <c r="Z118" s="25">
        <v>3</v>
      </c>
      <c r="AA118" s="25">
        <v>1</v>
      </c>
      <c r="AB118" s="19">
        <v>1</v>
      </c>
      <c r="AC118" s="39"/>
      <c r="AE118" s="9">
        <v>29</v>
      </c>
      <c r="AF118" s="9">
        <v>5</v>
      </c>
      <c r="AH118" s="93" t="s">
        <v>65</v>
      </c>
      <c r="AI118" s="89">
        <v>312</v>
      </c>
      <c r="AJ118" s="102">
        <v>3</v>
      </c>
      <c r="AK118" s="101">
        <v>1</v>
      </c>
      <c r="AL118" s="95" t="b">
        <f t="shared" si="9"/>
        <v>1</v>
      </c>
      <c r="AM118" s="95" t="b">
        <f t="shared" si="10"/>
        <v>1</v>
      </c>
    </row>
    <row r="119" spans="4:39" x14ac:dyDescent="0.25">
      <c r="D119" s="8">
        <v>115</v>
      </c>
      <c r="E119" s="48">
        <v>292</v>
      </c>
      <c r="F119" s="10">
        <v>4</v>
      </c>
      <c r="G119" s="10">
        <v>1</v>
      </c>
      <c r="H119" s="5" t="str">
        <f t="shared" si="13"/>
        <v>det_292</v>
      </c>
      <c r="I119" s="5" t="str">
        <f t="shared" si="12"/>
        <v>W:\Performance Measurement\1. Freeway\1. raw data\2010_new\data files\det_292.txt</v>
      </c>
      <c r="J119" s="5" t="str">
        <f t="shared" si="14"/>
        <v>W:\Performance Measurement\1. Freeway\1. raw data\2010_new\data files\det_292.xlsx</v>
      </c>
      <c r="K119" s="5"/>
      <c r="L119" s="47">
        <v>115</v>
      </c>
      <c r="M119" s="39" t="s">
        <v>65</v>
      </c>
      <c r="N119" s="10">
        <v>309</v>
      </c>
      <c r="O119" s="10">
        <v>3</v>
      </c>
      <c r="P119" s="10">
        <v>1</v>
      </c>
      <c r="Q119" s="19">
        <v>1</v>
      </c>
      <c r="R119" s="67" t="s">
        <v>216</v>
      </c>
      <c r="S119" s="83">
        <v>1</v>
      </c>
      <c r="T119" s="83">
        <v>1</v>
      </c>
      <c r="U119" s="19">
        <v>1</v>
      </c>
      <c r="V119" s="70"/>
      <c r="W119" s="19">
        <v>1</v>
      </c>
      <c r="X119" s="5"/>
      <c r="Y119" s="25">
        <v>286</v>
      </c>
      <c r="Z119" s="25">
        <v>3</v>
      </c>
      <c r="AA119" s="25">
        <v>1</v>
      </c>
      <c r="AB119" s="19" t="s">
        <v>44</v>
      </c>
      <c r="AC119" s="39"/>
      <c r="AE119" s="9">
        <v>24</v>
      </c>
      <c r="AF119" s="9">
        <v>5</v>
      </c>
      <c r="AH119" s="93" t="s">
        <v>65</v>
      </c>
      <c r="AI119" s="89">
        <v>309</v>
      </c>
      <c r="AJ119" s="102">
        <v>3</v>
      </c>
      <c r="AK119" s="101">
        <v>1</v>
      </c>
      <c r="AL119" s="95" t="b">
        <f t="shared" si="9"/>
        <v>1</v>
      </c>
      <c r="AM119" s="95" t="b">
        <f t="shared" si="10"/>
        <v>1</v>
      </c>
    </row>
    <row r="120" spans="4:39" x14ac:dyDescent="0.25">
      <c r="D120" s="8">
        <v>116</v>
      </c>
      <c r="E120" s="48">
        <v>229</v>
      </c>
      <c r="F120" s="29">
        <v>2</v>
      </c>
      <c r="G120" s="10">
        <v>1</v>
      </c>
      <c r="H120" s="5" t="str">
        <f t="shared" si="13"/>
        <v>det_229</v>
      </c>
      <c r="I120" s="5" t="str">
        <f t="shared" si="12"/>
        <v>W:\Performance Measurement\1. Freeway\1. raw data\2010_new\data files\det_229.txt</v>
      </c>
      <c r="J120" s="5" t="str">
        <f t="shared" si="14"/>
        <v>W:\Performance Measurement\1. Freeway\1. raw data\2010_new\data files\det_229.xlsx</v>
      </c>
      <c r="K120" s="5"/>
      <c r="L120" s="47">
        <v>116</v>
      </c>
      <c r="M120" s="39" t="s">
        <v>65</v>
      </c>
      <c r="N120" s="10">
        <v>306</v>
      </c>
      <c r="O120" s="10">
        <v>3</v>
      </c>
      <c r="P120" s="10">
        <v>1</v>
      </c>
      <c r="Q120" s="19">
        <v>1</v>
      </c>
      <c r="R120" s="67" t="s">
        <v>240</v>
      </c>
      <c r="S120" s="83">
        <v>1</v>
      </c>
      <c r="T120" s="83">
        <v>1</v>
      </c>
      <c r="U120" s="19">
        <v>1</v>
      </c>
      <c r="V120" s="58" t="s">
        <v>138</v>
      </c>
      <c r="W120" s="19">
        <v>1</v>
      </c>
      <c r="X120" s="5"/>
      <c r="Y120" s="25">
        <v>288</v>
      </c>
      <c r="Z120" s="25">
        <v>3</v>
      </c>
      <c r="AA120" s="25">
        <v>1</v>
      </c>
      <c r="AB120" s="19">
        <v>1</v>
      </c>
      <c r="AC120" s="39"/>
      <c r="AE120" s="9">
        <v>11</v>
      </c>
      <c r="AF120" s="9">
        <v>5</v>
      </c>
      <c r="AH120" s="93" t="s">
        <v>65</v>
      </c>
      <c r="AI120" s="89">
        <v>306</v>
      </c>
      <c r="AJ120" s="102">
        <v>3</v>
      </c>
      <c r="AK120" s="101">
        <v>1</v>
      </c>
      <c r="AL120" s="95" t="b">
        <f t="shared" si="9"/>
        <v>1</v>
      </c>
      <c r="AM120" s="95" t="b">
        <f t="shared" si="10"/>
        <v>1</v>
      </c>
    </row>
    <row r="121" spans="4:39" x14ac:dyDescent="0.25">
      <c r="D121" s="8">
        <v>117</v>
      </c>
      <c r="E121" s="48">
        <v>230</v>
      </c>
      <c r="F121" s="29">
        <v>4</v>
      </c>
      <c r="G121" s="10">
        <v>1</v>
      </c>
      <c r="H121" s="5" t="str">
        <f t="shared" si="13"/>
        <v>det_230</v>
      </c>
      <c r="I121" s="5" t="str">
        <f t="shared" si="12"/>
        <v>W:\Performance Measurement\1. Freeway\1. raw data\2010_new\data files\det_230.txt</v>
      </c>
      <c r="J121" s="5" t="str">
        <f t="shared" si="14"/>
        <v>W:\Performance Measurement\1. Freeway\1. raw data\2010_new\data files\det_230.xlsx</v>
      </c>
      <c r="K121" s="5"/>
      <c r="L121" s="47">
        <v>117</v>
      </c>
      <c r="M121" s="39" t="s">
        <v>65</v>
      </c>
      <c r="N121" s="10">
        <v>303</v>
      </c>
      <c r="O121" s="10">
        <v>3</v>
      </c>
      <c r="P121" s="10">
        <v>1</v>
      </c>
      <c r="Q121" s="19">
        <v>1</v>
      </c>
      <c r="R121" s="67" t="s">
        <v>245</v>
      </c>
      <c r="S121" s="83">
        <v>1</v>
      </c>
      <c r="T121" s="83">
        <v>1</v>
      </c>
      <c r="U121" s="19">
        <v>1</v>
      </c>
      <c r="V121" s="58" t="s">
        <v>134</v>
      </c>
      <c r="W121" s="19">
        <v>1</v>
      </c>
      <c r="X121" s="5"/>
      <c r="Y121" s="25">
        <v>292</v>
      </c>
      <c r="Z121" s="25">
        <v>4</v>
      </c>
      <c r="AA121" s="25">
        <v>1</v>
      </c>
      <c r="AB121" s="19">
        <v>1</v>
      </c>
      <c r="AC121" s="39"/>
      <c r="AE121" s="9">
        <v>4</v>
      </c>
      <c r="AF121" s="9">
        <v>5</v>
      </c>
      <c r="AH121" s="93" t="s">
        <v>65</v>
      </c>
      <c r="AI121" s="89">
        <v>303</v>
      </c>
      <c r="AJ121" s="102">
        <v>3</v>
      </c>
      <c r="AK121" s="101">
        <v>1</v>
      </c>
      <c r="AL121" s="95" t="b">
        <f t="shared" si="9"/>
        <v>1</v>
      </c>
      <c r="AM121" s="95" t="b">
        <f t="shared" si="10"/>
        <v>1</v>
      </c>
    </row>
    <row r="122" spans="4:39" x14ac:dyDescent="0.25">
      <c r="D122" s="8">
        <v>118</v>
      </c>
      <c r="E122" s="48">
        <v>233</v>
      </c>
      <c r="F122" s="29">
        <v>4</v>
      </c>
      <c r="G122" s="10">
        <v>1</v>
      </c>
      <c r="H122" s="5" t="str">
        <f t="shared" si="13"/>
        <v>det_233</v>
      </c>
      <c r="I122" s="5" t="str">
        <f t="shared" si="12"/>
        <v>W:\Performance Measurement\1. Freeway\1. raw data\2010_new\data files\det_233.txt</v>
      </c>
      <c r="J122" s="5" t="str">
        <f t="shared" si="14"/>
        <v>W:\Performance Measurement\1. Freeway\1. raw data\2010_new\data files\det_233.xlsx</v>
      </c>
      <c r="K122" s="5"/>
      <c r="L122" s="47">
        <v>118</v>
      </c>
      <c r="M122" s="39" t="s">
        <v>65</v>
      </c>
      <c r="N122" s="10">
        <v>300</v>
      </c>
      <c r="O122" s="10">
        <v>3</v>
      </c>
      <c r="P122" s="10">
        <v>1</v>
      </c>
      <c r="Q122" s="19">
        <v>1</v>
      </c>
      <c r="R122" s="67" t="s">
        <v>245</v>
      </c>
      <c r="S122" s="83">
        <v>1</v>
      </c>
      <c r="T122" s="83">
        <v>1</v>
      </c>
      <c r="U122" s="19">
        <v>1</v>
      </c>
      <c r="V122" s="58" t="s">
        <v>134</v>
      </c>
      <c r="W122" s="19">
        <v>1</v>
      </c>
      <c r="X122" s="5"/>
      <c r="Y122" s="25">
        <v>294</v>
      </c>
      <c r="Z122" s="25">
        <v>4</v>
      </c>
      <c r="AA122" s="25">
        <v>1</v>
      </c>
      <c r="AB122" s="19">
        <v>1</v>
      </c>
      <c r="AC122" s="39"/>
      <c r="AE122" s="9">
        <v>1</v>
      </c>
      <c r="AF122" s="9">
        <v>5</v>
      </c>
      <c r="AH122" s="93" t="s">
        <v>65</v>
      </c>
      <c r="AI122" s="89">
        <v>300</v>
      </c>
      <c r="AJ122" s="102">
        <v>3</v>
      </c>
      <c r="AK122" s="101">
        <v>1</v>
      </c>
      <c r="AL122" s="95" t="b">
        <f t="shared" si="9"/>
        <v>1</v>
      </c>
      <c r="AM122" s="95" t="b">
        <f t="shared" si="10"/>
        <v>1</v>
      </c>
    </row>
    <row r="123" spans="4:39" x14ac:dyDescent="0.25">
      <c r="D123" s="8">
        <v>119</v>
      </c>
      <c r="E123" s="48">
        <v>235</v>
      </c>
      <c r="F123" s="29">
        <v>5</v>
      </c>
      <c r="G123" s="10">
        <v>1</v>
      </c>
      <c r="H123" s="5" t="str">
        <f t="shared" si="13"/>
        <v>det_235</v>
      </c>
      <c r="I123" s="5" t="str">
        <f t="shared" si="12"/>
        <v>W:\Performance Measurement\1. Freeway\1. raw data\2010_new\data files\det_235.txt</v>
      </c>
      <c r="J123" s="5" t="str">
        <f t="shared" si="14"/>
        <v>W:\Performance Measurement\1. Freeway\1. raw data\2010_new\data files\det_235.xlsx</v>
      </c>
      <c r="K123" s="5"/>
      <c r="L123" s="47">
        <v>119</v>
      </c>
      <c r="M123" s="39" t="s">
        <v>65</v>
      </c>
      <c r="N123" s="10">
        <v>299</v>
      </c>
      <c r="O123" s="10">
        <v>4</v>
      </c>
      <c r="P123" s="10">
        <v>1</v>
      </c>
      <c r="Q123" s="19">
        <v>1</v>
      </c>
      <c r="R123" s="67" t="s">
        <v>246</v>
      </c>
      <c r="S123" s="83">
        <v>1</v>
      </c>
      <c r="T123" s="83">
        <v>1</v>
      </c>
      <c r="U123" s="19">
        <v>1</v>
      </c>
      <c r="V123" s="58" t="s">
        <v>139</v>
      </c>
      <c r="W123" s="19">
        <v>1</v>
      </c>
      <c r="X123" s="5"/>
      <c r="Y123" s="25">
        <v>297</v>
      </c>
      <c r="Z123" s="25">
        <v>5</v>
      </c>
      <c r="AA123" s="25">
        <v>1</v>
      </c>
      <c r="AB123" s="19">
        <v>1</v>
      </c>
      <c r="AC123" s="39"/>
      <c r="AE123" s="9"/>
      <c r="AF123" s="9"/>
      <c r="AH123" s="93" t="s">
        <v>65</v>
      </c>
      <c r="AI123" s="89">
        <v>299</v>
      </c>
      <c r="AJ123" s="102">
        <v>4</v>
      </c>
      <c r="AK123" s="101">
        <v>1</v>
      </c>
      <c r="AL123" s="95" t="b">
        <f t="shared" si="9"/>
        <v>1</v>
      </c>
      <c r="AM123" s="95" t="b">
        <f t="shared" si="10"/>
        <v>1</v>
      </c>
    </row>
    <row r="124" spans="4:39" x14ac:dyDescent="0.25">
      <c r="D124" s="8">
        <v>120</v>
      </c>
      <c r="E124" s="48">
        <v>237</v>
      </c>
      <c r="F124" s="29">
        <v>4</v>
      </c>
      <c r="G124" s="10">
        <v>1</v>
      </c>
      <c r="H124" s="5" t="str">
        <f t="shared" si="13"/>
        <v>det_237</v>
      </c>
      <c r="I124" s="5" t="str">
        <f t="shared" si="12"/>
        <v>W:\Performance Measurement\1. Freeway\1. raw data\2010_new\data files\det_237.txt</v>
      </c>
      <c r="J124" s="5" t="str">
        <f t="shared" si="14"/>
        <v>W:\Performance Measurement\1. Freeway\1. raw data\2010_new\data files\det_237.xlsx</v>
      </c>
      <c r="K124" s="5"/>
      <c r="L124" s="47">
        <v>120</v>
      </c>
      <c r="M124" s="39" t="s">
        <v>65</v>
      </c>
      <c r="N124" s="10">
        <v>297</v>
      </c>
      <c r="O124" s="10">
        <v>5</v>
      </c>
      <c r="P124" s="10">
        <v>1</v>
      </c>
      <c r="Q124" s="19">
        <v>1</v>
      </c>
      <c r="R124" s="67" t="s">
        <v>240</v>
      </c>
      <c r="S124" s="83">
        <v>1</v>
      </c>
      <c r="T124" s="83">
        <v>1</v>
      </c>
      <c r="U124" s="19">
        <v>1</v>
      </c>
      <c r="V124" s="70"/>
      <c r="W124" s="19">
        <v>1</v>
      </c>
      <c r="X124" s="5"/>
      <c r="Y124" s="25">
        <v>299</v>
      </c>
      <c r="Z124" s="25">
        <v>4</v>
      </c>
      <c r="AA124" s="25">
        <v>1</v>
      </c>
      <c r="AB124" s="19">
        <v>1</v>
      </c>
      <c r="AC124" s="39"/>
      <c r="AE124" s="9">
        <v>187</v>
      </c>
      <c r="AF124" s="9">
        <v>2</v>
      </c>
      <c r="AH124" s="93" t="s">
        <v>65</v>
      </c>
      <c r="AI124" s="89">
        <v>297</v>
      </c>
      <c r="AJ124" s="102">
        <v>5</v>
      </c>
      <c r="AK124" s="101">
        <v>1</v>
      </c>
      <c r="AL124" s="95" t="b">
        <f t="shared" si="9"/>
        <v>1</v>
      </c>
      <c r="AM124" s="95" t="b">
        <f t="shared" si="10"/>
        <v>1</v>
      </c>
    </row>
    <row r="125" spans="4:39" x14ac:dyDescent="0.25">
      <c r="D125" s="8">
        <v>121</v>
      </c>
      <c r="E125" s="48">
        <v>239</v>
      </c>
      <c r="F125" s="29">
        <v>4</v>
      </c>
      <c r="G125" s="10">
        <v>1</v>
      </c>
      <c r="H125" s="5" t="str">
        <f t="shared" si="13"/>
        <v>det_239</v>
      </c>
      <c r="I125" s="5" t="str">
        <f t="shared" si="12"/>
        <v>W:\Performance Measurement\1. Freeway\1. raw data\2010_new\data files\det_239.txt</v>
      </c>
      <c r="J125" s="5" t="str">
        <f t="shared" si="14"/>
        <v>W:\Performance Measurement\1. Freeway\1. raw data\2010_new\data files\det_239.xlsx</v>
      </c>
      <c r="K125" s="5"/>
      <c r="L125" s="47">
        <v>121</v>
      </c>
      <c r="M125" s="39" t="s">
        <v>65</v>
      </c>
      <c r="N125" s="10">
        <v>294</v>
      </c>
      <c r="O125" s="10">
        <v>4</v>
      </c>
      <c r="P125" s="10">
        <v>1</v>
      </c>
      <c r="Q125" s="19">
        <v>1</v>
      </c>
      <c r="R125" s="67" t="s">
        <v>240</v>
      </c>
      <c r="S125" s="83">
        <v>1</v>
      </c>
      <c r="T125" s="83">
        <v>1</v>
      </c>
      <c r="U125" s="19">
        <v>1</v>
      </c>
      <c r="V125" s="70"/>
      <c r="W125" s="19">
        <v>1</v>
      </c>
      <c r="X125" s="5"/>
      <c r="Y125" s="25">
        <v>300</v>
      </c>
      <c r="Z125" s="25">
        <v>3</v>
      </c>
      <c r="AA125" s="25">
        <v>1</v>
      </c>
      <c r="AB125" s="19">
        <v>1</v>
      </c>
      <c r="AC125" s="39"/>
      <c r="AE125" s="9">
        <v>176</v>
      </c>
      <c r="AF125" s="9">
        <v>2</v>
      </c>
      <c r="AH125" s="93" t="s">
        <v>65</v>
      </c>
      <c r="AI125" s="89">
        <v>294</v>
      </c>
      <c r="AJ125" s="102">
        <v>4</v>
      </c>
      <c r="AK125" s="101">
        <v>1</v>
      </c>
      <c r="AL125" s="95" t="b">
        <f t="shared" si="9"/>
        <v>1</v>
      </c>
      <c r="AM125" s="95" t="b">
        <f t="shared" si="10"/>
        <v>1</v>
      </c>
    </row>
    <row r="126" spans="4:39" x14ac:dyDescent="0.25">
      <c r="D126" s="8">
        <v>122</v>
      </c>
      <c r="E126" s="48">
        <v>241</v>
      </c>
      <c r="F126" s="29">
        <v>4</v>
      </c>
      <c r="G126" s="10">
        <v>1</v>
      </c>
      <c r="H126" s="5" t="str">
        <f t="shared" si="13"/>
        <v>det_241</v>
      </c>
      <c r="I126" s="5" t="str">
        <f t="shared" si="12"/>
        <v>W:\Performance Measurement\1. Freeway\1. raw data\2010_new\data files\det_241.txt</v>
      </c>
      <c r="J126" s="5" t="str">
        <f t="shared" si="14"/>
        <v>W:\Performance Measurement\1. Freeway\1. raw data\2010_new\data files\det_241.xlsx</v>
      </c>
      <c r="K126" s="5"/>
      <c r="L126" s="47">
        <v>122</v>
      </c>
      <c r="M126" s="39" t="s">
        <v>65</v>
      </c>
      <c r="N126" s="10">
        <v>292</v>
      </c>
      <c r="O126" s="10">
        <v>4</v>
      </c>
      <c r="P126" s="10">
        <v>1</v>
      </c>
      <c r="Q126" s="19">
        <v>1</v>
      </c>
      <c r="R126" s="67" t="s">
        <v>240</v>
      </c>
      <c r="S126" s="83">
        <v>1</v>
      </c>
      <c r="T126" s="83">
        <v>1</v>
      </c>
      <c r="U126" s="19">
        <v>1</v>
      </c>
      <c r="V126" s="58" t="s">
        <v>140</v>
      </c>
      <c r="W126" s="19">
        <v>1</v>
      </c>
      <c r="X126" s="5"/>
      <c r="Y126" s="25">
        <v>303</v>
      </c>
      <c r="Z126" s="25">
        <v>3</v>
      </c>
      <c r="AA126" s="25">
        <v>1</v>
      </c>
      <c r="AB126" s="19">
        <v>1</v>
      </c>
      <c r="AC126" s="39"/>
      <c r="AE126" s="9">
        <v>410</v>
      </c>
      <c r="AF126" s="9">
        <v>2</v>
      </c>
      <c r="AH126" s="93" t="s">
        <v>65</v>
      </c>
      <c r="AI126" s="89">
        <v>292</v>
      </c>
      <c r="AJ126" s="102">
        <v>4</v>
      </c>
      <c r="AK126" s="101">
        <v>1</v>
      </c>
      <c r="AL126" s="95" t="b">
        <f t="shared" si="9"/>
        <v>1</v>
      </c>
      <c r="AM126" s="95" t="b">
        <f t="shared" si="10"/>
        <v>1</v>
      </c>
    </row>
    <row r="127" spans="4:39" x14ac:dyDescent="0.25">
      <c r="D127" s="8">
        <v>123</v>
      </c>
      <c r="E127" s="48">
        <v>243</v>
      </c>
      <c r="F127" s="29">
        <v>4</v>
      </c>
      <c r="G127" s="10">
        <v>1</v>
      </c>
      <c r="H127" s="5" t="str">
        <f t="shared" si="13"/>
        <v>det_243</v>
      </c>
      <c r="I127" s="5" t="str">
        <f t="shared" si="12"/>
        <v>W:\Performance Measurement\1. Freeway\1. raw data\2010_new\data files\det_243.txt</v>
      </c>
      <c r="J127" s="5" t="str">
        <f t="shared" si="14"/>
        <v>W:\Performance Measurement\1. Freeway\1. raw data\2010_new\data files\det_243.xlsx</v>
      </c>
      <c r="K127" s="5"/>
      <c r="L127" s="47">
        <v>123</v>
      </c>
      <c r="M127" s="39" t="s">
        <v>66</v>
      </c>
      <c r="N127" s="10">
        <v>229</v>
      </c>
      <c r="O127" s="10">
        <v>2</v>
      </c>
      <c r="P127" s="10">
        <v>1</v>
      </c>
      <c r="Q127" s="19">
        <v>1</v>
      </c>
      <c r="R127" s="67" t="s">
        <v>166</v>
      </c>
      <c r="S127" s="83">
        <v>0</v>
      </c>
      <c r="T127" s="83" t="s">
        <v>226</v>
      </c>
      <c r="U127" s="19">
        <v>1</v>
      </c>
      <c r="V127" s="70"/>
      <c r="W127" s="19">
        <v>0</v>
      </c>
      <c r="X127" s="5"/>
      <c r="Y127" s="25">
        <v>306</v>
      </c>
      <c r="Z127" s="25">
        <v>3</v>
      </c>
      <c r="AA127" s="25">
        <v>1</v>
      </c>
      <c r="AB127" s="19">
        <v>1</v>
      </c>
      <c r="AC127" s="39"/>
      <c r="AE127" s="9">
        <v>270</v>
      </c>
      <c r="AF127" s="9">
        <v>3</v>
      </c>
      <c r="AH127" s="93" t="s">
        <v>66</v>
      </c>
      <c r="AI127" s="89">
        <v>229</v>
      </c>
      <c r="AJ127" s="102">
        <v>2</v>
      </c>
      <c r="AK127" s="101">
        <v>1</v>
      </c>
      <c r="AL127" s="95" t="b">
        <f t="shared" si="9"/>
        <v>1</v>
      </c>
      <c r="AM127" s="95" t="b">
        <f t="shared" si="10"/>
        <v>1</v>
      </c>
    </row>
    <row r="128" spans="4:39" x14ac:dyDescent="0.25">
      <c r="D128" s="8">
        <v>124</v>
      </c>
      <c r="E128" s="48">
        <v>245</v>
      </c>
      <c r="F128" s="29">
        <v>5</v>
      </c>
      <c r="G128" s="10">
        <v>1</v>
      </c>
      <c r="H128" s="5" t="str">
        <f t="shared" si="13"/>
        <v>det_245</v>
      </c>
      <c r="I128" s="5" t="str">
        <f t="shared" si="12"/>
        <v>W:\Performance Measurement\1. Freeway\1. raw data\2010_new\data files\det_245.txt</v>
      </c>
      <c r="J128" s="5" t="str">
        <f t="shared" si="14"/>
        <v>W:\Performance Measurement\1. Freeway\1. raw data\2010_new\data files\det_245.xlsx</v>
      </c>
      <c r="K128" s="5"/>
      <c r="L128" s="47">
        <v>124</v>
      </c>
      <c r="M128" s="39" t="s">
        <v>66</v>
      </c>
      <c r="N128" s="10">
        <v>230</v>
      </c>
      <c r="O128" s="29">
        <v>3</v>
      </c>
      <c r="P128" s="10">
        <v>1</v>
      </c>
      <c r="Q128" s="19">
        <v>1</v>
      </c>
      <c r="R128" s="67" t="s">
        <v>255</v>
      </c>
      <c r="S128" s="83">
        <v>1</v>
      </c>
      <c r="T128" s="83">
        <v>0</v>
      </c>
      <c r="U128" s="66" t="s">
        <v>175</v>
      </c>
      <c r="V128" s="58" t="s">
        <v>178</v>
      </c>
      <c r="W128" s="19">
        <v>1</v>
      </c>
      <c r="X128" s="5"/>
      <c r="Y128" s="25">
        <v>309</v>
      </c>
      <c r="Z128" s="25">
        <v>3</v>
      </c>
      <c r="AA128" s="25">
        <v>1</v>
      </c>
      <c r="AB128" s="19">
        <v>1</v>
      </c>
      <c r="AC128" s="39"/>
      <c r="AE128" s="9">
        <v>261</v>
      </c>
      <c r="AF128" s="9">
        <v>3</v>
      </c>
      <c r="AH128" s="93" t="s">
        <v>66</v>
      </c>
      <c r="AI128" s="89">
        <v>230</v>
      </c>
      <c r="AJ128" s="103">
        <v>4</v>
      </c>
      <c r="AK128" s="101">
        <v>1</v>
      </c>
      <c r="AL128" s="95" t="b">
        <f t="shared" si="9"/>
        <v>0</v>
      </c>
      <c r="AM128" s="95" t="b">
        <f t="shared" si="10"/>
        <v>1</v>
      </c>
    </row>
    <row r="129" spans="4:39" x14ac:dyDescent="0.25">
      <c r="D129" s="8">
        <v>125</v>
      </c>
      <c r="E129" s="48">
        <v>246</v>
      </c>
      <c r="F129" s="29">
        <v>5</v>
      </c>
      <c r="G129" s="10">
        <v>1</v>
      </c>
      <c r="H129" s="5" t="str">
        <f t="shared" si="13"/>
        <v>det_246</v>
      </c>
      <c r="I129" s="5" t="str">
        <f t="shared" si="12"/>
        <v>W:\Performance Measurement\1. Freeway\1. raw data\2010_new\data files\det_246.txt</v>
      </c>
      <c r="J129" s="5" t="str">
        <f t="shared" si="14"/>
        <v>W:\Performance Measurement\1. Freeway\1. raw data\2010_new\data files\det_246.xlsx</v>
      </c>
      <c r="K129" s="5"/>
      <c r="L129" s="47">
        <v>125</v>
      </c>
      <c r="M129" s="39" t="s">
        <v>66</v>
      </c>
      <c r="N129" s="10">
        <v>233</v>
      </c>
      <c r="O129" s="29">
        <v>3</v>
      </c>
      <c r="P129" s="10">
        <v>1</v>
      </c>
      <c r="Q129" s="19">
        <v>1</v>
      </c>
      <c r="R129" s="67" t="s">
        <v>255</v>
      </c>
      <c r="S129" s="83">
        <v>1</v>
      </c>
      <c r="T129" s="83">
        <v>0</v>
      </c>
      <c r="U129" s="66" t="s">
        <v>175</v>
      </c>
      <c r="V129" s="58" t="s">
        <v>178</v>
      </c>
      <c r="W129" s="19">
        <v>1</v>
      </c>
      <c r="X129" s="5"/>
      <c r="Y129" s="25">
        <v>312</v>
      </c>
      <c r="Z129" s="25">
        <v>3</v>
      </c>
      <c r="AA129" s="25">
        <v>1</v>
      </c>
      <c r="AB129" s="19">
        <v>1</v>
      </c>
      <c r="AC129" s="39"/>
      <c r="AE129" s="9">
        <v>178</v>
      </c>
      <c r="AF129" s="9">
        <v>3</v>
      </c>
      <c r="AH129" s="93" t="s">
        <v>66</v>
      </c>
      <c r="AI129" s="89">
        <v>233</v>
      </c>
      <c r="AJ129" s="103">
        <v>4</v>
      </c>
      <c r="AK129" s="101">
        <v>1</v>
      </c>
      <c r="AL129" s="95" t="b">
        <f t="shared" si="9"/>
        <v>0</v>
      </c>
      <c r="AM129" s="95" t="b">
        <f t="shared" si="10"/>
        <v>1</v>
      </c>
    </row>
    <row r="130" spans="4:39" x14ac:dyDescent="0.25">
      <c r="D130" s="8">
        <v>126</v>
      </c>
      <c r="E130" s="48">
        <v>248</v>
      </c>
      <c r="F130" s="29">
        <v>5</v>
      </c>
      <c r="G130" s="10">
        <v>1</v>
      </c>
      <c r="H130" s="5" t="str">
        <f t="shared" si="13"/>
        <v>det_248</v>
      </c>
      <c r="I130" s="5" t="str">
        <f t="shared" si="12"/>
        <v>W:\Performance Measurement\1. Freeway\1. raw data\2010_new\data files\det_248.txt</v>
      </c>
      <c r="J130" s="5" t="str">
        <f t="shared" si="14"/>
        <v>W:\Performance Measurement\1. Freeway\1. raw data\2010_new\data files\det_248.xlsx</v>
      </c>
      <c r="K130" s="5"/>
      <c r="L130" s="47">
        <v>126</v>
      </c>
      <c r="M130" s="39" t="s">
        <v>66</v>
      </c>
      <c r="N130" s="10">
        <v>235</v>
      </c>
      <c r="O130" s="29">
        <v>4</v>
      </c>
      <c r="P130" s="10">
        <v>1</v>
      </c>
      <c r="Q130" s="19">
        <v>1</v>
      </c>
      <c r="R130" s="67" t="s">
        <v>256</v>
      </c>
      <c r="S130" s="83">
        <v>1</v>
      </c>
      <c r="T130" s="83">
        <v>0</v>
      </c>
      <c r="U130" s="66" t="s">
        <v>176</v>
      </c>
      <c r="V130" s="58" t="s">
        <v>179</v>
      </c>
      <c r="W130" s="19">
        <v>1</v>
      </c>
      <c r="X130" s="5"/>
      <c r="Y130" s="25">
        <v>313</v>
      </c>
      <c r="Z130" s="25">
        <v>3</v>
      </c>
      <c r="AA130" s="25">
        <v>1</v>
      </c>
      <c r="AB130" s="19">
        <v>1</v>
      </c>
      <c r="AC130" s="39"/>
      <c r="AE130" s="9">
        <v>182</v>
      </c>
      <c r="AF130" s="9">
        <v>3</v>
      </c>
      <c r="AH130" s="93" t="s">
        <v>66</v>
      </c>
      <c r="AI130" s="89">
        <v>235</v>
      </c>
      <c r="AJ130" s="103">
        <v>5</v>
      </c>
      <c r="AK130" s="101">
        <v>1</v>
      </c>
      <c r="AL130" s="95" t="b">
        <f t="shared" si="9"/>
        <v>0</v>
      </c>
      <c r="AM130" s="95" t="b">
        <f t="shared" si="10"/>
        <v>1</v>
      </c>
    </row>
    <row r="131" spans="4:39" x14ac:dyDescent="0.25">
      <c r="D131" s="8">
        <v>127</v>
      </c>
      <c r="E131" s="48">
        <v>250</v>
      </c>
      <c r="F131" s="29">
        <v>5</v>
      </c>
      <c r="G131" s="10">
        <v>1</v>
      </c>
      <c r="H131" s="5" t="str">
        <f t="shared" si="13"/>
        <v>det_250</v>
      </c>
      <c r="I131" s="5" t="str">
        <f t="shared" si="12"/>
        <v>W:\Performance Measurement\1. Freeway\1. raw data\2010_new\data files\det_250.txt</v>
      </c>
      <c r="J131" s="5" t="str">
        <f t="shared" si="14"/>
        <v>W:\Performance Measurement\1. Freeway\1. raw data\2010_new\data files\det_250.xlsx</v>
      </c>
      <c r="K131" s="5"/>
      <c r="L131" s="47">
        <v>127</v>
      </c>
      <c r="M131" s="39" t="s">
        <v>66</v>
      </c>
      <c r="N131" s="10">
        <v>237</v>
      </c>
      <c r="O131" s="29">
        <v>3</v>
      </c>
      <c r="P131" s="10">
        <v>1</v>
      </c>
      <c r="Q131" s="19">
        <v>1</v>
      </c>
      <c r="R131" s="67" t="s">
        <v>257</v>
      </c>
      <c r="S131" s="83">
        <v>1</v>
      </c>
      <c r="T131" s="83">
        <v>0</v>
      </c>
      <c r="U131" s="66" t="s">
        <v>175</v>
      </c>
      <c r="V131" s="58" t="s">
        <v>178</v>
      </c>
      <c r="W131" s="19">
        <v>1</v>
      </c>
      <c r="X131" s="5"/>
      <c r="Y131" s="25">
        <v>316</v>
      </c>
      <c r="Z131" s="25">
        <v>4</v>
      </c>
      <c r="AA131" s="25">
        <v>1</v>
      </c>
      <c r="AB131" s="19">
        <v>1</v>
      </c>
      <c r="AC131" s="39"/>
      <c r="AE131" s="9">
        <v>325</v>
      </c>
      <c r="AF131" s="9">
        <v>3</v>
      </c>
      <c r="AH131" s="93" t="s">
        <v>66</v>
      </c>
      <c r="AI131" s="89">
        <v>237</v>
      </c>
      <c r="AJ131" s="103">
        <v>4</v>
      </c>
      <c r="AK131" s="101">
        <v>1</v>
      </c>
      <c r="AL131" s="95" t="b">
        <f t="shared" si="9"/>
        <v>0</v>
      </c>
      <c r="AM131" s="95" t="b">
        <f t="shared" si="10"/>
        <v>1</v>
      </c>
    </row>
    <row r="132" spans="4:39" x14ac:dyDescent="0.25">
      <c r="D132" s="8">
        <v>128</v>
      </c>
      <c r="E132" s="48">
        <v>252</v>
      </c>
      <c r="F132" s="29">
        <v>5</v>
      </c>
      <c r="G132" s="10">
        <v>1</v>
      </c>
      <c r="H132" s="5" t="str">
        <f t="shared" si="13"/>
        <v>det_252</v>
      </c>
      <c r="I132" s="5" t="str">
        <f t="shared" si="12"/>
        <v>W:\Performance Measurement\1. Freeway\1. raw data\2010_new\data files\det_252.txt</v>
      </c>
      <c r="J132" s="5" t="str">
        <f t="shared" si="14"/>
        <v>W:\Performance Measurement\1. Freeway\1. raw data\2010_new\data files\det_252.xlsx</v>
      </c>
      <c r="K132" s="5"/>
      <c r="L132" s="47">
        <v>128</v>
      </c>
      <c r="M132" s="39" t="s">
        <v>66</v>
      </c>
      <c r="N132" s="10">
        <v>239</v>
      </c>
      <c r="O132" s="29">
        <v>3</v>
      </c>
      <c r="P132" s="10">
        <v>1</v>
      </c>
      <c r="Q132" s="19">
        <v>1</v>
      </c>
      <c r="R132" s="67" t="s">
        <v>258</v>
      </c>
      <c r="S132" s="83">
        <v>1</v>
      </c>
      <c r="T132" s="83">
        <v>0</v>
      </c>
      <c r="U132" s="66" t="s">
        <v>177</v>
      </c>
      <c r="V132" s="58" t="s">
        <v>179</v>
      </c>
      <c r="W132" s="19">
        <v>1</v>
      </c>
      <c r="X132" s="5"/>
      <c r="Y132" s="25">
        <v>318</v>
      </c>
      <c r="Z132" s="25">
        <v>4</v>
      </c>
      <c r="AA132" s="25">
        <v>1</v>
      </c>
      <c r="AB132" s="19">
        <v>1</v>
      </c>
      <c r="AC132" s="39"/>
      <c r="AE132" s="9">
        <v>328</v>
      </c>
      <c r="AF132" s="9">
        <v>3</v>
      </c>
      <c r="AH132" s="93" t="s">
        <v>66</v>
      </c>
      <c r="AI132" s="89">
        <v>239</v>
      </c>
      <c r="AJ132" s="103">
        <v>4</v>
      </c>
      <c r="AK132" s="101">
        <v>1</v>
      </c>
      <c r="AL132" s="95" t="b">
        <f t="shared" ref="AL132:AL195" si="15">O132=AJ132</f>
        <v>0</v>
      </c>
      <c r="AM132" s="95" t="b">
        <f t="shared" ref="AM132:AM195" si="16">P132=AK132</f>
        <v>1</v>
      </c>
    </row>
    <row r="133" spans="4:39" x14ac:dyDescent="0.25">
      <c r="D133" s="8">
        <v>129</v>
      </c>
      <c r="E133" s="48">
        <v>254</v>
      </c>
      <c r="F133" s="10">
        <v>5</v>
      </c>
      <c r="G133" s="10">
        <v>1</v>
      </c>
      <c r="H133" s="5" t="str">
        <f t="shared" si="13"/>
        <v>det_254</v>
      </c>
      <c r="I133" s="5" t="str">
        <f t="shared" ref="I133:I180" si="17">$B$5&amp;"\"&amp;H133&amp;".txt"</f>
        <v>W:\Performance Measurement\1. Freeway\1. raw data\2010_new\data files\det_254.txt</v>
      </c>
      <c r="J133" s="5" t="str">
        <f t="shared" si="14"/>
        <v>W:\Performance Measurement\1. Freeway\1. raw data\2010_new\data files\det_254.xlsx</v>
      </c>
      <c r="K133" s="5"/>
      <c r="L133" s="47">
        <v>129</v>
      </c>
      <c r="M133" s="39" t="s">
        <v>66</v>
      </c>
      <c r="N133" s="10">
        <v>241</v>
      </c>
      <c r="O133" s="29">
        <v>3</v>
      </c>
      <c r="P133" s="10">
        <v>1</v>
      </c>
      <c r="Q133" s="19">
        <v>1</v>
      </c>
      <c r="R133" s="67" t="s">
        <v>257</v>
      </c>
      <c r="S133" s="83">
        <v>1</v>
      </c>
      <c r="T133" s="83">
        <v>0</v>
      </c>
      <c r="U133" s="66" t="s">
        <v>175</v>
      </c>
      <c r="V133" s="58" t="s">
        <v>178</v>
      </c>
      <c r="W133" s="19">
        <v>1</v>
      </c>
      <c r="X133" s="5"/>
      <c r="Y133" s="25">
        <v>321</v>
      </c>
      <c r="Z133" s="25">
        <v>5</v>
      </c>
      <c r="AA133" s="25">
        <v>1</v>
      </c>
      <c r="AB133" s="19">
        <v>1</v>
      </c>
      <c r="AC133" s="39"/>
      <c r="AE133" s="9">
        <v>331</v>
      </c>
      <c r="AF133" s="9">
        <v>3</v>
      </c>
      <c r="AH133" s="93" t="s">
        <v>66</v>
      </c>
      <c r="AI133" s="89">
        <v>241</v>
      </c>
      <c r="AJ133" s="103">
        <v>4</v>
      </c>
      <c r="AK133" s="101">
        <v>1</v>
      </c>
      <c r="AL133" s="95" t="b">
        <f t="shared" si="15"/>
        <v>0</v>
      </c>
      <c r="AM133" s="95" t="b">
        <f t="shared" si="16"/>
        <v>1</v>
      </c>
    </row>
    <row r="134" spans="4:39" x14ac:dyDescent="0.25">
      <c r="D134" s="8">
        <v>130</v>
      </c>
      <c r="E134" s="48">
        <v>275</v>
      </c>
      <c r="F134" s="29">
        <v>5</v>
      </c>
      <c r="G134" s="10">
        <v>1</v>
      </c>
      <c r="H134" s="5" t="str">
        <f t="shared" si="13"/>
        <v>det_275</v>
      </c>
      <c r="I134" s="5" t="str">
        <f t="shared" si="17"/>
        <v>W:\Performance Measurement\1. Freeway\1. raw data\2010_new\data files\det_275.txt</v>
      </c>
      <c r="J134" s="5" t="str">
        <f t="shared" si="14"/>
        <v>W:\Performance Measurement\1. Freeway\1. raw data\2010_new\data files\det_275.xlsx</v>
      </c>
      <c r="K134" s="5"/>
      <c r="L134" s="47">
        <v>130</v>
      </c>
      <c r="M134" s="39" t="s">
        <v>66</v>
      </c>
      <c r="N134" s="10">
        <v>243</v>
      </c>
      <c r="O134" s="29">
        <v>3</v>
      </c>
      <c r="P134" s="10">
        <v>1</v>
      </c>
      <c r="Q134" s="19">
        <v>1</v>
      </c>
      <c r="R134" s="67" t="s">
        <v>259</v>
      </c>
      <c r="S134" s="83">
        <v>1</v>
      </c>
      <c r="T134" s="83">
        <v>0</v>
      </c>
      <c r="U134" s="66" t="s">
        <v>177</v>
      </c>
      <c r="V134" s="58" t="s">
        <v>179</v>
      </c>
      <c r="W134" s="19">
        <v>1</v>
      </c>
      <c r="X134" s="5"/>
      <c r="Y134" s="25">
        <v>323</v>
      </c>
      <c r="Z134" s="25">
        <v>4</v>
      </c>
      <c r="AA134" s="25">
        <v>1</v>
      </c>
      <c r="AB134" s="19" t="s">
        <v>43</v>
      </c>
      <c r="AC134" s="39"/>
      <c r="AE134" s="9">
        <v>334</v>
      </c>
      <c r="AF134" s="9">
        <v>3</v>
      </c>
      <c r="AH134" s="93" t="s">
        <v>66</v>
      </c>
      <c r="AI134" s="89">
        <v>243</v>
      </c>
      <c r="AJ134" s="103">
        <v>4</v>
      </c>
      <c r="AK134" s="101">
        <v>1</v>
      </c>
      <c r="AL134" s="95" t="b">
        <f t="shared" si="15"/>
        <v>0</v>
      </c>
      <c r="AM134" s="95" t="b">
        <f t="shared" si="16"/>
        <v>1</v>
      </c>
    </row>
    <row r="135" spans="4:39" x14ac:dyDescent="0.25">
      <c r="D135" s="8">
        <v>131</v>
      </c>
      <c r="E135" s="48">
        <v>278</v>
      </c>
      <c r="F135" s="10">
        <v>4</v>
      </c>
      <c r="G135" s="10">
        <v>1</v>
      </c>
      <c r="H135" s="5" t="str">
        <f t="shared" si="13"/>
        <v>det_278</v>
      </c>
      <c r="I135" s="5" t="str">
        <f t="shared" si="17"/>
        <v>W:\Performance Measurement\1. Freeway\1. raw data\2010_new\data files\det_278.txt</v>
      </c>
      <c r="J135" s="5" t="str">
        <f t="shared" si="14"/>
        <v>W:\Performance Measurement\1. Freeway\1. raw data\2010_new\data files\det_278.xlsx</v>
      </c>
      <c r="K135" s="5"/>
      <c r="L135" s="47">
        <v>131</v>
      </c>
      <c r="M135" s="39" t="s">
        <v>66</v>
      </c>
      <c r="N135" s="10">
        <v>245</v>
      </c>
      <c r="O135" s="10">
        <v>5</v>
      </c>
      <c r="P135" s="10">
        <v>1</v>
      </c>
      <c r="Q135" s="19">
        <v>1</v>
      </c>
      <c r="R135" s="67" t="s">
        <v>244</v>
      </c>
      <c r="S135" s="83">
        <v>0</v>
      </c>
      <c r="T135" s="83" t="s">
        <v>226</v>
      </c>
      <c r="U135" s="66" t="s">
        <v>177</v>
      </c>
      <c r="V135" s="58" t="s">
        <v>178</v>
      </c>
      <c r="W135" s="19">
        <v>1</v>
      </c>
      <c r="X135" s="5"/>
      <c r="Y135" s="25">
        <v>325</v>
      </c>
      <c r="Z135" s="25">
        <v>3</v>
      </c>
      <c r="AA135" s="25">
        <v>1</v>
      </c>
      <c r="AB135" s="19">
        <v>1</v>
      </c>
      <c r="AC135" s="39"/>
      <c r="AE135" s="9">
        <v>309</v>
      </c>
      <c r="AF135" s="11">
        <v>3</v>
      </c>
      <c r="AH135" s="93" t="s">
        <v>66</v>
      </c>
      <c r="AI135" s="89">
        <v>245</v>
      </c>
      <c r="AJ135" s="103">
        <v>5</v>
      </c>
      <c r="AK135" s="101">
        <v>1</v>
      </c>
      <c r="AL135" s="95" t="b">
        <f t="shared" si="15"/>
        <v>1</v>
      </c>
      <c r="AM135" s="95" t="b">
        <f t="shared" si="16"/>
        <v>1</v>
      </c>
    </row>
    <row r="136" spans="4:39" x14ac:dyDescent="0.25">
      <c r="D136" s="8">
        <v>132</v>
      </c>
      <c r="E136" s="48">
        <v>284</v>
      </c>
      <c r="F136" s="10">
        <v>3</v>
      </c>
      <c r="G136" s="10">
        <v>1</v>
      </c>
      <c r="H136" s="5" t="str">
        <f t="shared" si="13"/>
        <v>det_284</v>
      </c>
      <c r="I136" s="5" t="str">
        <f t="shared" si="17"/>
        <v>W:\Performance Measurement\1. Freeway\1. raw data\2010_new\data files\det_284.txt</v>
      </c>
      <c r="J136" s="5" t="str">
        <f t="shared" si="14"/>
        <v>W:\Performance Measurement\1. Freeway\1. raw data\2010_new\data files\det_284.xlsx</v>
      </c>
      <c r="K136" s="5"/>
      <c r="L136" s="47">
        <v>132</v>
      </c>
      <c r="M136" s="39" t="s">
        <v>66</v>
      </c>
      <c r="N136" s="10">
        <v>246</v>
      </c>
      <c r="O136" s="10">
        <v>5</v>
      </c>
      <c r="P136" s="10">
        <v>1</v>
      </c>
      <c r="Q136" s="19">
        <v>1</v>
      </c>
      <c r="R136" s="67" t="s">
        <v>244</v>
      </c>
      <c r="S136" s="83">
        <v>0</v>
      </c>
      <c r="T136" s="83" t="s">
        <v>226</v>
      </c>
      <c r="U136" s="66" t="s">
        <v>176</v>
      </c>
      <c r="V136" s="58" t="s">
        <v>180</v>
      </c>
      <c r="W136" s="19">
        <v>1</v>
      </c>
      <c r="X136" s="5"/>
      <c r="Y136" s="25">
        <v>328</v>
      </c>
      <c r="Z136" s="25">
        <v>3</v>
      </c>
      <c r="AA136" s="25">
        <v>1</v>
      </c>
      <c r="AB136" s="19">
        <v>1</v>
      </c>
      <c r="AC136" s="39"/>
      <c r="AE136" s="9">
        <v>306</v>
      </c>
      <c r="AF136" s="11">
        <v>3</v>
      </c>
      <c r="AH136" s="93" t="s">
        <v>66</v>
      </c>
      <c r="AI136" s="89">
        <v>246</v>
      </c>
      <c r="AJ136" s="103">
        <v>5</v>
      </c>
      <c r="AK136" s="101">
        <v>1</v>
      </c>
      <c r="AL136" s="95" t="b">
        <f t="shared" si="15"/>
        <v>1</v>
      </c>
      <c r="AM136" s="95" t="b">
        <f t="shared" si="16"/>
        <v>1</v>
      </c>
    </row>
    <row r="137" spans="4:39" x14ac:dyDescent="0.25">
      <c r="D137" s="8">
        <v>133</v>
      </c>
      <c r="E137" s="48">
        <v>286</v>
      </c>
      <c r="F137" s="10">
        <v>3</v>
      </c>
      <c r="G137" s="10">
        <v>1</v>
      </c>
      <c r="H137" s="5" t="str">
        <f t="shared" si="13"/>
        <v>det_286</v>
      </c>
      <c r="I137" s="5" t="str">
        <f t="shared" si="17"/>
        <v>W:\Performance Measurement\1. Freeway\1. raw data\2010_new\data files\det_286.txt</v>
      </c>
      <c r="J137" s="5" t="str">
        <f t="shared" si="14"/>
        <v>W:\Performance Measurement\1. Freeway\1. raw data\2010_new\data files\det_286.xlsx</v>
      </c>
      <c r="K137" s="5"/>
      <c r="L137" s="47">
        <v>133</v>
      </c>
      <c r="M137" s="39" t="s">
        <v>66</v>
      </c>
      <c r="N137" s="10">
        <v>248</v>
      </c>
      <c r="O137" s="10">
        <v>5</v>
      </c>
      <c r="P137" s="10">
        <v>1</v>
      </c>
      <c r="Q137" s="19">
        <v>1</v>
      </c>
      <c r="R137" s="67" t="s">
        <v>244</v>
      </c>
      <c r="S137" s="83">
        <v>0</v>
      </c>
      <c r="T137" s="83" t="s">
        <v>226</v>
      </c>
      <c r="U137" s="66" t="s">
        <v>177</v>
      </c>
      <c r="V137" s="58" t="s">
        <v>178</v>
      </c>
      <c r="W137" s="19">
        <v>1</v>
      </c>
      <c r="X137" s="5"/>
      <c r="Y137" s="25">
        <v>331</v>
      </c>
      <c r="Z137" s="25">
        <v>3</v>
      </c>
      <c r="AA137" s="25">
        <v>1</v>
      </c>
      <c r="AB137" s="19">
        <v>1</v>
      </c>
      <c r="AC137" s="39"/>
      <c r="AE137" s="9">
        <v>303</v>
      </c>
      <c r="AF137" s="9">
        <v>3</v>
      </c>
      <c r="AH137" s="93" t="s">
        <v>66</v>
      </c>
      <c r="AI137" s="89">
        <v>248</v>
      </c>
      <c r="AJ137" s="103">
        <v>6</v>
      </c>
      <c r="AK137" s="101">
        <v>1</v>
      </c>
      <c r="AL137" s="95" t="b">
        <f t="shared" si="15"/>
        <v>0</v>
      </c>
      <c r="AM137" s="95" t="b">
        <f t="shared" si="16"/>
        <v>1</v>
      </c>
    </row>
    <row r="138" spans="4:39" x14ac:dyDescent="0.25">
      <c r="D138" s="8">
        <v>134</v>
      </c>
      <c r="E138" s="48">
        <v>288</v>
      </c>
      <c r="F138" s="10">
        <v>3</v>
      </c>
      <c r="G138" s="10">
        <v>1</v>
      </c>
      <c r="H138" s="5" t="str">
        <f t="shared" si="13"/>
        <v>det_288</v>
      </c>
      <c r="I138" s="5" t="str">
        <f t="shared" si="17"/>
        <v>W:\Performance Measurement\1. Freeway\1. raw data\2010_new\data files\det_288.txt</v>
      </c>
      <c r="J138" s="5" t="str">
        <f t="shared" si="14"/>
        <v>W:\Performance Measurement\1. Freeway\1. raw data\2010_new\data files\det_288.xlsx</v>
      </c>
      <c r="K138" s="5"/>
      <c r="L138" s="47">
        <v>134</v>
      </c>
      <c r="M138" s="39" t="s">
        <v>66</v>
      </c>
      <c r="N138" s="10">
        <v>250</v>
      </c>
      <c r="O138" s="10">
        <v>5</v>
      </c>
      <c r="P138" s="10">
        <v>1</v>
      </c>
      <c r="Q138" s="19">
        <v>1</v>
      </c>
      <c r="R138" s="67" t="s">
        <v>244</v>
      </c>
      <c r="S138" s="83">
        <v>0</v>
      </c>
      <c r="T138" s="83" t="s">
        <v>226</v>
      </c>
      <c r="U138" s="66" t="s">
        <v>176</v>
      </c>
      <c r="V138" s="58" t="s">
        <v>179</v>
      </c>
      <c r="W138" s="19">
        <v>1</v>
      </c>
      <c r="X138" s="5"/>
      <c r="Y138" s="25">
        <v>334</v>
      </c>
      <c r="Z138" s="25">
        <v>3</v>
      </c>
      <c r="AA138" s="25">
        <v>1</v>
      </c>
      <c r="AB138" s="19">
        <v>1</v>
      </c>
      <c r="AC138" s="39"/>
      <c r="AE138" s="9">
        <v>122</v>
      </c>
      <c r="AF138" s="9">
        <v>3</v>
      </c>
      <c r="AH138" s="93" t="s">
        <v>66</v>
      </c>
      <c r="AI138" s="89">
        <v>250</v>
      </c>
      <c r="AJ138" s="103">
        <v>5</v>
      </c>
      <c r="AK138" s="101">
        <v>1</v>
      </c>
      <c r="AL138" s="95" t="b">
        <f t="shared" si="15"/>
        <v>1</v>
      </c>
      <c r="AM138" s="95" t="b">
        <f t="shared" si="16"/>
        <v>1</v>
      </c>
    </row>
    <row r="139" spans="4:39" x14ac:dyDescent="0.25">
      <c r="D139" s="8">
        <v>135</v>
      </c>
      <c r="E139" s="48">
        <v>225</v>
      </c>
      <c r="F139" s="10">
        <v>3</v>
      </c>
      <c r="G139" s="10">
        <v>1</v>
      </c>
      <c r="H139" s="5" t="str">
        <f t="shared" si="13"/>
        <v>det_225</v>
      </c>
      <c r="I139" s="5" t="str">
        <f t="shared" si="17"/>
        <v>W:\Performance Measurement\1. Freeway\1. raw data\2010_new\data files\det_225.txt</v>
      </c>
      <c r="J139" s="5" t="str">
        <f t="shared" si="14"/>
        <v>W:\Performance Measurement\1. Freeway\1. raw data\2010_new\data files\det_225.xlsx</v>
      </c>
      <c r="K139" s="5"/>
      <c r="L139" s="47">
        <v>135</v>
      </c>
      <c r="M139" s="39" t="s">
        <v>66</v>
      </c>
      <c r="N139" s="10">
        <v>252</v>
      </c>
      <c r="O139" s="10">
        <v>5</v>
      </c>
      <c r="P139" s="10">
        <v>1</v>
      </c>
      <c r="Q139" s="19">
        <v>1</v>
      </c>
      <c r="R139" s="67" t="s">
        <v>244</v>
      </c>
      <c r="S139" s="83">
        <v>0</v>
      </c>
      <c r="T139" s="83" t="s">
        <v>226</v>
      </c>
      <c r="U139" s="66" t="s">
        <v>177</v>
      </c>
      <c r="V139" s="58" t="s">
        <v>178</v>
      </c>
      <c r="W139" s="19">
        <v>1</v>
      </c>
      <c r="X139" s="5"/>
      <c r="Y139" s="25">
        <v>336</v>
      </c>
      <c r="Z139" s="25">
        <v>3</v>
      </c>
      <c r="AA139" s="25">
        <v>1</v>
      </c>
      <c r="AB139" s="19">
        <v>14</v>
      </c>
      <c r="AC139" s="39"/>
      <c r="AE139" s="9">
        <v>163</v>
      </c>
      <c r="AF139" s="9">
        <v>3</v>
      </c>
      <c r="AH139" s="93" t="s">
        <v>66</v>
      </c>
      <c r="AI139" s="89">
        <v>252</v>
      </c>
      <c r="AJ139" s="103">
        <v>6</v>
      </c>
      <c r="AK139" s="101">
        <v>1</v>
      </c>
      <c r="AL139" s="95" t="b">
        <f t="shared" si="15"/>
        <v>0</v>
      </c>
      <c r="AM139" s="95" t="b">
        <f t="shared" si="16"/>
        <v>1</v>
      </c>
    </row>
    <row r="140" spans="4:39" x14ac:dyDescent="0.25">
      <c r="D140" s="8">
        <v>136</v>
      </c>
      <c r="E140" s="48">
        <v>223</v>
      </c>
      <c r="F140" s="10">
        <v>4</v>
      </c>
      <c r="G140" s="10">
        <v>1</v>
      </c>
      <c r="H140" s="5" t="str">
        <f t="shared" si="13"/>
        <v>det_223</v>
      </c>
      <c r="I140" s="5" t="str">
        <f t="shared" si="17"/>
        <v>W:\Performance Measurement\1. Freeway\1. raw data\2010_new\data files\det_223.txt</v>
      </c>
      <c r="J140" s="5" t="str">
        <f t="shared" si="14"/>
        <v>W:\Performance Measurement\1. Freeway\1. raw data\2010_new\data files\det_223.xlsx</v>
      </c>
      <c r="K140" s="5"/>
      <c r="L140" s="47">
        <v>136</v>
      </c>
      <c r="M140" s="39" t="s">
        <v>66</v>
      </c>
      <c r="N140" s="10">
        <v>254</v>
      </c>
      <c r="O140" s="10">
        <v>5</v>
      </c>
      <c r="P140" s="10">
        <v>1</v>
      </c>
      <c r="Q140" s="19">
        <v>1</v>
      </c>
      <c r="R140" s="67" t="s">
        <v>244</v>
      </c>
      <c r="S140" s="83">
        <v>0</v>
      </c>
      <c r="T140" s="83" t="s">
        <v>226</v>
      </c>
      <c r="U140" s="66" t="s">
        <v>176</v>
      </c>
      <c r="V140" s="71" t="s">
        <v>181</v>
      </c>
      <c r="W140" s="57">
        <v>1</v>
      </c>
      <c r="X140" s="5"/>
      <c r="Y140" s="25">
        <v>337</v>
      </c>
      <c r="Z140" s="25">
        <v>3</v>
      </c>
      <c r="AA140" s="25">
        <v>1</v>
      </c>
      <c r="AB140" s="19">
        <v>1</v>
      </c>
      <c r="AC140" s="39"/>
      <c r="AE140" s="9">
        <v>256</v>
      </c>
      <c r="AF140" s="9">
        <v>3</v>
      </c>
      <c r="AH140" s="93" t="s">
        <v>66</v>
      </c>
      <c r="AI140" s="89">
        <v>254</v>
      </c>
      <c r="AJ140" s="103">
        <v>3</v>
      </c>
      <c r="AK140" s="101">
        <v>1</v>
      </c>
      <c r="AL140" s="95" t="b">
        <f t="shared" si="15"/>
        <v>0</v>
      </c>
      <c r="AM140" s="95" t="b">
        <f t="shared" si="16"/>
        <v>1</v>
      </c>
    </row>
    <row r="141" spans="4:39" x14ac:dyDescent="0.25">
      <c r="D141" s="8">
        <v>137</v>
      </c>
      <c r="E141" s="48">
        <v>220</v>
      </c>
      <c r="F141" s="10">
        <v>3</v>
      </c>
      <c r="G141" s="10">
        <v>1</v>
      </c>
      <c r="H141" s="5" t="str">
        <f t="shared" si="13"/>
        <v>det_220</v>
      </c>
      <c r="I141" s="5" t="str">
        <f t="shared" si="17"/>
        <v>W:\Performance Measurement\1. Freeway\1. raw data\2010_new\data files\det_220.txt</v>
      </c>
      <c r="J141" s="5" t="str">
        <f t="shared" si="14"/>
        <v>W:\Performance Measurement\1. Freeway\1. raw data\2010_new\data files\det_220.xlsx</v>
      </c>
      <c r="K141" s="5"/>
      <c r="L141" s="47">
        <v>137</v>
      </c>
      <c r="M141" s="39" t="s">
        <v>66</v>
      </c>
      <c r="N141" s="77">
        <v>272</v>
      </c>
      <c r="O141" s="29">
        <v>3</v>
      </c>
      <c r="P141" s="10">
        <v>1</v>
      </c>
      <c r="Q141" s="19">
        <v>1</v>
      </c>
      <c r="R141" s="67" t="s">
        <v>167</v>
      </c>
      <c r="S141" s="19">
        <v>0</v>
      </c>
      <c r="T141" s="83" t="s">
        <v>226</v>
      </c>
      <c r="U141" s="56" t="s">
        <v>143</v>
      </c>
      <c r="V141" s="58" t="s">
        <v>182</v>
      </c>
      <c r="W141" s="75">
        <v>1</v>
      </c>
      <c r="X141" s="5"/>
      <c r="Y141" s="25">
        <v>340</v>
      </c>
      <c r="Z141" s="25">
        <v>3</v>
      </c>
      <c r="AA141" s="25">
        <v>1</v>
      </c>
      <c r="AB141" s="19">
        <v>1</v>
      </c>
      <c r="AC141" s="39"/>
      <c r="AE141" s="9">
        <v>264</v>
      </c>
      <c r="AF141" s="9">
        <v>4</v>
      </c>
      <c r="AH141" s="93" t="s">
        <v>66</v>
      </c>
      <c r="AI141" s="89">
        <v>272</v>
      </c>
      <c r="AJ141" s="102">
        <v>3</v>
      </c>
      <c r="AK141" s="101">
        <v>1</v>
      </c>
      <c r="AL141" s="95" t="b">
        <f t="shared" si="15"/>
        <v>1</v>
      </c>
      <c r="AM141" s="95" t="b">
        <f t="shared" si="16"/>
        <v>1</v>
      </c>
    </row>
    <row r="142" spans="4:39" x14ac:dyDescent="0.25">
      <c r="D142" s="8">
        <v>138</v>
      </c>
      <c r="E142" s="48">
        <v>217</v>
      </c>
      <c r="F142" s="10">
        <v>2</v>
      </c>
      <c r="G142" s="10">
        <v>1</v>
      </c>
      <c r="H142" s="5" t="str">
        <f t="shared" si="13"/>
        <v>det_217</v>
      </c>
      <c r="I142" s="5" t="str">
        <f t="shared" si="17"/>
        <v>W:\Performance Measurement\1. Freeway\1. raw data\2010_new\data files\det_217.txt</v>
      </c>
      <c r="J142" s="5" t="str">
        <f t="shared" si="14"/>
        <v>W:\Performance Measurement\1. Freeway\1. raw data\2010_new\data files\det_217.xlsx</v>
      </c>
      <c r="K142" s="5"/>
      <c r="L142" s="47">
        <v>138</v>
      </c>
      <c r="M142" s="39" t="s">
        <v>66</v>
      </c>
      <c r="N142" s="10">
        <v>275</v>
      </c>
      <c r="O142" s="29">
        <v>5</v>
      </c>
      <c r="P142" s="10">
        <v>1</v>
      </c>
      <c r="Q142" s="19">
        <v>1</v>
      </c>
      <c r="R142" s="67" t="s">
        <v>167</v>
      </c>
      <c r="S142" s="19">
        <v>0</v>
      </c>
      <c r="T142" s="83" t="s">
        <v>226</v>
      </c>
      <c r="U142" s="56" t="s">
        <v>43</v>
      </c>
      <c r="V142" s="58" t="s">
        <v>183</v>
      </c>
      <c r="W142" s="75">
        <v>1</v>
      </c>
      <c r="X142" s="5"/>
      <c r="Y142" s="25">
        <v>343</v>
      </c>
      <c r="Z142" s="25">
        <v>3</v>
      </c>
      <c r="AA142" s="25">
        <v>1</v>
      </c>
      <c r="AB142" s="19">
        <v>1</v>
      </c>
      <c r="AC142" s="39"/>
      <c r="AE142" s="9">
        <v>263</v>
      </c>
      <c r="AF142" s="9">
        <v>4</v>
      </c>
      <c r="AH142" s="93" t="s">
        <v>66</v>
      </c>
      <c r="AI142" s="89">
        <v>275</v>
      </c>
      <c r="AJ142" s="102">
        <v>5</v>
      </c>
      <c r="AK142" s="101">
        <v>1</v>
      </c>
      <c r="AL142" s="95" t="b">
        <f t="shared" si="15"/>
        <v>1</v>
      </c>
      <c r="AM142" s="95" t="b">
        <f t="shared" si="16"/>
        <v>1</v>
      </c>
    </row>
    <row r="143" spans="4:39" x14ac:dyDescent="0.25">
      <c r="D143" s="8">
        <v>139</v>
      </c>
      <c r="E143" s="48">
        <v>427</v>
      </c>
      <c r="F143" s="10">
        <v>3</v>
      </c>
      <c r="G143" s="10">
        <v>1</v>
      </c>
      <c r="H143" s="5" t="str">
        <f t="shared" si="13"/>
        <v>det_427</v>
      </c>
      <c r="I143" s="5" t="str">
        <f t="shared" si="17"/>
        <v>W:\Performance Measurement\1. Freeway\1. raw data\2010_new\data files\det_427.txt</v>
      </c>
      <c r="J143" s="5" t="str">
        <f t="shared" si="14"/>
        <v>W:\Performance Measurement\1. Freeway\1. raw data\2010_new\data files\det_427.xlsx</v>
      </c>
      <c r="K143" s="5"/>
      <c r="L143" s="47">
        <v>139</v>
      </c>
      <c r="M143" s="39" t="s">
        <v>66</v>
      </c>
      <c r="N143" s="10">
        <v>278</v>
      </c>
      <c r="O143" s="10">
        <v>4</v>
      </c>
      <c r="P143" s="10">
        <v>1</v>
      </c>
      <c r="Q143" s="19">
        <v>1</v>
      </c>
      <c r="R143" s="67" t="s">
        <v>167</v>
      </c>
      <c r="S143" s="19">
        <v>0</v>
      </c>
      <c r="T143" s="83" t="s">
        <v>226</v>
      </c>
      <c r="U143" s="19">
        <v>1</v>
      </c>
      <c r="V143" s="71" t="s">
        <v>141</v>
      </c>
      <c r="W143" s="19">
        <v>1</v>
      </c>
      <c r="X143" s="5"/>
      <c r="Y143" s="25">
        <v>346</v>
      </c>
      <c r="Z143" s="25">
        <v>3</v>
      </c>
      <c r="AA143" s="25">
        <v>1</v>
      </c>
      <c r="AB143" s="19">
        <v>1</v>
      </c>
      <c r="AC143" s="39"/>
      <c r="AE143" s="9">
        <v>441</v>
      </c>
      <c r="AF143" s="9">
        <v>4</v>
      </c>
      <c r="AH143" s="93" t="s">
        <v>66</v>
      </c>
      <c r="AI143" s="89">
        <v>278</v>
      </c>
      <c r="AJ143" s="102">
        <v>4</v>
      </c>
      <c r="AK143" s="101">
        <v>1</v>
      </c>
      <c r="AL143" s="95" t="b">
        <f t="shared" si="15"/>
        <v>1</v>
      </c>
      <c r="AM143" s="95" t="b">
        <f t="shared" si="16"/>
        <v>1</v>
      </c>
    </row>
    <row r="144" spans="4:39" x14ac:dyDescent="0.25">
      <c r="D144" s="8">
        <v>140</v>
      </c>
      <c r="E144" s="48">
        <v>428</v>
      </c>
      <c r="F144" s="10">
        <v>4</v>
      </c>
      <c r="G144" s="10">
        <v>1</v>
      </c>
      <c r="H144" s="5" t="str">
        <f t="shared" si="13"/>
        <v>det_428</v>
      </c>
      <c r="I144" s="5" t="str">
        <f t="shared" si="17"/>
        <v>W:\Performance Measurement\1. Freeway\1. raw data\2010_new\data files\det_428.txt</v>
      </c>
      <c r="J144" s="5" t="str">
        <f t="shared" si="14"/>
        <v>W:\Performance Measurement\1. Freeway\1. raw data\2010_new\data files\det_428.xlsx</v>
      </c>
      <c r="K144" s="5"/>
      <c r="L144" s="47">
        <v>140</v>
      </c>
      <c r="M144" s="39" t="s">
        <v>66</v>
      </c>
      <c r="N144" s="77">
        <v>281</v>
      </c>
      <c r="O144" s="10">
        <v>4</v>
      </c>
      <c r="P144" s="10">
        <v>1</v>
      </c>
      <c r="Q144" s="19">
        <v>1</v>
      </c>
      <c r="R144" s="67" t="s">
        <v>167</v>
      </c>
      <c r="S144" s="19">
        <v>0</v>
      </c>
      <c r="T144" s="83" t="s">
        <v>226</v>
      </c>
      <c r="U144" s="19">
        <v>1</v>
      </c>
      <c r="V144" s="58" t="s">
        <v>142</v>
      </c>
      <c r="W144" s="19">
        <v>1</v>
      </c>
      <c r="X144" s="5"/>
      <c r="Y144" s="25">
        <v>349</v>
      </c>
      <c r="Z144" s="25">
        <v>3</v>
      </c>
      <c r="AA144" s="25">
        <v>1</v>
      </c>
      <c r="AB144" s="19">
        <v>1</v>
      </c>
      <c r="AC144" s="39"/>
      <c r="AE144" s="9">
        <v>490</v>
      </c>
      <c r="AF144" s="9">
        <v>4</v>
      </c>
      <c r="AH144" s="93" t="s">
        <v>66</v>
      </c>
      <c r="AI144" s="89">
        <v>281</v>
      </c>
      <c r="AJ144" s="102">
        <v>4</v>
      </c>
      <c r="AK144" s="101">
        <v>1</v>
      </c>
      <c r="AL144" s="95" t="b">
        <f t="shared" si="15"/>
        <v>1</v>
      </c>
      <c r="AM144" s="95" t="b">
        <f t="shared" si="16"/>
        <v>1</v>
      </c>
    </row>
    <row r="145" spans="4:39" x14ac:dyDescent="0.25">
      <c r="D145" s="8">
        <v>141</v>
      </c>
      <c r="E145" s="48">
        <v>432</v>
      </c>
      <c r="F145" s="10">
        <v>3</v>
      </c>
      <c r="G145" s="10">
        <v>1</v>
      </c>
      <c r="H145" s="5" t="str">
        <f t="shared" si="13"/>
        <v>det_432</v>
      </c>
      <c r="I145" s="5" t="str">
        <f t="shared" si="17"/>
        <v>W:\Performance Measurement\1. Freeway\1. raw data\2010_new\data files\det_432.txt</v>
      </c>
      <c r="J145" s="5" t="str">
        <f t="shared" si="14"/>
        <v>W:\Performance Measurement\1. Freeway\1. raw data\2010_new\data files\det_432.xlsx</v>
      </c>
      <c r="K145" s="5"/>
      <c r="L145" s="47">
        <v>141</v>
      </c>
      <c r="M145" s="39" t="s">
        <v>66</v>
      </c>
      <c r="N145" s="10">
        <v>284</v>
      </c>
      <c r="O145" s="10">
        <v>3</v>
      </c>
      <c r="P145" s="10">
        <v>1</v>
      </c>
      <c r="Q145" s="19">
        <v>1</v>
      </c>
      <c r="R145" s="67" t="s">
        <v>208</v>
      </c>
      <c r="S145" s="19">
        <v>1</v>
      </c>
      <c r="T145" s="83">
        <v>1</v>
      </c>
      <c r="U145" s="19">
        <v>1</v>
      </c>
      <c r="V145" s="71" t="s">
        <v>119</v>
      </c>
      <c r="W145" s="19">
        <v>1</v>
      </c>
      <c r="X145" s="5"/>
      <c r="Y145" s="25">
        <v>352</v>
      </c>
      <c r="Z145" s="25">
        <v>3</v>
      </c>
      <c r="AA145" s="25">
        <v>1</v>
      </c>
      <c r="AB145" s="19">
        <v>1</v>
      </c>
      <c r="AC145" s="39"/>
      <c r="AE145" s="9">
        <v>427</v>
      </c>
      <c r="AF145" s="9">
        <v>4</v>
      </c>
      <c r="AH145" s="93" t="s">
        <v>66</v>
      </c>
      <c r="AI145" s="89">
        <v>284</v>
      </c>
      <c r="AJ145" s="102">
        <v>3</v>
      </c>
      <c r="AK145" s="101">
        <v>1</v>
      </c>
      <c r="AL145" s="95" t="b">
        <f t="shared" si="15"/>
        <v>1</v>
      </c>
      <c r="AM145" s="95" t="b">
        <f t="shared" si="16"/>
        <v>1</v>
      </c>
    </row>
    <row r="146" spans="4:39" x14ac:dyDescent="0.25">
      <c r="D146" s="8">
        <v>142</v>
      </c>
      <c r="E146" s="48">
        <v>435</v>
      </c>
      <c r="F146" s="10">
        <v>3</v>
      </c>
      <c r="G146" s="10">
        <v>1</v>
      </c>
      <c r="H146" s="5" t="str">
        <f t="shared" si="13"/>
        <v>det_435</v>
      </c>
      <c r="I146" s="5" t="str">
        <f t="shared" si="17"/>
        <v>W:\Performance Measurement\1. Freeway\1. raw data\2010_new\data files\det_435.txt</v>
      </c>
      <c r="J146" s="5" t="str">
        <f t="shared" si="14"/>
        <v>W:\Performance Measurement\1. Freeway\1. raw data\2010_new\data files\det_435.xlsx</v>
      </c>
      <c r="K146" s="5"/>
      <c r="L146" s="47">
        <v>142</v>
      </c>
      <c r="M146" s="39" t="s">
        <v>66</v>
      </c>
      <c r="N146" s="10">
        <v>286</v>
      </c>
      <c r="O146" s="10">
        <v>3</v>
      </c>
      <c r="P146" s="10">
        <v>1</v>
      </c>
      <c r="Q146" s="19">
        <v>1</v>
      </c>
      <c r="R146" s="67" t="s">
        <v>128</v>
      </c>
      <c r="S146" s="19">
        <v>1</v>
      </c>
      <c r="T146" s="83">
        <v>1</v>
      </c>
      <c r="U146" s="19" t="s">
        <v>44</v>
      </c>
      <c r="V146" s="58" t="s">
        <v>86</v>
      </c>
      <c r="W146" s="19">
        <v>1</v>
      </c>
      <c r="X146" s="5"/>
      <c r="Y146" s="25">
        <v>355</v>
      </c>
      <c r="Z146" s="25">
        <v>3</v>
      </c>
      <c r="AA146" s="25">
        <v>1</v>
      </c>
      <c r="AB146" s="19">
        <v>1</v>
      </c>
      <c r="AC146" s="39"/>
      <c r="AE146" s="9">
        <v>243</v>
      </c>
      <c r="AF146" s="9">
        <v>4</v>
      </c>
      <c r="AH146" s="93" t="s">
        <v>66</v>
      </c>
      <c r="AI146" s="89">
        <v>286</v>
      </c>
      <c r="AJ146" s="102">
        <v>3</v>
      </c>
      <c r="AK146" s="101">
        <v>1</v>
      </c>
      <c r="AL146" s="95" t="b">
        <f t="shared" si="15"/>
        <v>1</v>
      </c>
      <c r="AM146" s="95" t="b">
        <f t="shared" si="16"/>
        <v>1</v>
      </c>
    </row>
    <row r="147" spans="4:39" x14ac:dyDescent="0.25">
      <c r="D147" s="8">
        <v>143</v>
      </c>
      <c r="E147" s="48">
        <v>438</v>
      </c>
      <c r="F147" s="10">
        <v>3</v>
      </c>
      <c r="G147" s="10">
        <v>1</v>
      </c>
      <c r="H147" s="5" t="str">
        <f t="shared" si="13"/>
        <v>det_438</v>
      </c>
      <c r="I147" s="5" t="str">
        <f t="shared" si="17"/>
        <v>W:\Performance Measurement\1. Freeway\1. raw data\2010_new\data files\det_438.txt</v>
      </c>
      <c r="J147" s="5" t="str">
        <f t="shared" si="14"/>
        <v>W:\Performance Measurement\1. Freeway\1. raw data\2010_new\data files\det_438.xlsx</v>
      </c>
      <c r="K147" s="5"/>
      <c r="L147" s="47">
        <v>143</v>
      </c>
      <c r="M147" s="39" t="s">
        <v>66</v>
      </c>
      <c r="N147" s="10">
        <v>288</v>
      </c>
      <c r="O147" s="10">
        <v>3</v>
      </c>
      <c r="P147" s="10">
        <v>1</v>
      </c>
      <c r="Q147" s="19">
        <v>1</v>
      </c>
      <c r="R147" s="67" t="s">
        <v>209</v>
      </c>
      <c r="S147" s="19">
        <v>1</v>
      </c>
      <c r="T147" s="83">
        <v>1</v>
      </c>
      <c r="U147" s="19">
        <v>1</v>
      </c>
      <c r="V147" s="58" t="s">
        <v>119</v>
      </c>
      <c r="W147" s="19">
        <v>1</v>
      </c>
      <c r="X147" s="5"/>
      <c r="Y147" s="25">
        <v>357</v>
      </c>
      <c r="Z147" s="25">
        <v>3</v>
      </c>
      <c r="AA147" s="25">
        <v>1</v>
      </c>
      <c r="AB147" s="19">
        <v>1</v>
      </c>
      <c r="AC147" s="39"/>
      <c r="AE147" s="9">
        <v>254</v>
      </c>
      <c r="AF147" s="9">
        <v>4</v>
      </c>
      <c r="AH147" s="93" t="s">
        <v>66</v>
      </c>
      <c r="AI147" s="89">
        <v>288</v>
      </c>
      <c r="AJ147" s="102">
        <v>3</v>
      </c>
      <c r="AK147" s="101">
        <v>1</v>
      </c>
      <c r="AL147" s="95" t="b">
        <f t="shared" si="15"/>
        <v>1</v>
      </c>
      <c r="AM147" s="95" t="b">
        <f t="shared" si="16"/>
        <v>1</v>
      </c>
    </row>
    <row r="148" spans="4:39" x14ac:dyDescent="0.25">
      <c r="D148" s="8">
        <v>144</v>
      </c>
      <c r="E148" s="48">
        <v>439</v>
      </c>
      <c r="F148" s="10">
        <v>4</v>
      </c>
      <c r="G148" s="10">
        <v>1</v>
      </c>
      <c r="H148" s="5" t="str">
        <f t="shared" si="13"/>
        <v>det_439</v>
      </c>
      <c r="I148" s="5" t="str">
        <f t="shared" si="17"/>
        <v>W:\Performance Measurement\1. Freeway\1. raw data\2010_new\data files\det_439.txt</v>
      </c>
      <c r="J148" s="5" t="str">
        <f t="shared" si="14"/>
        <v>W:\Performance Measurement\1. Freeway\1. raw data\2010_new\data files\det_439.xlsx</v>
      </c>
      <c r="K148" s="5"/>
      <c r="L148" s="47">
        <v>144</v>
      </c>
      <c r="M148" s="39" t="s">
        <v>66</v>
      </c>
      <c r="N148" s="10">
        <v>225</v>
      </c>
      <c r="O148" s="10">
        <v>3</v>
      </c>
      <c r="P148" s="10">
        <v>1</v>
      </c>
      <c r="Q148" s="19">
        <v>1</v>
      </c>
      <c r="R148" s="67" t="s">
        <v>210</v>
      </c>
      <c r="S148" s="19">
        <v>1</v>
      </c>
      <c r="T148" s="83">
        <v>1</v>
      </c>
      <c r="U148" s="19">
        <v>1</v>
      </c>
      <c r="V148" s="58" t="s">
        <v>119</v>
      </c>
      <c r="W148" s="19">
        <v>1</v>
      </c>
      <c r="X148" s="5"/>
      <c r="Y148" s="25">
        <v>358</v>
      </c>
      <c r="Z148" s="25">
        <v>3</v>
      </c>
      <c r="AA148" s="25">
        <v>1</v>
      </c>
      <c r="AB148" s="19">
        <v>1</v>
      </c>
      <c r="AC148" s="39"/>
      <c r="AE148" s="9">
        <v>286</v>
      </c>
      <c r="AF148" s="9">
        <v>4</v>
      </c>
      <c r="AH148" s="93" t="s">
        <v>66</v>
      </c>
      <c r="AI148" s="89">
        <v>225</v>
      </c>
      <c r="AJ148" s="102">
        <v>3</v>
      </c>
      <c r="AK148" s="101">
        <v>1</v>
      </c>
      <c r="AL148" s="95" t="b">
        <f t="shared" si="15"/>
        <v>1</v>
      </c>
      <c r="AM148" s="95" t="b">
        <f t="shared" si="16"/>
        <v>1</v>
      </c>
    </row>
    <row r="149" spans="4:39" x14ac:dyDescent="0.25">
      <c r="D149" s="8">
        <v>145</v>
      </c>
      <c r="E149" s="48">
        <v>494</v>
      </c>
      <c r="F149" s="10">
        <v>4</v>
      </c>
      <c r="G149" s="10">
        <v>1</v>
      </c>
      <c r="H149" s="5" t="str">
        <f t="shared" si="13"/>
        <v>det_494</v>
      </c>
      <c r="I149" s="5" t="str">
        <f t="shared" si="17"/>
        <v>W:\Performance Measurement\1. Freeway\1. raw data\2010_new\data files\det_494.txt</v>
      </c>
      <c r="J149" s="5" t="str">
        <f t="shared" si="14"/>
        <v>W:\Performance Measurement\1. Freeway\1. raw data\2010_new\data files\det_494.xlsx</v>
      </c>
      <c r="K149" s="5"/>
      <c r="L149" s="47">
        <v>145</v>
      </c>
      <c r="M149" s="39" t="s">
        <v>66</v>
      </c>
      <c r="N149" s="10">
        <v>223</v>
      </c>
      <c r="O149" s="10">
        <v>4</v>
      </c>
      <c r="P149" s="10">
        <v>1</v>
      </c>
      <c r="Q149" s="19">
        <v>1</v>
      </c>
      <c r="R149" s="67" t="s">
        <v>208</v>
      </c>
      <c r="S149" s="19">
        <v>1</v>
      </c>
      <c r="T149" s="83">
        <v>1</v>
      </c>
      <c r="U149" s="19">
        <v>1</v>
      </c>
      <c r="V149" s="70"/>
      <c r="W149" s="19">
        <v>1</v>
      </c>
      <c r="X149" s="5"/>
      <c r="Y149" s="25">
        <v>361</v>
      </c>
      <c r="Z149" s="25">
        <v>3</v>
      </c>
      <c r="AA149" s="25">
        <v>1</v>
      </c>
      <c r="AB149" s="19">
        <v>1</v>
      </c>
      <c r="AC149" s="39"/>
      <c r="AE149" s="9">
        <v>323</v>
      </c>
      <c r="AF149" s="9">
        <v>4</v>
      </c>
      <c r="AH149" s="93" t="s">
        <v>66</v>
      </c>
      <c r="AI149" s="89">
        <v>223</v>
      </c>
      <c r="AJ149" s="102">
        <v>4</v>
      </c>
      <c r="AK149" s="101">
        <v>1</v>
      </c>
      <c r="AL149" s="95" t="b">
        <f t="shared" si="15"/>
        <v>1</v>
      </c>
      <c r="AM149" s="95" t="b">
        <f t="shared" si="16"/>
        <v>1</v>
      </c>
    </row>
    <row r="150" spans="4:39" x14ac:dyDescent="0.25">
      <c r="D150" s="8">
        <v>146</v>
      </c>
      <c r="E150" s="48">
        <v>497</v>
      </c>
      <c r="F150" s="10">
        <v>3</v>
      </c>
      <c r="G150" s="10">
        <v>1</v>
      </c>
      <c r="H150" s="5" t="str">
        <f t="shared" si="13"/>
        <v>det_497</v>
      </c>
      <c r="I150" s="5" t="str">
        <f t="shared" si="17"/>
        <v>W:\Performance Measurement\1. Freeway\1. raw data\2010_new\data files\det_497.txt</v>
      </c>
      <c r="J150" s="5" t="str">
        <f t="shared" si="14"/>
        <v>W:\Performance Measurement\1. Freeway\1. raw data\2010_new\data files\det_497.xlsx</v>
      </c>
      <c r="K150" s="5"/>
      <c r="L150" s="47">
        <v>146</v>
      </c>
      <c r="M150" s="39" t="s">
        <v>66</v>
      </c>
      <c r="N150" s="10">
        <v>220</v>
      </c>
      <c r="O150" s="10">
        <v>3</v>
      </c>
      <c r="P150" s="10">
        <v>1</v>
      </c>
      <c r="Q150" s="19">
        <v>1</v>
      </c>
      <c r="R150" s="67" t="s">
        <v>208</v>
      </c>
      <c r="S150" s="19">
        <v>1</v>
      </c>
      <c r="T150" s="83">
        <v>1</v>
      </c>
      <c r="U150" s="19">
        <v>1</v>
      </c>
      <c r="V150" s="59" t="s">
        <v>114</v>
      </c>
      <c r="W150" s="19">
        <v>1</v>
      </c>
      <c r="X150" s="5"/>
      <c r="Y150" s="25">
        <v>364</v>
      </c>
      <c r="Z150" s="25">
        <v>3</v>
      </c>
      <c r="AA150" s="25">
        <v>1</v>
      </c>
      <c r="AB150" s="19">
        <v>1</v>
      </c>
      <c r="AC150" s="39"/>
      <c r="AE150" s="9">
        <v>396</v>
      </c>
      <c r="AF150" s="9">
        <v>4</v>
      </c>
      <c r="AH150" s="93" t="s">
        <v>66</v>
      </c>
      <c r="AI150" s="89">
        <v>220</v>
      </c>
      <c r="AJ150" s="102">
        <v>3</v>
      </c>
      <c r="AK150" s="101">
        <v>1</v>
      </c>
      <c r="AL150" s="95" t="b">
        <f t="shared" si="15"/>
        <v>1</v>
      </c>
      <c r="AM150" s="95" t="b">
        <f t="shared" si="16"/>
        <v>1</v>
      </c>
    </row>
    <row r="151" spans="4:39" x14ac:dyDescent="0.25">
      <c r="D151" s="8">
        <v>147</v>
      </c>
      <c r="E151" s="48">
        <v>500</v>
      </c>
      <c r="F151" s="10">
        <v>3</v>
      </c>
      <c r="G151" s="10">
        <v>1</v>
      </c>
      <c r="H151" s="5" t="str">
        <f t="shared" si="13"/>
        <v>det_500</v>
      </c>
      <c r="I151" s="5" t="str">
        <f t="shared" si="17"/>
        <v>W:\Performance Measurement\1. Freeway\1. raw data\2010_new\data files\det_500.txt</v>
      </c>
      <c r="J151" s="5" t="str">
        <f t="shared" si="14"/>
        <v>W:\Performance Measurement\1. Freeway\1. raw data\2010_new\data files\det_500.xlsx</v>
      </c>
      <c r="K151" s="5"/>
      <c r="L151" s="47">
        <v>147</v>
      </c>
      <c r="M151" s="39" t="s">
        <v>66</v>
      </c>
      <c r="N151" s="10">
        <v>217</v>
      </c>
      <c r="O151" s="10">
        <v>2</v>
      </c>
      <c r="P151" s="10">
        <v>1</v>
      </c>
      <c r="Q151" s="19">
        <v>1</v>
      </c>
      <c r="R151" s="67" t="s">
        <v>86</v>
      </c>
      <c r="S151" s="19">
        <v>1</v>
      </c>
      <c r="T151" s="83">
        <v>1</v>
      </c>
      <c r="U151" s="19">
        <v>1</v>
      </c>
      <c r="V151" s="59" t="s">
        <v>119</v>
      </c>
      <c r="W151" s="19">
        <v>1</v>
      </c>
      <c r="X151" s="5"/>
      <c r="Y151" s="25">
        <v>367</v>
      </c>
      <c r="Z151" s="25">
        <v>3</v>
      </c>
      <c r="AA151" s="25">
        <v>1</v>
      </c>
      <c r="AB151" s="19">
        <v>1</v>
      </c>
      <c r="AC151" s="39"/>
      <c r="AE151" s="10">
        <v>411</v>
      </c>
      <c r="AF151" s="10">
        <v>4</v>
      </c>
      <c r="AH151" s="93" t="s">
        <v>66</v>
      </c>
      <c r="AI151" s="89">
        <v>217</v>
      </c>
      <c r="AJ151" s="102">
        <v>2</v>
      </c>
      <c r="AK151" s="101">
        <v>1</v>
      </c>
      <c r="AL151" s="95" t="b">
        <f t="shared" si="15"/>
        <v>1</v>
      </c>
      <c r="AM151" s="95" t="b">
        <f t="shared" si="16"/>
        <v>1</v>
      </c>
    </row>
    <row r="152" spans="4:39" x14ac:dyDescent="0.25">
      <c r="D152" s="8">
        <v>148</v>
      </c>
      <c r="E152" s="48">
        <v>504</v>
      </c>
      <c r="F152" s="10">
        <v>3</v>
      </c>
      <c r="G152" s="10">
        <v>1</v>
      </c>
      <c r="H152" s="5" t="str">
        <f t="shared" si="13"/>
        <v>det_504</v>
      </c>
      <c r="I152" s="5" t="str">
        <f t="shared" si="17"/>
        <v>W:\Performance Measurement\1. Freeway\1. raw data\2010_new\data files\det_504.txt</v>
      </c>
      <c r="J152" s="5" t="str">
        <f t="shared" si="14"/>
        <v>W:\Performance Measurement\1. Freeway\1. raw data\2010_new\data files\det_504.xlsx</v>
      </c>
      <c r="K152" s="5"/>
      <c r="L152" s="47">
        <v>148</v>
      </c>
      <c r="M152" s="39" t="s">
        <v>67</v>
      </c>
      <c r="N152" s="10">
        <v>427</v>
      </c>
      <c r="O152" s="10">
        <v>3</v>
      </c>
      <c r="P152" s="10">
        <v>1</v>
      </c>
      <c r="Q152" s="19">
        <v>1</v>
      </c>
      <c r="R152" s="67" t="s">
        <v>198</v>
      </c>
      <c r="S152" s="19">
        <v>1</v>
      </c>
      <c r="T152" s="83">
        <v>1</v>
      </c>
      <c r="U152" s="19" t="s">
        <v>44</v>
      </c>
      <c r="V152" s="63"/>
      <c r="W152" s="19">
        <v>1</v>
      </c>
      <c r="X152" s="5"/>
      <c r="Y152" s="25">
        <v>370</v>
      </c>
      <c r="Z152" s="25">
        <v>3</v>
      </c>
      <c r="AA152" s="25">
        <v>1</v>
      </c>
      <c r="AB152" s="19">
        <v>1</v>
      </c>
      <c r="AC152" s="39"/>
      <c r="AE152" s="10">
        <v>414</v>
      </c>
      <c r="AF152" s="10">
        <v>4</v>
      </c>
      <c r="AH152" s="93" t="s">
        <v>67</v>
      </c>
      <c r="AI152" s="89">
        <v>427</v>
      </c>
      <c r="AJ152" s="102">
        <v>3</v>
      </c>
      <c r="AK152" s="101">
        <v>1</v>
      </c>
      <c r="AL152" s="95" t="b">
        <f t="shared" si="15"/>
        <v>1</v>
      </c>
      <c r="AM152" s="95" t="b">
        <f t="shared" si="16"/>
        <v>1</v>
      </c>
    </row>
    <row r="153" spans="4:39" x14ac:dyDescent="0.25">
      <c r="D153" s="8">
        <v>149</v>
      </c>
      <c r="E153" s="48">
        <v>441</v>
      </c>
      <c r="F153" s="10">
        <v>3</v>
      </c>
      <c r="G153" s="10">
        <v>1</v>
      </c>
      <c r="H153" s="5" t="str">
        <f t="shared" si="13"/>
        <v>det_441</v>
      </c>
      <c r="I153" s="5" t="str">
        <f t="shared" si="17"/>
        <v>W:\Performance Measurement\1. Freeway\1. raw data\2010_new\data files\det_441.txt</v>
      </c>
      <c r="J153" s="5" t="str">
        <f t="shared" si="14"/>
        <v>W:\Performance Measurement\1. Freeway\1. raw data\2010_new\data files\det_441.xlsx</v>
      </c>
      <c r="K153" s="5"/>
      <c r="L153" s="47">
        <v>149</v>
      </c>
      <c r="M153" s="39" t="s">
        <v>67</v>
      </c>
      <c r="N153" s="10">
        <v>428</v>
      </c>
      <c r="O153" s="10">
        <v>4</v>
      </c>
      <c r="P153" s="10">
        <v>1</v>
      </c>
      <c r="Q153" s="19">
        <v>1</v>
      </c>
      <c r="R153" s="67" t="s">
        <v>117</v>
      </c>
      <c r="S153" s="19">
        <v>1</v>
      </c>
      <c r="T153" s="83">
        <v>1</v>
      </c>
      <c r="U153" s="19">
        <v>1</v>
      </c>
      <c r="V153" s="63"/>
      <c r="W153" s="19">
        <v>1</v>
      </c>
      <c r="X153" s="5"/>
      <c r="Y153" s="25">
        <v>373</v>
      </c>
      <c r="Z153" s="25">
        <v>3</v>
      </c>
      <c r="AA153" s="25">
        <v>1</v>
      </c>
      <c r="AB153" s="19">
        <v>1</v>
      </c>
      <c r="AC153" s="39"/>
      <c r="AE153" s="10">
        <v>417</v>
      </c>
      <c r="AF153" s="10">
        <v>4</v>
      </c>
      <c r="AH153" s="93" t="s">
        <v>67</v>
      </c>
      <c r="AI153" s="89">
        <v>428</v>
      </c>
      <c r="AJ153" s="102">
        <v>4</v>
      </c>
      <c r="AK153" s="101">
        <v>1</v>
      </c>
      <c r="AL153" s="95" t="b">
        <f t="shared" si="15"/>
        <v>1</v>
      </c>
      <c r="AM153" s="95" t="b">
        <f t="shared" si="16"/>
        <v>1</v>
      </c>
    </row>
    <row r="154" spans="4:39" x14ac:dyDescent="0.25">
      <c r="D154" s="8">
        <v>150</v>
      </c>
      <c r="E154" s="48">
        <v>444</v>
      </c>
      <c r="F154" s="10">
        <v>5</v>
      </c>
      <c r="G154" s="10">
        <v>1</v>
      </c>
      <c r="H154" s="5" t="str">
        <f t="shared" si="13"/>
        <v>det_444</v>
      </c>
      <c r="I154" s="5" t="str">
        <f t="shared" si="17"/>
        <v>W:\Performance Measurement\1. Freeway\1. raw data\2010_new\data files\det_444.txt</v>
      </c>
      <c r="J154" s="5" t="str">
        <f t="shared" si="14"/>
        <v>W:\Performance Measurement\1. Freeway\1. raw data\2010_new\data files\det_444.xlsx</v>
      </c>
      <c r="K154" s="5"/>
      <c r="L154" s="47">
        <v>150</v>
      </c>
      <c r="M154" s="39" t="s">
        <v>67</v>
      </c>
      <c r="N154" s="10">
        <v>432</v>
      </c>
      <c r="O154" s="10">
        <v>3</v>
      </c>
      <c r="P154" s="10">
        <v>1</v>
      </c>
      <c r="Q154" s="19">
        <v>1</v>
      </c>
      <c r="R154" s="67" t="s">
        <v>211</v>
      </c>
      <c r="S154" s="19">
        <v>1</v>
      </c>
      <c r="T154" s="83">
        <v>0</v>
      </c>
      <c r="U154" s="19">
        <v>1</v>
      </c>
      <c r="V154" s="59" t="s">
        <v>144</v>
      </c>
      <c r="W154" s="19">
        <v>1</v>
      </c>
      <c r="X154" s="5"/>
      <c r="Y154" s="25">
        <v>376</v>
      </c>
      <c r="Z154" s="25">
        <v>3</v>
      </c>
      <c r="AA154" s="25">
        <v>1</v>
      </c>
      <c r="AB154" s="19">
        <v>1</v>
      </c>
      <c r="AC154" s="39"/>
      <c r="AE154" s="9">
        <v>423</v>
      </c>
      <c r="AF154" s="9">
        <v>4</v>
      </c>
      <c r="AH154" s="93" t="s">
        <v>67</v>
      </c>
      <c r="AI154" s="89">
        <v>432</v>
      </c>
      <c r="AJ154" s="102">
        <v>3</v>
      </c>
      <c r="AK154" s="101">
        <v>1</v>
      </c>
      <c r="AL154" s="95" t="b">
        <f t="shared" si="15"/>
        <v>1</v>
      </c>
      <c r="AM154" s="95" t="b">
        <f t="shared" si="16"/>
        <v>1</v>
      </c>
    </row>
    <row r="155" spans="4:39" x14ac:dyDescent="0.25">
      <c r="D155" s="8">
        <v>151</v>
      </c>
      <c r="E155" s="48">
        <v>447</v>
      </c>
      <c r="F155" s="10">
        <v>5</v>
      </c>
      <c r="G155" s="10">
        <v>1</v>
      </c>
      <c r="H155" s="5" t="str">
        <f t="shared" si="13"/>
        <v>det_447</v>
      </c>
      <c r="I155" s="5" t="str">
        <f t="shared" si="17"/>
        <v>W:\Performance Measurement\1. Freeway\1. raw data\2010_new\data files\det_447.txt</v>
      </c>
      <c r="J155" s="5" t="str">
        <f t="shared" si="14"/>
        <v>W:\Performance Measurement\1. Freeway\1. raw data\2010_new\data files\det_447.xlsx</v>
      </c>
      <c r="K155" s="5"/>
      <c r="L155" s="47">
        <v>151</v>
      </c>
      <c r="M155" s="39" t="s">
        <v>67</v>
      </c>
      <c r="N155" s="10">
        <v>435</v>
      </c>
      <c r="O155" s="10">
        <v>3</v>
      </c>
      <c r="P155" s="10">
        <v>1</v>
      </c>
      <c r="Q155" s="19">
        <v>1</v>
      </c>
      <c r="R155" s="67" t="s">
        <v>211</v>
      </c>
      <c r="S155" s="19">
        <v>1</v>
      </c>
      <c r="T155" s="83">
        <v>0</v>
      </c>
      <c r="U155" s="19">
        <v>1</v>
      </c>
      <c r="V155" s="71" t="s">
        <v>144</v>
      </c>
      <c r="W155" s="19">
        <v>1</v>
      </c>
      <c r="X155" s="5"/>
      <c r="Y155" s="25">
        <v>393</v>
      </c>
      <c r="Z155" s="25">
        <v>3</v>
      </c>
      <c r="AA155" s="25">
        <v>1</v>
      </c>
      <c r="AB155" s="19" t="s">
        <v>44</v>
      </c>
      <c r="AC155" s="39"/>
      <c r="AE155" s="9">
        <v>425</v>
      </c>
      <c r="AF155" s="9">
        <v>4</v>
      </c>
      <c r="AH155" s="93" t="s">
        <v>67</v>
      </c>
      <c r="AI155" s="89">
        <v>435</v>
      </c>
      <c r="AJ155" s="102">
        <v>3</v>
      </c>
      <c r="AK155" s="101">
        <v>1</v>
      </c>
      <c r="AL155" s="95" t="b">
        <f t="shared" si="15"/>
        <v>1</v>
      </c>
      <c r="AM155" s="95" t="b">
        <f t="shared" si="16"/>
        <v>1</v>
      </c>
    </row>
    <row r="156" spans="4:39" x14ac:dyDescent="0.25">
      <c r="D156" s="8">
        <v>152</v>
      </c>
      <c r="E156" s="48">
        <v>450</v>
      </c>
      <c r="F156" s="10">
        <v>5</v>
      </c>
      <c r="G156" s="10">
        <v>1</v>
      </c>
      <c r="H156" s="5" t="str">
        <f t="shared" si="13"/>
        <v>det_450</v>
      </c>
      <c r="I156" s="5" t="str">
        <f t="shared" si="17"/>
        <v>W:\Performance Measurement\1. Freeway\1. raw data\2010_new\data files\det_450.txt</v>
      </c>
      <c r="J156" s="5" t="str">
        <f t="shared" si="14"/>
        <v>W:\Performance Measurement\1. Freeway\1. raw data\2010_new\data files\det_450.xlsx</v>
      </c>
      <c r="K156" s="5"/>
      <c r="L156" s="47">
        <v>152</v>
      </c>
      <c r="M156" s="39" t="s">
        <v>67</v>
      </c>
      <c r="N156" s="10">
        <v>438</v>
      </c>
      <c r="O156" s="10">
        <v>3</v>
      </c>
      <c r="P156" s="10">
        <v>1</v>
      </c>
      <c r="Q156" s="19">
        <v>1</v>
      </c>
      <c r="R156" s="67" t="s">
        <v>117</v>
      </c>
      <c r="S156" s="19">
        <v>1</v>
      </c>
      <c r="T156" s="83">
        <v>1</v>
      </c>
      <c r="U156" s="19">
        <v>1</v>
      </c>
      <c r="V156" s="58" t="s">
        <v>119</v>
      </c>
      <c r="W156" s="57">
        <v>1</v>
      </c>
      <c r="X156" s="5"/>
      <c r="Y156" s="25">
        <v>396</v>
      </c>
      <c r="Z156" s="25">
        <v>3</v>
      </c>
      <c r="AA156" s="25">
        <v>1</v>
      </c>
      <c r="AB156" s="19" t="s">
        <v>44</v>
      </c>
      <c r="AC156" s="39"/>
      <c r="AE156" s="9">
        <v>78</v>
      </c>
      <c r="AF156" s="9">
        <v>4</v>
      </c>
      <c r="AH156" s="93" t="s">
        <v>67</v>
      </c>
      <c r="AI156" s="89">
        <v>438</v>
      </c>
      <c r="AJ156" s="102">
        <v>3</v>
      </c>
      <c r="AK156" s="101">
        <v>1</v>
      </c>
      <c r="AL156" s="95" t="b">
        <f t="shared" si="15"/>
        <v>1</v>
      </c>
      <c r="AM156" s="95" t="b">
        <f t="shared" si="16"/>
        <v>1</v>
      </c>
    </row>
    <row r="157" spans="4:39" x14ac:dyDescent="0.25">
      <c r="D157" s="8">
        <v>153</v>
      </c>
      <c r="E157" s="48">
        <v>453</v>
      </c>
      <c r="F157" s="10">
        <v>5</v>
      </c>
      <c r="G157" s="10">
        <v>1</v>
      </c>
      <c r="H157" s="5" t="str">
        <f t="shared" si="13"/>
        <v>det_453</v>
      </c>
      <c r="I157" s="5" t="str">
        <f t="shared" si="17"/>
        <v>W:\Performance Measurement\1. Freeway\1. raw data\2010_new\data files\det_453.txt</v>
      </c>
      <c r="J157" s="5" t="str">
        <f t="shared" si="14"/>
        <v>W:\Performance Measurement\1. Freeway\1. raw data\2010_new\data files\det_453.xlsx</v>
      </c>
      <c r="K157" s="5"/>
      <c r="L157" s="47">
        <v>153</v>
      </c>
      <c r="M157" s="39" t="s">
        <v>67</v>
      </c>
      <c r="N157" s="10">
        <v>439</v>
      </c>
      <c r="O157" s="10">
        <v>4</v>
      </c>
      <c r="P157" s="10">
        <v>1</v>
      </c>
      <c r="Q157" s="19">
        <v>1</v>
      </c>
      <c r="R157" s="67" t="s">
        <v>212</v>
      </c>
      <c r="S157" s="19">
        <v>1</v>
      </c>
      <c r="T157" s="83">
        <v>0</v>
      </c>
      <c r="U157" s="56" t="s">
        <v>44</v>
      </c>
      <c r="V157" s="58" t="s">
        <v>184</v>
      </c>
      <c r="W157" s="57">
        <v>1</v>
      </c>
      <c r="X157" s="5"/>
      <c r="Y157" s="25">
        <v>397</v>
      </c>
      <c r="Z157" s="25">
        <v>4</v>
      </c>
      <c r="AA157" s="25">
        <v>1</v>
      </c>
      <c r="AB157" s="19" t="s">
        <v>42</v>
      </c>
      <c r="AC157" s="39"/>
      <c r="AE157" s="9">
        <v>87</v>
      </c>
      <c r="AF157" s="9">
        <v>4</v>
      </c>
      <c r="AH157" s="93" t="s">
        <v>67</v>
      </c>
      <c r="AI157" s="89">
        <v>439</v>
      </c>
      <c r="AJ157" s="102">
        <v>4</v>
      </c>
      <c r="AK157" s="101">
        <v>1</v>
      </c>
      <c r="AL157" s="95" t="b">
        <f t="shared" si="15"/>
        <v>1</v>
      </c>
      <c r="AM157" s="95" t="b">
        <f t="shared" si="16"/>
        <v>1</v>
      </c>
    </row>
    <row r="158" spans="4:39" x14ac:dyDescent="0.25">
      <c r="D158" s="8">
        <v>154</v>
      </c>
      <c r="E158" s="48">
        <v>456</v>
      </c>
      <c r="F158" s="10">
        <v>5</v>
      </c>
      <c r="G158" s="10">
        <v>1</v>
      </c>
      <c r="H158" s="5" t="str">
        <f t="shared" si="13"/>
        <v>det_456</v>
      </c>
      <c r="I158" s="5" t="str">
        <f t="shared" si="17"/>
        <v>W:\Performance Measurement\1. Freeway\1. raw data\2010_new\data files\det_456.txt</v>
      </c>
      <c r="J158" s="5" t="str">
        <f t="shared" si="14"/>
        <v>W:\Performance Measurement\1. Freeway\1. raw data\2010_new\data files\det_456.xlsx</v>
      </c>
      <c r="K158" s="5"/>
      <c r="L158" s="47">
        <v>154</v>
      </c>
      <c r="M158" s="39" t="s">
        <v>67</v>
      </c>
      <c r="N158" s="10">
        <v>494</v>
      </c>
      <c r="O158" s="10">
        <v>4</v>
      </c>
      <c r="P158" s="10">
        <v>1</v>
      </c>
      <c r="Q158" s="19">
        <v>1</v>
      </c>
      <c r="R158" s="67" t="s">
        <v>178</v>
      </c>
      <c r="S158" s="19">
        <v>1</v>
      </c>
      <c r="T158" s="19">
        <v>0</v>
      </c>
      <c r="U158" s="19">
        <v>1</v>
      </c>
      <c r="V158" s="58" t="s">
        <v>185</v>
      </c>
      <c r="W158" s="75">
        <v>1</v>
      </c>
      <c r="X158" s="5"/>
      <c r="Y158" s="25">
        <v>399</v>
      </c>
      <c r="Z158" s="25">
        <v>4</v>
      </c>
      <c r="AA158" s="25">
        <v>1</v>
      </c>
      <c r="AB158" s="19">
        <v>1</v>
      </c>
      <c r="AC158" s="39"/>
      <c r="AE158" s="9">
        <v>144</v>
      </c>
      <c r="AF158" s="9">
        <v>4</v>
      </c>
      <c r="AH158" s="93" t="s">
        <v>67</v>
      </c>
      <c r="AI158" s="89">
        <v>494</v>
      </c>
      <c r="AJ158" s="102">
        <v>4</v>
      </c>
      <c r="AK158" s="101">
        <v>1</v>
      </c>
      <c r="AL158" s="95" t="b">
        <f t="shared" si="15"/>
        <v>1</v>
      </c>
      <c r="AM158" s="95" t="b">
        <f t="shared" si="16"/>
        <v>1</v>
      </c>
    </row>
    <row r="159" spans="4:39" x14ac:dyDescent="0.25">
      <c r="D159" s="8">
        <v>155</v>
      </c>
      <c r="E159" s="48">
        <v>459</v>
      </c>
      <c r="F159" s="10">
        <v>5</v>
      </c>
      <c r="G159" s="10">
        <v>1</v>
      </c>
      <c r="H159" s="5" t="str">
        <f t="shared" si="13"/>
        <v>det_459</v>
      </c>
      <c r="I159" s="5" t="str">
        <f t="shared" si="17"/>
        <v>W:\Performance Measurement\1. Freeway\1. raw data\2010_new\data files\det_459.txt</v>
      </c>
      <c r="J159" s="5" t="str">
        <f t="shared" si="14"/>
        <v>W:\Performance Measurement\1. Freeway\1. raw data\2010_new\data files\det_459.xlsx</v>
      </c>
      <c r="K159" s="5"/>
      <c r="L159" s="47">
        <v>155</v>
      </c>
      <c r="M159" s="39" t="s">
        <v>67</v>
      </c>
      <c r="N159" s="10">
        <v>497</v>
      </c>
      <c r="O159" s="10">
        <v>3</v>
      </c>
      <c r="P159" s="10">
        <v>1</v>
      </c>
      <c r="Q159" s="19">
        <v>1</v>
      </c>
      <c r="R159" s="67" t="s">
        <v>178</v>
      </c>
      <c r="S159" s="19">
        <v>1</v>
      </c>
      <c r="T159" s="21">
        <v>0</v>
      </c>
      <c r="U159" s="19">
        <v>1</v>
      </c>
      <c r="V159" s="58" t="s">
        <v>128</v>
      </c>
      <c r="W159" s="75">
        <v>1</v>
      </c>
      <c r="X159" s="5"/>
      <c r="Y159" s="25">
        <v>401</v>
      </c>
      <c r="Z159" s="25">
        <v>4</v>
      </c>
      <c r="AA159" s="25">
        <v>1</v>
      </c>
      <c r="AB159" s="19">
        <v>1</v>
      </c>
      <c r="AC159" s="39"/>
      <c r="AE159" s="9">
        <v>212</v>
      </c>
      <c r="AF159" s="9">
        <v>4</v>
      </c>
      <c r="AH159" s="93" t="s">
        <v>67</v>
      </c>
      <c r="AI159" s="89">
        <v>497</v>
      </c>
      <c r="AJ159" s="102">
        <v>3</v>
      </c>
      <c r="AK159" s="101">
        <v>1</v>
      </c>
      <c r="AL159" s="95" t="b">
        <f t="shared" si="15"/>
        <v>1</v>
      </c>
      <c r="AM159" s="95" t="b">
        <f t="shared" si="16"/>
        <v>1</v>
      </c>
    </row>
    <row r="160" spans="4:39" x14ac:dyDescent="0.25">
      <c r="D160" s="8">
        <v>156</v>
      </c>
      <c r="E160" s="48">
        <v>462</v>
      </c>
      <c r="F160" s="10">
        <v>5</v>
      </c>
      <c r="G160" s="10">
        <v>1</v>
      </c>
      <c r="H160" s="5" t="str">
        <f t="shared" si="13"/>
        <v>det_462</v>
      </c>
      <c r="I160" s="5" t="str">
        <f t="shared" si="17"/>
        <v>W:\Performance Measurement\1. Freeway\1. raw data\2010_new\data files\det_462.txt</v>
      </c>
      <c r="J160" s="5" t="str">
        <f t="shared" si="14"/>
        <v>W:\Performance Measurement\1. Freeway\1. raw data\2010_new\data files\det_462.xlsx</v>
      </c>
      <c r="K160" s="5"/>
      <c r="L160" s="47">
        <v>156</v>
      </c>
      <c r="M160" s="39" t="s">
        <v>67</v>
      </c>
      <c r="N160" s="10">
        <v>500</v>
      </c>
      <c r="O160" s="10">
        <v>3</v>
      </c>
      <c r="P160" s="10">
        <v>1</v>
      </c>
      <c r="Q160" s="19">
        <v>1</v>
      </c>
      <c r="R160" s="67" t="s">
        <v>178</v>
      </c>
      <c r="S160" s="19">
        <v>1</v>
      </c>
      <c r="T160" s="21">
        <v>0</v>
      </c>
      <c r="U160" s="19">
        <v>1</v>
      </c>
      <c r="V160" s="71" t="s">
        <v>119</v>
      </c>
      <c r="W160" s="75">
        <v>1</v>
      </c>
      <c r="X160" s="5"/>
      <c r="Y160" s="25">
        <v>403</v>
      </c>
      <c r="Z160" s="25">
        <v>3</v>
      </c>
      <c r="AA160" s="25">
        <v>1</v>
      </c>
      <c r="AB160" s="19">
        <v>1</v>
      </c>
      <c r="AC160" s="39"/>
      <c r="AE160" s="9">
        <v>255</v>
      </c>
      <c r="AF160" s="9">
        <v>4</v>
      </c>
      <c r="AH160" s="93" t="s">
        <v>67</v>
      </c>
      <c r="AI160" s="89">
        <v>500</v>
      </c>
      <c r="AJ160" s="102">
        <v>3</v>
      </c>
      <c r="AK160" s="101">
        <v>1</v>
      </c>
      <c r="AL160" s="95" t="b">
        <f t="shared" si="15"/>
        <v>1</v>
      </c>
      <c r="AM160" s="95" t="b">
        <f t="shared" si="16"/>
        <v>1</v>
      </c>
    </row>
    <row r="161" spans="4:39" x14ac:dyDescent="0.25">
      <c r="D161" s="8">
        <v>157</v>
      </c>
      <c r="E161" s="48">
        <v>467</v>
      </c>
      <c r="F161" s="10">
        <v>5</v>
      </c>
      <c r="G161" s="10">
        <v>1</v>
      </c>
      <c r="H161" s="5" t="str">
        <f t="shared" si="13"/>
        <v>det_467</v>
      </c>
      <c r="I161" s="5" t="str">
        <f t="shared" si="17"/>
        <v>W:\Performance Measurement\1. Freeway\1. raw data\2010_new\data files\det_467.txt</v>
      </c>
      <c r="J161" s="5" t="str">
        <f t="shared" si="14"/>
        <v>W:\Performance Measurement\1. Freeway\1. raw data\2010_new\data files\det_467.xlsx</v>
      </c>
      <c r="K161" s="5"/>
      <c r="L161" s="47">
        <v>157</v>
      </c>
      <c r="M161" s="39" t="s">
        <v>67</v>
      </c>
      <c r="N161" s="10">
        <v>502</v>
      </c>
      <c r="O161" s="10">
        <v>3</v>
      </c>
      <c r="P161" s="10">
        <v>1</v>
      </c>
      <c r="Q161" s="19">
        <v>1</v>
      </c>
      <c r="R161" s="67" t="s">
        <v>213</v>
      </c>
      <c r="S161" s="19">
        <v>1</v>
      </c>
      <c r="T161" s="21">
        <v>0</v>
      </c>
      <c r="U161" s="19">
        <v>1</v>
      </c>
      <c r="V161" s="63"/>
      <c r="W161" s="75">
        <v>0</v>
      </c>
      <c r="X161" s="5"/>
      <c r="Y161" s="25">
        <v>406</v>
      </c>
      <c r="Z161" s="25">
        <v>3</v>
      </c>
      <c r="AA161" s="25">
        <v>1</v>
      </c>
      <c r="AB161" s="19">
        <v>1</v>
      </c>
      <c r="AC161" s="39"/>
      <c r="AE161" s="9">
        <v>336</v>
      </c>
      <c r="AF161" s="9">
        <v>4</v>
      </c>
      <c r="AH161" s="93" t="s">
        <v>67</v>
      </c>
      <c r="AI161" s="89">
        <v>502</v>
      </c>
      <c r="AJ161" s="102">
        <v>3</v>
      </c>
      <c r="AK161" s="101">
        <v>1</v>
      </c>
      <c r="AL161" s="95" t="b">
        <f t="shared" si="15"/>
        <v>1</v>
      </c>
      <c r="AM161" s="95" t="b">
        <f t="shared" si="16"/>
        <v>1</v>
      </c>
    </row>
    <row r="162" spans="4:39" x14ac:dyDescent="0.25">
      <c r="D162" s="8">
        <v>158</v>
      </c>
      <c r="E162" s="48">
        <v>470</v>
      </c>
      <c r="F162" s="10">
        <v>5</v>
      </c>
      <c r="G162" s="10">
        <v>1</v>
      </c>
      <c r="H162" s="5" t="str">
        <f t="shared" si="13"/>
        <v>det_470</v>
      </c>
      <c r="I162" s="5" t="str">
        <f t="shared" si="17"/>
        <v>W:\Performance Measurement\1. Freeway\1. raw data\2010_new\data files\det_470.txt</v>
      </c>
      <c r="J162" s="5" t="str">
        <f t="shared" si="14"/>
        <v>W:\Performance Measurement\1. Freeway\1. raw data\2010_new\data files\det_470.xlsx</v>
      </c>
      <c r="K162" s="5"/>
      <c r="L162" s="47">
        <v>158</v>
      </c>
      <c r="M162" s="39" t="s">
        <v>67</v>
      </c>
      <c r="N162" s="10">
        <v>504</v>
      </c>
      <c r="O162" s="10">
        <v>3</v>
      </c>
      <c r="P162" s="10">
        <v>1</v>
      </c>
      <c r="Q162" s="19">
        <v>1</v>
      </c>
      <c r="R162" s="67" t="s">
        <v>214</v>
      </c>
      <c r="S162" s="19" t="s">
        <v>54</v>
      </c>
      <c r="T162" s="21">
        <v>0</v>
      </c>
      <c r="U162" s="19" t="s">
        <v>44</v>
      </c>
      <c r="V162" s="59" t="s">
        <v>186</v>
      </c>
      <c r="W162" s="75">
        <v>1</v>
      </c>
      <c r="X162" s="5"/>
      <c r="Y162" s="25">
        <v>409</v>
      </c>
      <c r="Z162" s="25">
        <v>5</v>
      </c>
      <c r="AA162" s="25">
        <v>1</v>
      </c>
      <c r="AB162" s="19">
        <v>1</v>
      </c>
      <c r="AC162" s="39"/>
      <c r="AE162" s="9">
        <v>393</v>
      </c>
      <c r="AF162" s="9">
        <v>4</v>
      </c>
      <c r="AH162" s="93" t="s">
        <v>67</v>
      </c>
      <c r="AI162" s="89">
        <v>504</v>
      </c>
      <c r="AJ162" s="102">
        <v>3</v>
      </c>
      <c r="AK162" s="101">
        <v>1</v>
      </c>
      <c r="AL162" s="95" t="b">
        <f t="shared" si="15"/>
        <v>1</v>
      </c>
      <c r="AM162" s="95" t="b">
        <f t="shared" si="16"/>
        <v>1</v>
      </c>
    </row>
    <row r="163" spans="4:39" x14ac:dyDescent="0.25">
      <c r="D163" s="8">
        <v>159</v>
      </c>
      <c r="E163" s="48">
        <v>473</v>
      </c>
      <c r="F163" s="10">
        <v>5</v>
      </c>
      <c r="G163" s="10">
        <v>1</v>
      </c>
      <c r="H163" s="5" t="str">
        <f t="shared" si="13"/>
        <v>det_473</v>
      </c>
      <c r="I163" s="5" t="str">
        <f t="shared" si="17"/>
        <v>W:\Performance Measurement\1. Freeway\1. raw data\2010_new\data files\det_473.txt</v>
      </c>
      <c r="J163" s="5" t="str">
        <f t="shared" si="14"/>
        <v>W:\Performance Measurement\1. Freeway\1. raw data\2010_new\data files\det_473.xlsx</v>
      </c>
      <c r="K163" s="5"/>
      <c r="L163" s="47">
        <v>159</v>
      </c>
      <c r="M163" s="39" t="s">
        <v>68</v>
      </c>
      <c r="N163" s="10">
        <v>441</v>
      </c>
      <c r="O163" s="10">
        <v>3</v>
      </c>
      <c r="P163" s="10">
        <v>1</v>
      </c>
      <c r="Q163" s="19">
        <v>1</v>
      </c>
      <c r="R163" s="67" t="s">
        <v>86</v>
      </c>
      <c r="S163" s="21">
        <v>1</v>
      </c>
      <c r="T163" s="21">
        <v>1</v>
      </c>
      <c r="U163" s="19" t="s">
        <v>44</v>
      </c>
      <c r="V163" s="59" t="s">
        <v>145</v>
      </c>
      <c r="W163" s="75">
        <v>1</v>
      </c>
      <c r="X163" s="5"/>
      <c r="Y163" s="25">
        <v>410</v>
      </c>
      <c r="Z163" s="25">
        <v>4</v>
      </c>
      <c r="AA163" s="25">
        <v>1</v>
      </c>
      <c r="AB163" s="34" t="s">
        <v>42</v>
      </c>
      <c r="AC163" s="39"/>
      <c r="AE163" s="9">
        <v>507</v>
      </c>
      <c r="AF163" s="9">
        <v>4</v>
      </c>
      <c r="AH163" s="93" t="s">
        <v>68</v>
      </c>
      <c r="AI163" s="89">
        <v>441</v>
      </c>
      <c r="AJ163" s="102">
        <v>3</v>
      </c>
      <c r="AK163" s="101">
        <v>1</v>
      </c>
      <c r="AL163" s="95" t="b">
        <f t="shared" si="15"/>
        <v>1</v>
      </c>
      <c r="AM163" s="95" t="b">
        <f t="shared" si="16"/>
        <v>1</v>
      </c>
    </row>
    <row r="164" spans="4:39" x14ac:dyDescent="0.25">
      <c r="D164" s="8">
        <v>160</v>
      </c>
      <c r="E164" s="48">
        <v>476</v>
      </c>
      <c r="F164" s="10">
        <v>5</v>
      </c>
      <c r="G164" s="10">
        <v>1</v>
      </c>
      <c r="H164" s="5" t="str">
        <f t="shared" si="13"/>
        <v>det_476</v>
      </c>
      <c r="I164" s="5" t="str">
        <f t="shared" si="17"/>
        <v>W:\Performance Measurement\1. Freeway\1. raw data\2010_new\data files\det_476.txt</v>
      </c>
      <c r="J164" s="5" t="str">
        <f t="shared" si="14"/>
        <v>W:\Performance Measurement\1. Freeway\1. raw data\2010_new\data files\det_476.xlsx</v>
      </c>
      <c r="K164" s="5"/>
      <c r="L164" s="47">
        <v>160</v>
      </c>
      <c r="M164" s="39" t="s">
        <v>68</v>
      </c>
      <c r="N164" s="10">
        <v>444</v>
      </c>
      <c r="O164" s="10">
        <v>5</v>
      </c>
      <c r="P164" s="10">
        <v>1</v>
      </c>
      <c r="Q164" s="19">
        <v>1</v>
      </c>
      <c r="R164" s="67" t="s">
        <v>190</v>
      </c>
      <c r="S164" s="21">
        <v>1</v>
      </c>
      <c r="T164" s="19" t="s">
        <v>42</v>
      </c>
      <c r="U164" s="19">
        <v>1</v>
      </c>
      <c r="V164" s="59" t="s">
        <v>146</v>
      </c>
      <c r="W164" s="75">
        <v>1</v>
      </c>
      <c r="X164" s="5"/>
      <c r="Y164" s="25">
        <v>411</v>
      </c>
      <c r="Z164" s="25">
        <v>3</v>
      </c>
      <c r="AA164" s="25">
        <v>1</v>
      </c>
      <c r="AB164" s="19" t="s">
        <v>42</v>
      </c>
      <c r="AC164" s="39"/>
      <c r="AE164" s="9">
        <v>518</v>
      </c>
      <c r="AF164" s="9">
        <v>4</v>
      </c>
      <c r="AH164" s="93" t="s">
        <v>68</v>
      </c>
      <c r="AI164" s="89">
        <v>444</v>
      </c>
      <c r="AJ164" s="102">
        <v>5</v>
      </c>
      <c r="AK164" s="101">
        <v>1</v>
      </c>
      <c r="AL164" s="95" t="b">
        <f t="shared" si="15"/>
        <v>1</v>
      </c>
      <c r="AM164" s="95" t="b">
        <f t="shared" si="16"/>
        <v>1</v>
      </c>
    </row>
    <row r="165" spans="4:39" x14ac:dyDescent="0.25">
      <c r="D165" s="8">
        <v>161</v>
      </c>
      <c r="E165" s="48">
        <v>479</v>
      </c>
      <c r="F165" s="10">
        <v>5</v>
      </c>
      <c r="G165" s="10">
        <v>1</v>
      </c>
      <c r="H165" s="5" t="str">
        <f t="shared" ref="H165:H180" si="18">"det_"&amp;E165&amp;""</f>
        <v>det_479</v>
      </c>
      <c r="I165" s="5" t="str">
        <f t="shared" si="17"/>
        <v>W:\Performance Measurement\1. Freeway\1. raw data\2010_new\data files\det_479.txt</v>
      </c>
      <c r="J165" s="5" t="str">
        <f t="shared" ref="J165:J180" si="19">$B$5&amp;"\"&amp;H165&amp;".xlsx"</f>
        <v>W:\Performance Measurement\1. Freeway\1. raw data\2010_new\data files\det_479.xlsx</v>
      </c>
      <c r="K165" s="5"/>
      <c r="L165" s="47">
        <v>161</v>
      </c>
      <c r="M165" s="39" t="s">
        <v>68</v>
      </c>
      <c r="N165" s="10">
        <v>447</v>
      </c>
      <c r="O165" s="10">
        <v>5</v>
      </c>
      <c r="P165" s="10">
        <v>1</v>
      </c>
      <c r="Q165" s="19">
        <v>1</v>
      </c>
      <c r="R165" s="67" t="s">
        <v>117</v>
      </c>
      <c r="S165" s="21">
        <v>1</v>
      </c>
      <c r="T165" s="19">
        <v>1</v>
      </c>
      <c r="U165" s="19">
        <v>1</v>
      </c>
      <c r="V165" s="63"/>
      <c r="W165" s="75">
        <v>1</v>
      </c>
      <c r="X165" s="5"/>
      <c r="Y165" s="25">
        <v>414</v>
      </c>
      <c r="Z165" s="25">
        <v>3</v>
      </c>
      <c r="AA165" s="25">
        <v>1</v>
      </c>
      <c r="AB165" s="19" t="s">
        <v>42</v>
      </c>
      <c r="AC165" s="39"/>
      <c r="AE165" s="9">
        <v>258</v>
      </c>
      <c r="AF165" s="9">
        <v>5</v>
      </c>
      <c r="AH165" s="93" t="s">
        <v>68</v>
      </c>
      <c r="AI165" s="89">
        <v>447</v>
      </c>
      <c r="AJ165" s="102">
        <v>5</v>
      </c>
      <c r="AK165" s="101">
        <v>1</v>
      </c>
      <c r="AL165" s="95" t="b">
        <f t="shared" si="15"/>
        <v>1</v>
      </c>
      <c r="AM165" s="95" t="b">
        <f t="shared" si="16"/>
        <v>1</v>
      </c>
    </row>
    <row r="166" spans="4:39" x14ac:dyDescent="0.25">
      <c r="D166" s="8">
        <v>162</v>
      </c>
      <c r="E166" s="48">
        <v>482</v>
      </c>
      <c r="F166" s="10">
        <v>5</v>
      </c>
      <c r="G166" s="10">
        <v>1</v>
      </c>
      <c r="H166" s="5" t="str">
        <f t="shared" si="18"/>
        <v>det_482</v>
      </c>
      <c r="I166" s="5" t="str">
        <f t="shared" si="17"/>
        <v>W:\Performance Measurement\1. Freeway\1. raw data\2010_new\data files\det_482.txt</v>
      </c>
      <c r="J166" s="5" t="str">
        <f t="shared" si="19"/>
        <v>W:\Performance Measurement\1. Freeway\1. raw data\2010_new\data files\det_482.xlsx</v>
      </c>
      <c r="K166" s="5"/>
      <c r="L166" s="47">
        <v>162</v>
      </c>
      <c r="M166" s="39" t="s">
        <v>68</v>
      </c>
      <c r="N166" s="10">
        <v>450</v>
      </c>
      <c r="O166" s="10">
        <v>5</v>
      </c>
      <c r="P166" s="10">
        <v>1</v>
      </c>
      <c r="Q166" s="19">
        <v>1</v>
      </c>
      <c r="R166" s="67" t="s">
        <v>117</v>
      </c>
      <c r="S166" s="21">
        <v>1</v>
      </c>
      <c r="T166" s="19">
        <v>1</v>
      </c>
      <c r="U166" s="19">
        <v>1</v>
      </c>
      <c r="V166" s="63"/>
      <c r="W166" s="75">
        <v>1</v>
      </c>
      <c r="X166" s="5"/>
      <c r="Y166" s="25">
        <v>417</v>
      </c>
      <c r="Z166" s="25">
        <v>3</v>
      </c>
      <c r="AA166" s="25">
        <v>1</v>
      </c>
      <c r="AB166" s="19" t="s">
        <v>42</v>
      </c>
      <c r="AC166" s="39"/>
      <c r="AE166" s="9">
        <v>63</v>
      </c>
      <c r="AF166" s="9">
        <v>5</v>
      </c>
      <c r="AH166" s="93" t="s">
        <v>68</v>
      </c>
      <c r="AI166" s="89">
        <v>450</v>
      </c>
      <c r="AJ166" s="102">
        <v>5</v>
      </c>
      <c r="AK166" s="101">
        <v>1</v>
      </c>
      <c r="AL166" s="95" t="b">
        <f t="shared" si="15"/>
        <v>1</v>
      </c>
      <c r="AM166" s="95" t="b">
        <f t="shared" si="16"/>
        <v>1</v>
      </c>
    </row>
    <row r="167" spans="4:39" x14ac:dyDescent="0.25">
      <c r="D167" s="8">
        <v>163</v>
      </c>
      <c r="E167" s="48">
        <v>485</v>
      </c>
      <c r="F167" s="10">
        <v>5</v>
      </c>
      <c r="G167" s="10">
        <v>1</v>
      </c>
      <c r="H167" s="5" t="str">
        <f t="shared" si="18"/>
        <v>det_485</v>
      </c>
      <c r="I167" s="5" t="str">
        <f t="shared" si="17"/>
        <v>W:\Performance Measurement\1. Freeway\1. raw data\2010_new\data files\det_485.txt</v>
      </c>
      <c r="J167" s="5" t="str">
        <f t="shared" si="19"/>
        <v>W:\Performance Measurement\1. Freeway\1. raw data\2010_new\data files\det_485.xlsx</v>
      </c>
      <c r="K167" s="5"/>
      <c r="L167" s="47">
        <v>163</v>
      </c>
      <c r="M167" s="39" t="s">
        <v>68</v>
      </c>
      <c r="N167" s="10">
        <v>453</v>
      </c>
      <c r="O167" s="10">
        <v>5</v>
      </c>
      <c r="P167" s="10">
        <v>1</v>
      </c>
      <c r="Q167" s="19">
        <v>1</v>
      </c>
      <c r="R167" s="67" t="s">
        <v>117</v>
      </c>
      <c r="S167" s="21">
        <v>1</v>
      </c>
      <c r="T167" s="19">
        <v>1</v>
      </c>
      <c r="U167" s="19">
        <v>1</v>
      </c>
      <c r="V167" s="63"/>
      <c r="W167" s="75">
        <v>1</v>
      </c>
      <c r="X167" s="5"/>
      <c r="Y167" s="25">
        <v>420</v>
      </c>
      <c r="Z167" s="25">
        <v>4</v>
      </c>
      <c r="AA167" s="25">
        <v>1</v>
      </c>
      <c r="AB167" s="19">
        <v>1</v>
      </c>
      <c r="AC167" s="39"/>
      <c r="AE167" s="9">
        <v>141</v>
      </c>
      <c r="AF167" s="9">
        <v>5</v>
      </c>
      <c r="AH167" s="93" t="s">
        <v>68</v>
      </c>
      <c r="AI167" s="89">
        <v>453</v>
      </c>
      <c r="AJ167" s="102">
        <v>5</v>
      </c>
      <c r="AK167" s="101">
        <v>1</v>
      </c>
      <c r="AL167" s="95" t="b">
        <f t="shared" si="15"/>
        <v>1</v>
      </c>
      <c r="AM167" s="95" t="b">
        <f t="shared" si="16"/>
        <v>1</v>
      </c>
    </row>
    <row r="168" spans="4:39" x14ac:dyDescent="0.25">
      <c r="D168" s="8">
        <v>164</v>
      </c>
      <c r="E168" s="48">
        <v>488</v>
      </c>
      <c r="F168" s="10">
        <v>3</v>
      </c>
      <c r="G168" s="10">
        <v>1</v>
      </c>
      <c r="H168" s="5" t="str">
        <f t="shared" si="18"/>
        <v>det_488</v>
      </c>
      <c r="I168" s="5" t="str">
        <f t="shared" si="17"/>
        <v>W:\Performance Measurement\1. Freeway\1. raw data\2010_new\data files\det_488.txt</v>
      </c>
      <c r="J168" s="5" t="str">
        <f t="shared" si="19"/>
        <v>W:\Performance Measurement\1. Freeway\1. raw data\2010_new\data files\det_488.xlsx</v>
      </c>
      <c r="K168" s="5"/>
      <c r="L168" s="47">
        <v>164</v>
      </c>
      <c r="M168" s="39" t="s">
        <v>68</v>
      </c>
      <c r="N168" s="10">
        <v>456</v>
      </c>
      <c r="O168" s="10">
        <v>5</v>
      </c>
      <c r="P168" s="10">
        <v>1</v>
      </c>
      <c r="Q168" s="19">
        <v>1</v>
      </c>
      <c r="R168" s="67" t="s">
        <v>86</v>
      </c>
      <c r="S168" s="21">
        <v>1</v>
      </c>
      <c r="T168" s="19">
        <v>1</v>
      </c>
      <c r="U168" s="19">
        <v>1</v>
      </c>
      <c r="V168" s="63"/>
      <c r="W168" s="75">
        <v>1</v>
      </c>
      <c r="X168" s="5"/>
      <c r="Y168" s="25">
        <v>423</v>
      </c>
      <c r="Z168" s="25">
        <v>3</v>
      </c>
      <c r="AA168" s="25">
        <v>1</v>
      </c>
      <c r="AB168" s="19" t="s">
        <v>44</v>
      </c>
      <c r="AC168" s="39"/>
      <c r="AE168" s="9">
        <v>162</v>
      </c>
      <c r="AF168" s="9">
        <v>5</v>
      </c>
      <c r="AH168" s="93" t="s">
        <v>68</v>
      </c>
      <c r="AI168" s="89">
        <v>456</v>
      </c>
      <c r="AJ168" s="102">
        <v>5</v>
      </c>
      <c r="AK168" s="101">
        <v>1</v>
      </c>
      <c r="AL168" s="95" t="b">
        <f t="shared" si="15"/>
        <v>1</v>
      </c>
      <c r="AM168" s="95" t="b">
        <f t="shared" si="16"/>
        <v>1</v>
      </c>
    </row>
    <row r="169" spans="4:39" x14ac:dyDescent="0.25">
      <c r="D169" s="8">
        <v>165</v>
      </c>
      <c r="E169" s="48">
        <v>490</v>
      </c>
      <c r="F169" s="10">
        <v>3</v>
      </c>
      <c r="G169" s="10">
        <v>1</v>
      </c>
      <c r="H169" s="5" t="str">
        <f t="shared" si="18"/>
        <v>det_490</v>
      </c>
      <c r="I169" s="5" t="str">
        <f t="shared" si="17"/>
        <v>W:\Performance Measurement\1. Freeway\1. raw data\2010_new\data files\det_490.txt</v>
      </c>
      <c r="J169" s="5" t="str">
        <f t="shared" si="19"/>
        <v>W:\Performance Measurement\1. Freeway\1. raw data\2010_new\data files\det_490.xlsx</v>
      </c>
      <c r="K169" s="5"/>
      <c r="L169" s="47">
        <v>165</v>
      </c>
      <c r="M169" s="39" t="s">
        <v>68</v>
      </c>
      <c r="N169" s="10">
        <v>459</v>
      </c>
      <c r="O169" s="10">
        <v>5</v>
      </c>
      <c r="P169" s="10">
        <v>1</v>
      </c>
      <c r="Q169" s="19">
        <v>1</v>
      </c>
      <c r="R169" s="67" t="s">
        <v>215</v>
      </c>
      <c r="S169" s="21">
        <v>1</v>
      </c>
      <c r="T169" s="19" t="s">
        <v>42</v>
      </c>
      <c r="U169" s="19">
        <v>1</v>
      </c>
      <c r="V169" s="63"/>
      <c r="W169" s="73">
        <v>1</v>
      </c>
      <c r="X169" s="5"/>
      <c r="Y169" s="25">
        <v>425</v>
      </c>
      <c r="Z169" s="25">
        <v>3</v>
      </c>
      <c r="AA169" s="25">
        <v>1</v>
      </c>
      <c r="AB169" s="19" t="s">
        <v>44</v>
      </c>
      <c r="AC169" s="39"/>
      <c r="AE169" s="9">
        <v>439</v>
      </c>
      <c r="AF169" s="9">
        <v>5</v>
      </c>
      <c r="AH169" s="93" t="s">
        <v>68</v>
      </c>
      <c r="AI169" s="89">
        <v>459</v>
      </c>
      <c r="AJ169" s="102">
        <v>5</v>
      </c>
      <c r="AK169" s="101">
        <v>1</v>
      </c>
      <c r="AL169" s="95" t="b">
        <f t="shared" si="15"/>
        <v>1</v>
      </c>
      <c r="AM169" s="95" t="b">
        <f t="shared" si="16"/>
        <v>1</v>
      </c>
    </row>
    <row r="170" spans="4:39" x14ac:dyDescent="0.25">
      <c r="D170" s="8">
        <v>166</v>
      </c>
      <c r="E170" s="48">
        <v>465</v>
      </c>
      <c r="F170" s="10">
        <v>5</v>
      </c>
      <c r="G170" s="10">
        <v>1</v>
      </c>
      <c r="H170" s="5" t="str">
        <f t="shared" si="18"/>
        <v>det_465</v>
      </c>
      <c r="I170" s="5" t="str">
        <f t="shared" si="17"/>
        <v>W:\Performance Measurement\1. Freeway\1. raw data\2010_new\data files\det_465.txt</v>
      </c>
      <c r="J170" s="5" t="str">
        <f t="shared" si="19"/>
        <v>W:\Performance Measurement\1. Freeway\1. raw data\2010_new\data files\det_465.xlsx</v>
      </c>
      <c r="K170" s="5"/>
      <c r="L170" s="47">
        <v>166</v>
      </c>
      <c r="M170" s="39" t="s">
        <v>68</v>
      </c>
      <c r="N170" s="10">
        <v>462</v>
      </c>
      <c r="O170" s="10">
        <v>5</v>
      </c>
      <c r="P170" s="10">
        <v>1</v>
      </c>
      <c r="Q170" s="19">
        <v>1</v>
      </c>
      <c r="R170" s="67" t="s">
        <v>118</v>
      </c>
      <c r="S170" s="21">
        <v>1</v>
      </c>
      <c r="T170" s="19" t="s">
        <v>42</v>
      </c>
      <c r="U170" s="19">
        <v>1</v>
      </c>
      <c r="V170" s="59" t="s">
        <v>147</v>
      </c>
      <c r="W170" s="73">
        <v>1</v>
      </c>
      <c r="X170" s="5"/>
      <c r="Y170" s="25">
        <v>427</v>
      </c>
      <c r="Z170" s="25">
        <v>3</v>
      </c>
      <c r="AA170" s="25">
        <v>1</v>
      </c>
      <c r="AB170" s="19" t="s">
        <v>44</v>
      </c>
      <c r="AC170" s="39"/>
      <c r="AE170" s="9">
        <v>64</v>
      </c>
      <c r="AF170" s="9">
        <v>6</v>
      </c>
      <c r="AH170" s="93" t="s">
        <v>68</v>
      </c>
      <c r="AI170" s="89">
        <v>462</v>
      </c>
      <c r="AJ170" s="102">
        <v>5</v>
      </c>
      <c r="AK170" s="101">
        <v>1</v>
      </c>
      <c r="AL170" s="95" t="b">
        <f t="shared" si="15"/>
        <v>1</v>
      </c>
      <c r="AM170" s="95" t="b">
        <f t="shared" si="16"/>
        <v>1</v>
      </c>
    </row>
    <row r="171" spans="4:39" x14ac:dyDescent="0.25">
      <c r="D171" s="8">
        <v>167</v>
      </c>
      <c r="E171" s="48">
        <v>520</v>
      </c>
      <c r="F171" s="10">
        <v>5</v>
      </c>
      <c r="G171" s="10">
        <v>1</v>
      </c>
      <c r="H171" s="5" t="str">
        <f t="shared" si="18"/>
        <v>det_520</v>
      </c>
      <c r="I171" s="5" t="str">
        <f t="shared" si="17"/>
        <v>W:\Performance Measurement\1. Freeway\1. raw data\2010_new\data files\det_520.txt</v>
      </c>
      <c r="J171" s="5" t="str">
        <f t="shared" si="19"/>
        <v>W:\Performance Measurement\1. Freeway\1. raw data\2010_new\data files\det_520.xlsx</v>
      </c>
      <c r="K171" s="5"/>
      <c r="L171" s="47">
        <v>167</v>
      </c>
      <c r="M171" s="39" t="s">
        <v>68</v>
      </c>
      <c r="N171" s="10">
        <v>467</v>
      </c>
      <c r="O171" s="10">
        <v>5</v>
      </c>
      <c r="P171" s="10">
        <v>1</v>
      </c>
      <c r="Q171" s="19">
        <v>1</v>
      </c>
      <c r="R171" s="67" t="s">
        <v>216</v>
      </c>
      <c r="S171" s="19">
        <v>1</v>
      </c>
      <c r="T171" s="19">
        <v>1</v>
      </c>
      <c r="U171" s="19">
        <v>1</v>
      </c>
      <c r="V171" s="59" t="s">
        <v>148</v>
      </c>
      <c r="W171" s="73">
        <v>1</v>
      </c>
      <c r="X171" s="5"/>
      <c r="Y171" s="25">
        <v>428</v>
      </c>
      <c r="Z171" s="25">
        <v>4</v>
      </c>
      <c r="AA171" s="25">
        <v>1</v>
      </c>
      <c r="AB171" s="19">
        <v>1</v>
      </c>
      <c r="AC171" s="39"/>
      <c r="AE171" s="9">
        <v>133</v>
      </c>
      <c r="AF171" s="9">
        <v>6</v>
      </c>
      <c r="AH171" s="93" t="s">
        <v>68</v>
      </c>
      <c r="AI171" s="89">
        <v>467</v>
      </c>
      <c r="AJ171" s="102">
        <v>5</v>
      </c>
      <c r="AK171" s="101">
        <v>1</v>
      </c>
      <c r="AL171" s="95" t="b">
        <f t="shared" si="15"/>
        <v>1</v>
      </c>
      <c r="AM171" s="95" t="b">
        <f t="shared" si="16"/>
        <v>1</v>
      </c>
    </row>
    <row r="172" spans="4:39" x14ac:dyDescent="0.25">
      <c r="D172" s="8">
        <v>168</v>
      </c>
      <c r="E172" s="48">
        <v>521</v>
      </c>
      <c r="F172" s="10">
        <v>5</v>
      </c>
      <c r="G172" s="10">
        <v>1</v>
      </c>
      <c r="H172" s="5" t="str">
        <f t="shared" si="18"/>
        <v>det_521</v>
      </c>
      <c r="I172" s="5" t="str">
        <f t="shared" si="17"/>
        <v>W:\Performance Measurement\1. Freeway\1. raw data\2010_new\data files\det_521.txt</v>
      </c>
      <c r="J172" s="5" t="str">
        <f t="shared" si="19"/>
        <v>W:\Performance Measurement\1. Freeway\1. raw data\2010_new\data files\det_521.xlsx</v>
      </c>
      <c r="K172" s="5"/>
      <c r="L172" s="47">
        <v>168</v>
      </c>
      <c r="M172" s="39" t="s">
        <v>68</v>
      </c>
      <c r="N172" s="10">
        <v>470</v>
      </c>
      <c r="O172" s="10">
        <v>5</v>
      </c>
      <c r="P172" s="10">
        <v>1</v>
      </c>
      <c r="Q172" s="19">
        <v>1</v>
      </c>
      <c r="R172" s="67" t="s">
        <v>216</v>
      </c>
      <c r="S172" s="19">
        <v>1</v>
      </c>
      <c r="T172" s="19">
        <v>1</v>
      </c>
      <c r="U172" s="19">
        <v>1</v>
      </c>
      <c r="V172" s="59" t="s">
        <v>148</v>
      </c>
      <c r="W172" s="73">
        <v>1</v>
      </c>
      <c r="X172" s="5"/>
      <c r="Y172" s="25">
        <v>432</v>
      </c>
      <c r="Z172" s="25">
        <v>3</v>
      </c>
      <c r="AA172" s="25">
        <v>1</v>
      </c>
      <c r="AB172" s="19">
        <v>1</v>
      </c>
      <c r="AC172" s="39"/>
      <c r="AE172" s="9">
        <v>41</v>
      </c>
      <c r="AF172" s="9">
        <v>7</v>
      </c>
      <c r="AH172" s="93" t="s">
        <v>68</v>
      </c>
      <c r="AI172" s="89">
        <v>470</v>
      </c>
      <c r="AJ172" s="102">
        <v>5</v>
      </c>
      <c r="AK172" s="101">
        <v>1</v>
      </c>
      <c r="AL172" s="95" t="b">
        <f t="shared" si="15"/>
        <v>1</v>
      </c>
      <c r="AM172" s="95" t="b">
        <f t="shared" si="16"/>
        <v>1</v>
      </c>
    </row>
    <row r="173" spans="4:39" x14ac:dyDescent="0.25">
      <c r="D173" s="8">
        <v>169</v>
      </c>
      <c r="E173" s="48">
        <v>522</v>
      </c>
      <c r="F173" s="10">
        <v>5</v>
      </c>
      <c r="G173" s="10">
        <v>1</v>
      </c>
      <c r="H173" s="5" t="str">
        <f t="shared" si="18"/>
        <v>det_522</v>
      </c>
      <c r="I173" s="5" t="str">
        <f t="shared" si="17"/>
        <v>W:\Performance Measurement\1. Freeway\1. raw data\2010_new\data files\det_522.txt</v>
      </c>
      <c r="J173" s="5" t="str">
        <f t="shared" si="19"/>
        <v>W:\Performance Measurement\1. Freeway\1. raw data\2010_new\data files\det_522.xlsx</v>
      </c>
      <c r="K173" s="5"/>
      <c r="L173" s="47">
        <v>169</v>
      </c>
      <c r="M173" s="39" t="s">
        <v>68</v>
      </c>
      <c r="N173" s="10">
        <v>473</v>
      </c>
      <c r="O173" s="10">
        <v>5</v>
      </c>
      <c r="P173" s="10">
        <v>1</v>
      </c>
      <c r="Q173" s="19">
        <v>1</v>
      </c>
      <c r="R173" s="67" t="s">
        <v>217</v>
      </c>
      <c r="S173" s="19">
        <v>1</v>
      </c>
      <c r="T173" s="19">
        <v>1</v>
      </c>
      <c r="U173" s="19">
        <v>1</v>
      </c>
      <c r="V173" s="59" t="s">
        <v>148</v>
      </c>
      <c r="W173" s="73">
        <v>1</v>
      </c>
      <c r="X173" s="5"/>
      <c r="Y173" s="25">
        <v>435</v>
      </c>
      <c r="Z173" s="25">
        <v>3</v>
      </c>
      <c r="AA173" s="25">
        <v>1</v>
      </c>
      <c r="AB173" s="19">
        <v>1</v>
      </c>
      <c r="AC173" s="39"/>
      <c r="AH173" s="93" t="s">
        <v>68</v>
      </c>
      <c r="AI173" s="89">
        <v>473</v>
      </c>
      <c r="AJ173" s="102">
        <v>5</v>
      </c>
      <c r="AK173" s="101">
        <v>1</v>
      </c>
      <c r="AL173" s="95" t="b">
        <f t="shared" si="15"/>
        <v>1</v>
      </c>
      <c r="AM173" s="95" t="b">
        <f t="shared" si="16"/>
        <v>1</v>
      </c>
    </row>
    <row r="174" spans="4:39" x14ac:dyDescent="0.25">
      <c r="D174" s="8">
        <v>170</v>
      </c>
      <c r="E174" s="48">
        <v>523</v>
      </c>
      <c r="F174" s="10">
        <v>5</v>
      </c>
      <c r="G174" s="10">
        <v>1</v>
      </c>
      <c r="H174" s="5" t="str">
        <f t="shared" si="18"/>
        <v>det_523</v>
      </c>
      <c r="I174" s="5" t="str">
        <f t="shared" si="17"/>
        <v>W:\Performance Measurement\1. Freeway\1. raw data\2010_new\data files\det_523.txt</v>
      </c>
      <c r="J174" s="5" t="str">
        <f t="shared" si="19"/>
        <v>W:\Performance Measurement\1. Freeway\1. raw data\2010_new\data files\det_523.xlsx</v>
      </c>
      <c r="K174" s="5"/>
      <c r="L174" s="47">
        <v>170</v>
      </c>
      <c r="M174" s="39" t="s">
        <v>68</v>
      </c>
      <c r="N174" s="10">
        <v>476</v>
      </c>
      <c r="O174" s="10">
        <v>5</v>
      </c>
      <c r="P174" s="10">
        <v>1</v>
      </c>
      <c r="Q174" s="19">
        <v>1</v>
      </c>
      <c r="R174" s="67" t="s">
        <v>216</v>
      </c>
      <c r="S174" s="19">
        <v>1</v>
      </c>
      <c r="T174" s="19">
        <v>1</v>
      </c>
      <c r="U174" s="19">
        <v>1</v>
      </c>
      <c r="V174" s="59" t="s">
        <v>148</v>
      </c>
      <c r="W174" s="73">
        <v>1</v>
      </c>
      <c r="X174" s="5"/>
      <c r="Y174" s="25">
        <v>438</v>
      </c>
      <c r="Z174" s="25">
        <v>3</v>
      </c>
      <c r="AA174" s="25">
        <v>1</v>
      </c>
      <c r="AB174" s="19">
        <v>1</v>
      </c>
      <c r="AC174" s="39"/>
      <c r="AH174" s="93" t="s">
        <v>68</v>
      </c>
      <c r="AI174" s="89">
        <v>476</v>
      </c>
      <c r="AJ174" s="102">
        <v>5</v>
      </c>
      <c r="AK174" s="101">
        <v>1</v>
      </c>
      <c r="AL174" s="95" t="b">
        <f t="shared" si="15"/>
        <v>1</v>
      </c>
      <c r="AM174" s="95" t="b">
        <f t="shared" si="16"/>
        <v>1</v>
      </c>
    </row>
    <row r="175" spans="4:39" x14ac:dyDescent="0.25">
      <c r="D175" s="8">
        <v>171</v>
      </c>
      <c r="E175" s="48">
        <v>524</v>
      </c>
      <c r="F175" s="10">
        <v>5</v>
      </c>
      <c r="G175" s="10">
        <v>1</v>
      </c>
      <c r="H175" s="5" t="str">
        <f t="shared" si="18"/>
        <v>det_524</v>
      </c>
      <c r="I175" s="5" t="str">
        <f t="shared" si="17"/>
        <v>W:\Performance Measurement\1. Freeway\1. raw data\2010_new\data files\det_524.txt</v>
      </c>
      <c r="J175" s="5" t="str">
        <f t="shared" si="19"/>
        <v>W:\Performance Measurement\1. Freeway\1. raw data\2010_new\data files\det_524.xlsx</v>
      </c>
      <c r="K175" s="5"/>
      <c r="L175" s="47">
        <v>171</v>
      </c>
      <c r="M175" s="39" t="s">
        <v>68</v>
      </c>
      <c r="N175" s="10">
        <v>479</v>
      </c>
      <c r="O175" s="10">
        <v>5</v>
      </c>
      <c r="P175" s="10">
        <v>1</v>
      </c>
      <c r="Q175" s="19">
        <v>1</v>
      </c>
      <c r="R175" s="67" t="s">
        <v>216</v>
      </c>
      <c r="S175" s="19">
        <v>1</v>
      </c>
      <c r="T175" s="19">
        <v>1</v>
      </c>
      <c r="U175" s="19">
        <v>1</v>
      </c>
      <c r="V175" s="59" t="s">
        <v>149</v>
      </c>
      <c r="W175" s="73">
        <v>1</v>
      </c>
      <c r="X175" s="5"/>
      <c r="Y175" s="25">
        <v>439</v>
      </c>
      <c r="Z175" s="25">
        <v>4</v>
      </c>
      <c r="AA175" s="25">
        <v>1</v>
      </c>
      <c r="AB175" s="19" t="s">
        <v>43</v>
      </c>
      <c r="AC175" s="39"/>
      <c r="AH175" s="93" t="s">
        <v>68</v>
      </c>
      <c r="AI175" s="89">
        <v>479</v>
      </c>
      <c r="AJ175" s="102">
        <v>5</v>
      </c>
      <c r="AK175" s="101">
        <v>1</v>
      </c>
      <c r="AL175" s="95" t="b">
        <f t="shared" si="15"/>
        <v>1</v>
      </c>
      <c r="AM175" s="95" t="b">
        <f t="shared" si="16"/>
        <v>1</v>
      </c>
    </row>
    <row r="176" spans="4:39" x14ac:dyDescent="0.25">
      <c r="D176" s="8">
        <v>172</v>
      </c>
      <c r="E176" s="48">
        <v>525</v>
      </c>
      <c r="F176" s="10">
        <v>4</v>
      </c>
      <c r="G176" s="10">
        <v>1</v>
      </c>
      <c r="H176" s="5" t="str">
        <f t="shared" si="18"/>
        <v>det_525</v>
      </c>
      <c r="I176" s="5" t="str">
        <f t="shared" si="17"/>
        <v>W:\Performance Measurement\1. Freeway\1. raw data\2010_new\data files\det_525.txt</v>
      </c>
      <c r="J176" s="5" t="str">
        <f t="shared" si="19"/>
        <v>W:\Performance Measurement\1. Freeway\1. raw data\2010_new\data files\det_525.xlsx</v>
      </c>
      <c r="K176" s="5"/>
      <c r="L176" s="47">
        <v>172</v>
      </c>
      <c r="M176" s="39" t="s">
        <v>68</v>
      </c>
      <c r="N176" s="10">
        <v>482</v>
      </c>
      <c r="O176" s="10">
        <v>5</v>
      </c>
      <c r="P176" s="10">
        <v>1</v>
      </c>
      <c r="Q176" s="19">
        <v>1</v>
      </c>
      <c r="R176" s="67" t="s">
        <v>218</v>
      </c>
      <c r="S176" s="19">
        <v>1</v>
      </c>
      <c r="T176" s="19" t="s">
        <v>42</v>
      </c>
      <c r="U176" s="19">
        <v>1</v>
      </c>
      <c r="V176" s="59" t="s">
        <v>149</v>
      </c>
      <c r="W176" s="73">
        <v>1</v>
      </c>
      <c r="X176" s="5"/>
      <c r="Y176" s="25">
        <v>441</v>
      </c>
      <c r="Z176" s="25">
        <v>3</v>
      </c>
      <c r="AA176" s="25">
        <v>1</v>
      </c>
      <c r="AB176" s="19" t="s">
        <v>44</v>
      </c>
      <c r="AC176" s="39"/>
      <c r="AH176" s="93" t="s">
        <v>68</v>
      </c>
      <c r="AI176" s="89">
        <v>482</v>
      </c>
      <c r="AJ176" s="102">
        <v>5</v>
      </c>
      <c r="AK176" s="101">
        <v>1</v>
      </c>
      <c r="AL176" s="95" t="b">
        <f t="shared" si="15"/>
        <v>1</v>
      </c>
      <c r="AM176" s="95" t="b">
        <f t="shared" si="16"/>
        <v>1</v>
      </c>
    </row>
    <row r="177" spans="4:39" x14ac:dyDescent="0.25">
      <c r="D177" s="8">
        <v>173</v>
      </c>
      <c r="E177" s="48">
        <v>526</v>
      </c>
      <c r="F177" s="10">
        <v>3</v>
      </c>
      <c r="G177" s="10">
        <v>1</v>
      </c>
      <c r="H177" s="5" t="str">
        <f t="shared" si="18"/>
        <v>det_526</v>
      </c>
      <c r="I177" s="5" t="str">
        <f t="shared" si="17"/>
        <v>W:\Performance Measurement\1. Freeway\1. raw data\2010_new\data files\det_526.txt</v>
      </c>
      <c r="J177" s="5" t="str">
        <f t="shared" si="19"/>
        <v>W:\Performance Measurement\1. Freeway\1. raw data\2010_new\data files\det_526.xlsx</v>
      </c>
      <c r="K177" s="5"/>
      <c r="L177" s="47">
        <v>173</v>
      </c>
      <c r="M177" s="39" t="s">
        <v>68</v>
      </c>
      <c r="N177" s="10">
        <v>485</v>
      </c>
      <c r="O177" s="10">
        <v>5</v>
      </c>
      <c r="P177" s="10">
        <v>1</v>
      </c>
      <c r="Q177" s="19">
        <v>1</v>
      </c>
      <c r="R177" s="67" t="s">
        <v>218</v>
      </c>
      <c r="S177" s="19">
        <v>1</v>
      </c>
      <c r="T177" s="19" t="s">
        <v>42</v>
      </c>
      <c r="U177" s="19">
        <v>1</v>
      </c>
      <c r="V177" s="59" t="s">
        <v>149</v>
      </c>
      <c r="W177" s="75">
        <v>1</v>
      </c>
      <c r="X177" s="5"/>
      <c r="Y177" s="25">
        <v>444</v>
      </c>
      <c r="Z177" s="25">
        <v>5</v>
      </c>
      <c r="AA177" s="25">
        <v>1</v>
      </c>
      <c r="AB177" s="19">
        <v>1</v>
      </c>
      <c r="AC177" s="39"/>
      <c r="AH177" s="93" t="s">
        <v>68</v>
      </c>
      <c r="AI177" s="89">
        <v>485</v>
      </c>
      <c r="AJ177" s="102">
        <v>5</v>
      </c>
      <c r="AK177" s="101">
        <v>1</v>
      </c>
      <c r="AL177" s="95" t="b">
        <f t="shared" si="15"/>
        <v>1</v>
      </c>
      <c r="AM177" s="95" t="b">
        <f t="shared" si="16"/>
        <v>1</v>
      </c>
    </row>
    <row r="178" spans="4:39" x14ac:dyDescent="0.25">
      <c r="D178" s="8">
        <v>174</v>
      </c>
      <c r="E178" s="48">
        <v>532</v>
      </c>
      <c r="F178" s="10">
        <v>4</v>
      </c>
      <c r="G178" s="10">
        <v>1</v>
      </c>
      <c r="H178" s="5" t="str">
        <f t="shared" si="18"/>
        <v>det_532</v>
      </c>
      <c r="I178" s="5" t="str">
        <f t="shared" si="17"/>
        <v>W:\Performance Measurement\1. Freeway\1. raw data\2010_new\data files\det_532.txt</v>
      </c>
      <c r="J178" s="5" t="str">
        <f t="shared" si="19"/>
        <v>W:\Performance Measurement\1. Freeway\1. raw data\2010_new\data files\det_532.xlsx</v>
      </c>
      <c r="K178" s="5"/>
      <c r="L178" s="47">
        <v>174</v>
      </c>
      <c r="M178" s="39" t="s">
        <v>68</v>
      </c>
      <c r="N178" s="10">
        <v>488</v>
      </c>
      <c r="O178" s="10">
        <v>3</v>
      </c>
      <c r="P178" s="10">
        <v>1</v>
      </c>
      <c r="Q178" s="19">
        <v>1</v>
      </c>
      <c r="R178" s="67" t="s">
        <v>219</v>
      </c>
      <c r="S178" s="19">
        <v>1</v>
      </c>
      <c r="T178" s="21">
        <v>1</v>
      </c>
      <c r="U178" s="19">
        <v>1</v>
      </c>
      <c r="V178" s="59" t="s">
        <v>114</v>
      </c>
      <c r="W178" s="75">
        <v>1</v>
      </c>
      <c r="X178" s="5"/>
      <c r="Y178" s="25">
        <v>447</v>
      </c>
      <c r="Z178" s="25">
        <v>5</v>
      </c>
      <c r="AA178" s="25">
        <v>1</v>
      </c>
      <c r="AB178" s="19">
        <v>1</v>
      </c>
      <c r="AC178" s="39"/>
      <c r="AH178" s="93" t="s">
        <v>68</v>
      </c>
      <c r="AI178" s="89">
        <v>488</v>
      </c>
      <c r="AJ178" s="102">
        <v>3</v>
      </c>
      <c r="AK178" s="101">
        <v>1</v>
      </c>
      <c r="AL178" s="95" t="b">
        <f t="shared" si="15"/>
        <v>1</v>
      </c>
      <c r="AM178" s="95" t="b">
        <f t="shared" si="16"/>
        <v>1</v>
      </c>
    </row>
    <row r="179" spans="4:39" x14ac:dyDescent="0.25">
      <c r="D179" s="8">
        <v>175</v>
      </c>
      <c r="E179" s="48">
        <v>533</v>
      </c>
      <c r="F179" s="10">
        <v>6</v>
      </c>
      <c r="G179" s="10">
        <v>1</v>
      </c>
      <c r="H179" s="5" t="str">
        <f t="shared" si="18"/>
        <v>det_533</v>
      </c>
      <c r="I179" s="5" t="str">
        <f t="shared" si="17"/>
        <v>W:\Performance Measurement\1. Freeway\1. raw data\2010_new\data files\det_533.txt</v>
      </c>
      <c r="J179" s="5" t="str">
        <f t="shared" si="19"/>
        <v>W:\Performance Measurement\1. Freeway\1. raw data\2010_new\data files\det_533.xlsx</v>
      </c>
      <c r="K179" s="5"/>
      <c r="L179" s="47">
        <v>175</v>
      </c>
      <c r="M179" s="39" t="s">
        <v>68</v>
      </c>
      <c r="N179" s="10">
        <v>490</v>
      </c>
      <c r="O179" s="10">
        <v>3</v>
      </c>
      <c r="P179" s="10">
        <v>1</v>
      </c>
      <c r="Q179" s="19">
        <v>1</v>
      </c>
      <c r="R179" s="67" t="s">
        <v>216</v>
      </c>
      <c r="S179" s="21">
        <v>1</v>
      </c>
      <c r="T179" s="21">
        <v>1</v>
      </c>
      <c r="U179" s="19" t="s">
        <v>44</v>
      </c>
      <c r="V179" s="59" t="s">
        <v>150</v>
      </c>
      <c r="W179" s="55">
        <v>1</v>
      </c>
      <c r="X179" s="5"/>
      <c r="Y179" s="25">
        <v>450</v>
      </c>
      <c r="Z179" s="25">
        <v>5</v>
      </c>
      <c r="AA179" s="25">
        <v>1</v>
      </c>
      <c r="AB179" s="19">
        <v>1</v>
      </c>
      <c r="AC179" s="39"/>
      <c r="AH179" s="93" t="s">
        <v>68</v>
      </c>
      <c r="AI179" s="89">
        <v>490</v>
      </c>
      <c r="AJ179" s="102">
        <v>3</v>
      </c>
      <c r="AK179" s="101">
        <v>1</v>
      </c>
      <c r="AL179" s="95" t="b">
        <f t="shared" si="15"/>
        <v>1</v>
      </c>
      <c r="AM179" s="95" t="b">
        <f t="shared" si="16"/>
        <v>1</v>
      </c>
    </row>
    <row r="180" spans="4:39" x14ac:dyDescent="0.25">
      <c r="D180" s="8">
        <v>176</v>
      </c>
      <c r="E180" s="48">
        <v>534</v>
      </c>
      <c r="F180" s="10">
        <v>5</v>
      </c>
      <c r="G180" s="10">
        <v>1</v>
      </c>
      <c r="H180" s="5" t="str">
        <f t="shared" si="18"/>
        <v>det_534</v>
      </c>
      <c r="I180" s="5" t="str">
        <f t="shared" si="17"/>
        <v>W:\Performance Measurement\1. Freeway\1. raw data\2010_new\data files\det_534.txt</v>
      </c>
      <c r="J180" s="5" t="str">
        <f t="shared" si="19"/>
        <v>W:\Performance Measurement\1. Freeway\1. raw data\2010_new\data files\det_534.xlsx</v>
      </c>
      <c r="K180" s="5"/>
      <c r="L180" s="47">
        <v>176</v>
      </c>
      <c r="M180" s="39" t="s">
        <v>69</v>
      </c>
      <c r="N180" s="10">
        <v>465</v>
      </c>
      <c r="O180" s="10">
        <v>5</v>
      </c>
      <c r="P180" s="10">
        <v>1</v>
      </c>
      <c r="Q180" s="19">
        <v>1</v>
      </c>
      <c r="R180" s="67" t="s">
        <v>220</v>
      </c>
      <c r="S180" s="21">
        <v>1</v>
      </c>
      <c r="T180" s="19" t="s">
        <v>42</v>
      </c>
      <c r="U180" s="19">
        <v>1</v>
      </c>
      <c r="V180" s="59"/>
      <c r="W180" s="39">
        <v>1</v>
      </c>
      <c r="X180" s="5"/>
      <c r="Y180" s="25">
        <v>453</v>
      </c>
      <c r="Z180" s="25">
        <v>5</v>
      </c>
      <c r="AA180" s="25">
        <v>1</v>
      </c>
      <c r="AB180" s="19">
        <v>1</v>
      </c>
      <c r="AC180" s="39"/>
      <c r="AH180" s="93" t="s">
        <v>69</v>
      </c>
      <c r="AI180" s="89">
        <v>465</v>
      </c>
      <c r="AJ180" s="102">
        <v>5</v>
      </c>
      <c r="AK180" s="101">
        <v>1</v>
      </c>
      <c r="AL180" s="95" t="b">
        <f t="shared" si="15"/>
        <v>1</v>
      </c>
      <c r="AM180" s="95" t="b">
        <f t="shared" si="16"/>
        <v>1</v>
      </c>
    </row>
    <row r="181" spans="4:39" x14ac:dyDescent="0.25">
      <c r="D181" s="8">
        <v>177</v>
      </c>
      <c r="E181" s="48">
        <v>535</v>
      </c>
      <c r="F181" s="10">
        <v>5</v>
      </c>
      <c r="G181" s="10">
        <v>1</v>
      </c>
      <c r="H181" s="5" t="str">
        <f t="shared" ref="H181:H244" si="20">"det_"&amp;E181&amp;""</f>
        <v>det_535</v>
      </c>
      <c r="I181" s="5" t="str">
        <f t="shared" ref="I181:I244" si="21">$B$5&amp;"\"&amp;H181&amp;".txt"</f>
        <v>W:\Performance Measurement\1. Freeway\1. raw data\2010_new\data files\det_535.txt</v>
      </c>
      <c r="J181" s="5" t="str">
        <f t="shared" ref="J181:J244" si="22">$B$5&amp;"\"&amp;H181&amp;".xlsx"</f>
        <v>W:\Performance Measurement\1. Freeway\1. raw data\2010_new\data files\det_535.xlsx</v>
      </c>
      <c r="K181" s="5"/>
      <c r="L181" s="47">
        <v>177</v>
      </c>
      <c r="M181" s="39" t="s">
        <v>69</v>
      </c>
      <c r="N181" s="10">
        <v>520</v>
      </c>
      <c r="O181" s="10">
        <v>5</v>
      </c>
      <c r="P181" s="10">
        <v>1</v>
      </c>
      <c r="Q181" s="19">
        <v>1</v>
      </c>
      <c r="R181" s="67" t="s">
        <v>221</v>
      </c>
      <c r="S181" s="21">
        <v>1</v>
      </c>
      <c r="T181" s="19">
        <v>1</v>
      </c>
      <c r="U181" s="19">
        <v>1</v>
      </c>
      <c r="V181" s="59"/>
      <c r="W181" s="39">
        <v>1</v>
      </c>
      <c r="X181" s="5"/>
      <c r="Y181" s="25">
        <v>456</v>
      </c>
      <c r="Z181" s="25">
        <v>5</v>
      </c>
      <c r="AA181" s="25">
        <v>1</v>
      </c>
      <c r="AB181" s="19">
        <v>1</v>
      </c>
      <c r="AC181" s="39"/>
      <c r="AH181" s="93" t="s">
        <v>69</v>
      </c>
      <c r="AI181" s="99">
        <v>520</v>
      </c>
      <c r="AJ181" s="102">
        <v>5</v>
      </c>
      <c r="AK181" s="101">
        <v>1</v>
      </c>
      <c r="AL181" s="95" t="b">
        <f t="shared" si="15"/>
        <v>1</v>
      </c>
      <c r="AM181" s="95" t="b">
        <f t="shared" si="16"/>
        <v>1</v>
      </c>
    </row>
    <row r="182" spans="4:39" x14ac:dyDescent="0.25">
      <c r="D182" s="8">
        <v>178</v>
      </c>
      <c r="E182" s="48">
        <v>536</v>
      </c>
      <c r="F182" s="10">
        <v>5</v>
      </c>
      <c r="G182" s="10">
        <v>1</v>
      </c>
      <c r="H182" s="5" t="str">
        <f t="shared" si="20"/>
        <v>det_536</v>
      </c>
      <c r="I182" s="5" t="str">
        <f t="shared" si="21"/>
        <v>W:\Performance Measurement\1. Freeway\1. raw data\2010_new\data files\det_536.txt</v>
      </c>
      <c r="J182" s="5" t="str">
        <f t="shared" si="22"/>
        <v>W:\Performance Measurement\1. Freeway\1. raw data\2010_new\data files\det_536.xlsx</v>
      </c>
      <c r="K182" s="5"/>
      <c r="L182" s="47">
        <v>178</v>
      </c>
      <c r="M182" s="39" t="s">
        <v>69</v>
      </c>
      <c r="N182" s="10">
        <v>521</v>
      </c>
      <c r="O182" s="10">
        <v>5</v>
      </c>
      <c r="P182" s="10">
        <v>1</v>
      </c>
      <c r="Q182" s="19">
        <v>1</v>
      </c>
      <c r="R182" s="67" t="s">
        <v>86</v>
      </c>
      <c r="S182" s="21">
        <v>1</v>
      </c>
      <c r="T182" s="19">
        <v>1</v>
      </c>
      <c r="U182" s="19">
        <v>1</v>
      </c>
      <c r="V182" s="59"/>
      <c r="W182" s="39">
        <v>1</v>
      </c>
      <c r="X182" s="5"/>
      <c r="Y182" s="25">
        <v>459</v>
      </c>
      <c r="Z182" s="25">
        <v>5</v>
      </c>
      <c r="AA182" s="25">
        <v>1</v>
      </c>
      <c r="AB182" s="19">
        <v>1</v>
      </c>
      <c r="AC182" s="39"/>
      <c r="AH182" s="93" t="s">
        <v>69</v>
      </c>
      <c r="AI182" s="89">
        <v>521</v>
      </c>
      <c r="AJ182" s="102">
        <v>5</v>
      </c>
      <c r="AK182" s="101">
        <v>1</v>
      </c>
      <c r="AL182" s="95" t="b">
        <f t="shared" si="15"/>
        <v>1</v>
      </c>
      <c r="AM182" s="95" t="b">
        <f t="shared" si="16"/>
        <v>1</v>
      </c>
    </row>
    <row r="183" spans="4:39" x14ac:dyDescent="0.25">
      <c r="D183" s="8">
        <v>179</v>
      </c>
      <c r="E183" s="48">
        <v>538</v>
      </c>
      <c r="F183" s="10">
        <v>5</v>
      </c>
      <c r="G183" s="10">
        <v>1</v>
      </c>
      <c r="H183" s="5" t="str">
        <f t="shared" si="20"/>
        <v>det_538</v>
      </c>
      <c r="I183" s="5" t="str">
        <f t="shared" si="21"/>
        <v>W:\Performance Measurement\1. Freeway\1. raw data\2010_new\data files\det_538.txt</v>
      </c>
      <c r="J183" s="5" t="str">
        <f t="shared" si="22"/>
        <v>W:\Performance Measurement\1. Freeway\1. raw data\2010_new\data files\det_538.xlsx</v>
      </c>
      <c r="K183" s="5"/>
      <c r="L183" s="47">
        <v>179</v>
      </c>
      <c r="M183" s="39" t="s">
        <v>69</v>
      </c>
      <c r="N183" s="10">
        <v>522</v>
      </c>
      <c r="O183" s="10">
        <v>5</v>
      </c>
      <c r="P183" s="10">
        <v>1</v>
      </c>
      <c r="Q183" s="19">
        <v>1</v>
      </c>
      <c r="R183" s="67" t="s">
        <v>222</v>
      </c>
      <c r="S183" s="21">
        <v>1</v>
      </c>
      <c r="T183" s="19" t="s">
        <v>42</v>
      </c>
      <c r="U183" s="19">
        <v>1</v>
      </c>
      <c r="V183" s="59" t="s">
        <v>151</v>
      </c>
      <c r="W183" s="82">
        <v>0</v>
      </c>
      <c r="X183" s="5"/>
      <c r="Y183" s="25">
        <v>462</v>
      </c>
      <c r="Z183" s="25">
        <v>5</v>
      </c>
      <c r="AA183" s="25">
        <v>1</v>
      </c>
      <c r="AB183" s="19">
        <v>1</v>
      </c>
      <c r="AC183" s="39"/>
      <c r="AH183" s="93" t="s">
        <v>69</v>
      </c>
      <c r="AI183" s="89">
        <v>522</v>
      </c>
      <c r="AJ183" s="102">
        <v>5</v>
      </c>
      <c r="AK183" s="101">
        <v>1</v>
      </c>
      <c r="AL183" s="95" t="b">
        <f t="shared" si="15"/>
        <v>1</v>
      </c>
      <c r="AM183" s="95" t="b">
        <f t="shared" si="16"/>
        <v>1</v>
      </c>
    </row>
    <row r="184" spans="4:39" x14ac:dyDescent="0.25">
      <c r="D184" s="8">
        <v>180</v>
      </c>
      <c r="E184" s="48">
        <v>178</v>
      </c>
      <c r="F184" s="10">
        <v>3</v>
      </c>
      <c r="G184" s="10">
        <v>0</v>
      </c>
      <c r="H184" s="5" t="str">
        <f t="shared" si="20"/>
        <v>det_178</v>
      </c>
      <c r="I184" s="5" t="str">
        <f t="shared" si="21"/>
        <v>W:\Performance Measurement\1. Freeway\1. raw data\2010_new\data files\det_178.txt</v>
      </c>
      <c r="J184" s="5" t="str">
        <f t="shared" si="22"/>
        <v>W:\Performance Measurement\1. Freeway\1. raw data\2010_new\data files\det_178.xlsx</v>
      </c>
      <c r="K184" s="5"/>
      <c r="L184" s="47">
        <v>180</v>
      </c>
      <c r="M184" s="39" t="s">
        <v>69</v>
      </c>
      <c r="N184" s="10">
        <v>523</v>
      </c>
      <c r="O184" s="10">
        <v>5</v>
      </c>
      <c r="P184" s="10">
        <v>1</v>
      </c>
      <c r="Q184" s="19">
        <v>1</v>
      </c>
      <c r="R184" s="67" t="s">
        <v>117</v>
      </c>
      <c r="S184" s="21">
        <v>1</v>
      </c>
      <c r="T184" s="19">
        <v>1</v>
      </c>
      <c r="U184" s="19">
        <v>1</v>
      </c>
      <c r="V184" s="59" t="s">
        <v>152</v>
      </c>
      <c r="W184" s="39">
        <v>1</v>
      </c>
      <c r="X184" s="5"/>
      <c r="Y184" s="25">
        <v>465</v>
      </c>
      <c r="Z184" s="25">
        <v>5</v>
      </c>
      <c r="AA184" s="25">
        <v>1</v>
      </c>
      <c r="AB184" s="19">
        <v>1</v>
      </c>
      <c r="AC184" s="39"/>
      <c r="AH184" s="93" t="s">
        <v>69</v>
      </c>
      <c r="AI184" s="89">
        <v>523</v>
      </c>
      <c r="AJ184" s="102">
        <v>5</v>
      </c>
      <c r="AK184" s="101">
        <v>1</v>
      </c>
      <c r="AL184" s="95" t="b">
        <f t="shared" si="15"/>
        <v>1</v>
      </c>
      <c r="AM184" s="95" t="b">
        <f t="shared" si="16"/>
        <v>1</v>
      </c>
    </row>
    <row r="185" spans="4:39" x14ac:dyDescent="0.25">
      <c r="D185" s="8">
        <v>181</v>
      </c>
      <c r="E185" s="48">
        <v>179</v>
      </c>
      <c r="F185" s="10">
        <v>2</v>
      </c>
      <c r="G185" s="10">
        <v>0</v>
      </c>
      <c r="H185" s="5" t="str">
        <f t="shared" si="20"/>
        <v>det_179</v>
      </c>
      <c r="I185" s="5" t="str">
        <f t="shared" si="21"/>
        <v>W:\Performance Measurement\1. Freeway\1. raw data\2010_new\data files\det_179.txt</v>
      </c>
      <c r="J185" s="5" t="str">
        <f t="shared" si="22"/>
        <v>W:\Performance Measurement\1. Freeway\1. raw data\2010_new\data files\det_179.xlsx</v>
      </c>
      <c r="K185" s="5"/>
      <c r="L185" s="47">
        <v>181</v>
      </c>
      <c r="M185" s="39" t="s">
        <v>69</v>
      </c>
      <c r="N185" s="10">
        <v>524</v>
      </c>
      <c r="O185" s="10">
        <v>5</v>
      </c>
      <c r="P185" s="10">
        <v>1</v>
      </c>
      <c r="Q185" s="19">
        <v>1</v>
      </c>
      <c r="R185" s="67" t="s">
        <v>216</v>
      </c>
      <c r="S185" s="21">
        <v>1</v>
      </c>
      <c r="T185" s="19">
        <v>1</v>
      </c>
      <c r="U185" s="19">
        <v>1</v>
      </c>
      <c r="V185" s="59" t="s">
        <v>153</v>
      </c>
      <c r="W185" s="39">
        <v>1</v>
      </c>
      <c r="X185" s="5"/>
      <c r="Y185" s="25">
        <v>467</v>
      </c>
      <c r="Z185" s="25">
        <v>5</v>
      </c>
      <c r="AA185" s="25">
        <v>1</v>
      </c>
      <c r="AB185" s="19">
        <v>1</v>
      </c>
      <c r="AC185" s="39"/>
      <c r="AH185" s="93" t="s">
        <v>69</v>
      </c>
      <c r="AI185" s="89">
        <v>524</v>
      </c>
      <c r="AJ185" s="102">
        <v>5</v>
      </c>
      <c r="AK185" s="101">
        <v>1</v>
      </c>
      <c r="AL185" s="95" t="b">
        <f t="shared" si="15"/>
        <v>1</v>
      </c>
      <c r="AM185" s="95" t="b">
        <f t="shared" si="16"/>
        <v>1</v>
      </c>
    </row>
    <row r="186" spans="4:39" x14ac:dyDescent="0.25">
      <c r="D186" s="8">
        <v>182</v>
      </c>
      <c r="E186" s="48">
        <v>182</v>
      </c>
      <c r="F186" s="10">
        <v>3</v>
      </c>
      <c r="G186" s="10">
        <v>0</v>
      </c>
      <c r="H186" s="5" t="str">
        <f t="shared" si="20"/>
        <v>det_182</v>
      </c>
      <c r="I186" s="5" t="str">
        <f t="shared" si="21"/>
        <v>W:\Performance Measurement\1. Freeway\1. raw data\2010_new\data files\det_182.txt</v>
      </c>
      <c r="J186" s="5" t="str">
        <f t="shared" si="22"/>
        <v>W:\Performance Measurement\1. Freeway\1. raw data\2010_new\data files\det_182.xlsx</v>
      </c>
      <c r="K186" s="5"/>
      <c r="L186" s="47">
        <v>182</v>
      </c>
      <c r="M186" s="39" t="s">
        <v>69</v>
      </c>
      <c r="N186" s="10">
        <v>525</v>
      </c>
      <c r="O186" s="10">
        <v>4</v>
      </c>
      <c r="P186" s="10">
        <v>1</v>
      </c>
      <c r="Q186" s="19">
        <v>1</v>
      </c>
      <c r="R186" s="67" t="s">
        <v>223</v>
      </c>
      <c r="S186" s="21">
        <v>1</v>
      </c>
      <c r="T186" s="19">
        <v>1</v>
      </c>
      <c r="U186" s="19">
        <v>1</v>
      </c>
      <c r="V186" s="59" t="s">
        <v>153</v>
      </c>
      <c r="W186" s="39">
        <v>1</v>
      </c>
      <c r="X186" s="5"/>
      <c r="Y186" s="25">
        <v>470</v>
      </c>
      <c r="Z186" s="25">
        <v>5</v>
      </c>
      <c r="AA186" s="25">
        <v>1</v>
      </c>
      <c r="AB186" s="19">
        <v>1</v>
      </c>
      <c r="AC186" s="39"/>
      <c r="AH186" s="93" t="s">
        <v>69</v>
      </c>
      <c r="AI186" s="89">
        <v>525</v>
      </c>
      <c r="AJ186" s="102">
        <v>4</v>
      </c>
      <c r="AK186" s="101">
        <v>1</v>
      </c>
      <c r="AL186" s="95" t="b">
        <f t="shared" si="15"/>
        <v>1</v>
      </c>
      <c r="AM186" s="95" t="b">
        <f t="shared" si="16"/>
        <v>1</v>
      </c>
    </row>
    <row r="187" spans="4:39" x14ac:dyDescent="0.25">
      <c r="D187" s="8">
        <v>183</v>
      </c>
      <c r="E187" s="48">
        <v>184</v>
      </c>
      <c r="F187" s="10">
        <v>2</v>
      </c>
      <c r="G187" s="10">
        <v>0</v>
      </c>
      <c r="H187" s="5" t="str">
        <f t="shared" si="20"/>
        <v>det_184</v>
      </c>
      <c r="I187" s="5" t="str">
        <f t="shared" si="21"/>
        <v>W:\Performance Measurement\1. Freeway\1. raw data\2010_new\data files\det_184.txt</v>
      </c>
      <c r="J187" s="5" t="str">
        <f t="shared" si="22"/>
        <v>W:\Performance Measurement\1. Freeway\1. raw data\2010_new\data files\det_184.xlsx</v>
      </c>
      <c r="K187" s="5"/>
      <c r="L187" s="47">
        <v>183</v>
      </c>
      <c r="M187" s="39" t="s">
        <v>69</v>
      </c>
      <c r="N187" s="10">
        <v>526</v>
      </c>
      <c r="O187" s="10">
        <v>3</v>
      </c>
      <c r="P187" s="10">
        <v>1</v>
      </c>
      <c r="Q187" s="19">
        <v>1</v>
      </c>
      <c r="R187" s="67" t="s">
        <v>216</v>
      </c>
      <c r="S187" s="21">
        <v>1</v>
      </c>
      <c r="T187" s="21">
        <v>1</v>
      </c>
      <c r="U187" s="19" t="s">
        <v>44</v>
      </c>
      <c r="V187" s="59" t="s">
        <v>153</v>
      </c>
      <c r="W187" s="39">
        <v>1</v>
      </c>
      <c r="X187" s="5"/>
      <c r="Y187" s="25">
        <v>473</v>
      </c>
      <c r="Z187" s="25">
        <v>5</v>
      </c>
      <c r="AA187" s="25">
        <v>1</v>
      </c>
      <c r="AB187" s="19">
        <v>1</v>
      </c>
      <c r="AC187" s="39"/>
      <c r="AH187" s="93" t="s">
        <v>69</v>
      </c>
      <c r="AI187" s="89">
        <v>526</v>
      </c>
      <c r="AJ187" s="102">
        <v>3</v>
      </c>
      <c r="AK187" s="101">
        <v>1</v>
      </c>
      <c r="AL187" s="95" t="b">
        <f t="shared" si="15"/>
        <v>1</v>
      </c>
      <c r="AM187" s="95" t="b">
        <f t="shared" si="16"/>
        <v>1</v>
      </c>
    </row>
    <row r="188" spans="4:39" x14ac:dyDescent="0.25">
      <c r="D188" s="8">
        <v>184</v>
      </c>
      <c r="E188" s="48">
        <v>187</v>
      </c>
      <c r="F188" s="10">
        <v>2</v>
      </c>
      <c r="G188" s="10">
        <v>0</v>
      </c>
      <c r="H188" s="5" t="str">
        <f t="shared" si="20"/>
        <v>det_187</v>
      </c>
      <c r="I188" s="5" t="str">
        <f t="shared" si="21"/>
        <v>W:\Performance Measurement\1. Freeway\1. raw data\2010_new\data files\det_187.txt</v>
      </c>
      <c r="J188" s="5" t="str">
        <f t="shared" si="22"/>
        <v>W:\Performance Measurement\1. Freeway\1. raw data\2010_new\data files\det_187.xlsx</v>
      </c>
      <c r="K188" s="5"/>
      <c r="L188" s="47">
        <v>184</v>
      </c>
      <c r="M188" s="39" t="s">
        <v>69</v>
      </c>
      <c r="N188" s="10">
        <v>532</v>
      </c>
      <c r="O188" s="10">
        <v>4</v>
      </c>
      <c r="P188" s="10">
        <v>1</v>
      </c>
      <c r="Q188" s="19">
        <v>1</v>
      </c>
      <c r="R188" s="67" t="s">
        <v>216</v>
      </c>
      <c r="S188" s="19">
        <v>1</v>
      </c>
      <c r="T188" s="19">
        <v>1</v>
      </c>
      <c r="U188" s="19" t="s">
        <v>43</v>
      </c>
      <c r="V188" s="59" t="s">
        <v>160</v>
      </c>
      <c r="W188" s="57">
        <v>1</v>
      </c>
      <c r="X188" s="5"/>
      <c r="Y188" s="25">
        <v>476</v>
      </c>
      <c r="Z188" s="25">
        <v>5</v>
      </c>
      <c r="AA188" s="25">
        <v>1</v>
      </c>
      <c r="AB188" s="19">
        <v>1</v>
      </c>
      <c r="AC188" s="39"/>
      <c r="AH188" s="93" t="s">
        <v>69</v>
      </c>
      <c r="AI188" s="89">
        <v>532</v>
      </c>
      <c r="AJ188" s="102">
        <v>4</v>
      </c>
      <c r="AK188" s="101">
        <v>1</v>
      </c>
      <c r="AL188" s="95" t="b">
        <f t="shared" si="15"/>
        <v>1</v>
      </c>
      <c r="AM188" s="95" t="b">
        <f t="shared" si="16"/>
        <v>1</v>
      </c>
    </row>
    <row r="189" spans="4:39" x14ac:dyDescent="0.25">
      <c r="D189" s="8">
        <v>185</v>
      </c>
      <c r="E189" s="48">
        <v>176</v>
      </c>
      <c r="F189" s="10">
        <v>2</v>
      </c>
      <c r="G189" s="10">
        <v>0</v>
      </c>
      <c r="H189" s="5" t="str">
        <f t="shared" si="20"/>
        <v>det_176</v>
      </c>
      <c r="I189" s="5" t="str">
        <f t="shared" si="21"/>
        <v>W:\Performance Measurement\1. Freeway\1. raw data\2010_new\data files\det_176.txt</v>
      </c>
      <c r="J189" s="5" t="str">
        <f t="shared" si="22"/>
        <v>W:\Performance Measurement\1. Freeway\1. raw data\2010_new\data files\det_176.xlsx</v>
      </c>
      <c r="K189" s="5"/>
      <c r="L189" s="47">
        <v>185</v>
      </c>
      <c r="M189" s="39" t="s">
        <v>69</v>
      </c>
      <c r="N189" s="10">
        <v>533</v>
      </c>
      <c r="O189" s="10">
        <v>6</v>
      </c>
      <c r="P189" s="10">
        <v>1</v>
      </c>
      <c r="Q189" s="19">
        <v>1</v>
      </c>
      <c r="R189" s="67" t="s">
        <v>216</v>
      </c>
      <c r="S189" s="19">
        <v>1</v>
      </c>
      <c r="T189" s="19">
        <v>1</v>
      </c>
      <c r="U189" s="19">
        <v>1</v>
      </c>
      <c r="V189" s="59" t="s">
        <v>161</v>
      </c>
      <c r="W189" s="57">
        <v>1</v>
      </c>
      <c r="X189" s="5"/>
      <c r="Y189" s="25">
        <v>479</v>
      </c>
      <c r="Z189" s="25">
        <v>5</v>
      </c>
      <c r="AA189" s="25">
        <v>1</v>
      </c>
      <c r="AB189" s="19">
        <v>1</v>
      </c>
      <c r="AC189" s="39"/>
      <c r="AH189" s="93" t="s">
        <v>69</v>
      </c>
      <c r="AI189" s="89">
        <v>533</v>
      </c>
      <c r="AJ189" s="102">
        <v>6</v>
      </c>
      <c r="AK189" s="101">
        <v>1</v>
      </c>
      <c r="AL189" s="95" t="b">
        <f t="shared" si="15"/>
        <v>1</v>
      </c>
      <c r="AM189" s="95" t="b">
        <f t="shared" si="16"/>
        <v>1</v>
      </c>
    </row>
    <row r="190" spans="4:39" x14ac:dyDescent="0.25">
      <c r="D190" s="8">
        <v>186</v>
      </c>
      <c r="E190" s="48">
        <v>171</v>
      </c>
      <c r="F190" s="10">
        <v>3</v>
      </c>
      <c r="G190" s="10">
        <v>0</v>
      </c>
      <c r="H190" s="5" t="str">
        <f t="shared" si="20"/>
        <v>det_171</v>
      </c>
      <c r="I190" s="5" t="str">
        <f t="shared" si="21"/>
        <v>W:\Performance Measurement\1. Freeway\1. raw data\2010_new\data files\det_171.txt</v>
      </c>
      <c r="J190" s="5" t="str">
        <f t="shared" si="22"/>
        <v>W:\Performance Measurement\1. Freeway\1. raw data\2010_new\data files\det_171.xlsx</v>
      </c>
      <c r="K190" s="5"/>
      <c r="L190" s="47">
        <v>186</v>
      </c>
      <c r="M190" s="39" t="s">
        <v>69</v>
      </c>
      <c r="N190" s="10">
        <v>534</v>
      </c>
      <c r="O190" s="10">
        <v>5</v>
      </c>
      <c r="P190" s="10">
        <v>1</v>
      </c>
      <c r="Q190" s="19">
        <v>1</v>
      </c>
      <c r="R190" s="67" t="s">
        <v>216</v>
      </c>
      <c r="S190" s="19">
        <v>1</v>
      </c>
      <c r="T190" s="19">
        <v>1</v>
      </c>
      <c r="U190" s="19">
        <v>1</v>
      </c>
      <c r="V190" s="59" t="s">
        <v>160</v>
      </c>
      <c r="W190" s="57">
        <v>1</v>
      </c>
      <c r="X190" s="5"/>
      <c r="Y190" s="25">
        <v>482</v>
      </c>
      <c r="Z190" s="25">
        <v>5</v>
      </c>
      <c r="AA190" s="25">
        <v>1</v>
      </c>
      <c r="AB190" s="19">
        <v>1</v>
      </c>
      <c r="AC190" s="39"/>
      <c r="AH190" s="93" t="s">
        <v>69</v>
      </c>
      <c r="AI190" s="89">
        <v>534</v>
      </c>
      <c r="AJ190" s="102">
        <v>5</v>
      </c>
      <c r="AK190" s="101">
        <v>1</v>
      </c>
      <c r="AL190" s="95" t="b">
        <f t="shared" si="15"/>
        <v>1</v>
      </c>
      <c r="AM190" s="95" t="b">
        <f t="shared" si="16"/>
        <v>1</v>
      </c>
    </row>
    <row r="191" spans="4:39" x14ac:dyDescent="0.25">
      <c r="D191" s="8">
        <v>187</v>
      </c>
      <c r="E191" s="48">
        <v>514</v>
      </c>
      <c r="F191" s="10">
        <v>4</v>
      </c>
      <c r="G191" s="10">
        <v>1</v>
      </c>
      <c r="H191" s="5" t="str">
        <f t="shared" si="20"/>
        <v>det_514</v>
      </c>
      <c r="I191" s="5" t="str">
        <f t="shared" si="21"/>
        <v>W:\Performance Measurement\1. Freeway\1. raw data\2010_new\data files\det_514.txt</v>
      </c>
      <c r="J191" s="5" t="str">
        <f t="shared" si="22"/>
        <v>W:\Performance Measurement\1. Freeway\1. raw data\2010_new\data files\det_514.xlsx</v>
      </c>
      <c r="K191" s="5"/>
      <c r="L191" s="47">
        <v>187</v>
      </c>
      <c r="M191" s="39" t="s">
        <v>69</v>
      </c>
      <c r="N191" s="10">
        <v>535</v>
      </c>
      <c r="O191" s="10">
        <v>5</v>
      </c>
      <c r="P191" s="10">
        <v>1</v>
      </c>
      <c r="Q191" s="19">
        <v>1</v>
      </c>
      <c r="R191" s="67" t="s">
        <v>216</v>
      </c>
      <c r="S191" s="19">
        <v>1</v>
      </c>
      <c r="T191" s="19">
        <v>1</v>
      </c>
      <c r="U191" s="19">
        <v>1</v>
      </c>
      <c r="V191" s="59" t="s">
        <v>162</v>
      </c>
      <c r="W191" s="57">
        <v>1</v>
      </c>
      <c r="X191" s="5"/>
      <c r="Y191" s="25">
        <v>485</v>
      </c>
      <c r="Z191" s="25">
        <v>5</v>
      </c>
      <c r="AA191" s="25">
        <v>1</v>
      </c>
      <c r="AB191" s="19">
        <v>1</v>
      </c>
      <c r="AC191" s="39"/>
      <c r="AH191" s="93" t="s">
        <v>69</v>
      </c>
      <c r="AI191" s="89">
        <v>535</v>
      </c>
      <c r="AJ191" s="102">
        <v>5</v>
      </c>
      <c r="AK191" s="101">
        <v>1</v>
      </c>
      <c r="AL191" s="95" t="b">
        <f t="shared" si="15"/>
        <v>1</v>
      </c>
      <c r="AM191" s="95" t="b">
        <f t="shared" si="16"/>
        <v>1</v>
      </c>
    </row>
    <row r="192" spans="4:39" x14ac:dyDescent="0.25">
      <c r="D192" s="8">
        <v>188</v>
      </c>
      <c r="E192" s="48">
        <v>510</v>
      </c>
      <c r="F192" s="10">
        <v>4</v>
      </c>
      <c r="G192" s="10">
        <v>1</v>
      </c>
      <c r="H192" s="5" t="str">
        <f t="shared" si="20"/>
        <v>det_510</v>
      </c>
      <c r="I192" s="5" t="str">
        <f t="shared" si="21"/>
        <v>W:\Performance Measurement\1. Freeway\1. raw data\2010_new\data files\det_510.txt</v>
      </c>
      <c r="J192" s="5" t="str">
        <f t="shared" si="22"/>
        <v>W:\Performance Measurement\1. Freeway\1. raw data\2010_new\data files\det_510.xlsx</v>
      </c>
      <c r="K192" s="5"/>
      <c r="L192" s="47">
        <v>188</v>
      </c>
      <c r="M192" s="39" t="s">
        <v>69</v>
      </c>
      <c r="N192" s="10">
        <v>536</v>
      </c>
      <c r="O192" s="10">
        <v>5</v>
      </c>
      <c r="P192" s="10">
        <v>1</v>
      </c>
      <c r="Q192" s="19">
        <v>1</v>
      </c>
      <c r="R192" s="67" t="s">
        <v>216</v>
      </c>
      <c r="S192" s="19">
        <v>1</v>
      </c>
      <c r="T192" s="19">
        <v>1</v>
      </c>
      <c r="U192" s="19">
        <v>1</v>
      </c>
      <c r="V192" s="59" t="s">
        <v>162</v>
      </c>
      <c r="W192" s="57">
        <v>1</v>
      </c>
      <c r="X192" s="5"/>
      <c r="Y192" s="25">
        <v>488</v>
      </c>
      <c r="Z192" s="25">
        <v>3</v>
      </c>
      <c r="AA192" s="25">
        <v>1</v>
      </c>
      <c r="AB192" s="19">
        <v>1</v>
      </c>
      <c r="AC192" s="39"/>
      <c r="AH192" s="93" t="s">
        <v>69</v>
      </c>
      <c r="AI192" s="89">
        <v>536</v>
      </c>
      <c r="AJ192" s="102">
        <v>5</v>
      </c>
      <c r="AK192" s="101">
        <v>1</v>
      </c>
      <c r="AL192" s="95" t="b">
        <f t="shared" si="15"/>
        <v>1</v>
      </c>
      <c r="AM192" s="95" t="b">
        <f t="shared" si="16"/>
        <v>1</v>
      </c>
    </row>
    <row r="193" spans="4:39" x14ac:dyDescent="0.25">
      <c r="D193" s="8">
        <v>189</v>
      </c>
      <c r="E193" s="48">
        <v>264</v>
      </c>
      <c r="F193" s="10">
        <v>5</v>
      </c>
      <c r="G193" s="10">
        <v>1</v>
      </c>
      <c r="H193" s="5" t="str">
        <f t="shared" si="20"/>
        <v>det_264</v>
      </c>
      <c r="I193" s="5" t="str">
        <f t="shared" si="21"/>
        <v>W:\Performance Measurement\1. Freeway\1. raw data\2010_new\data files\det_264.txt</v>
      </c>
      <c r="J193" s="5" t="str">
        <f t="shared" si="22"/>
        <v>W:\Performance Measurement\1. Freeway\1. raw data\2010_new\data files\det_264.xlsx</v>
      </c>
      <c r="K193" s="5"/>
      <c r="L193" s="47">
        <v>189</v>
      </c>
      <c r="M193" s="39" t="s">
        <v>69</v>
      </c>
      <c r="N193" s="10">
        <v>537</v>
      </c>
      <c r="O193" s="10">
        <v>5</v>
      </c>
      <c r="P193" s="10">
        <v>1</v>
      </c>
      <c r="Q193" s="19">
        <v>1</v>
      </c>
      <c r="R193" s="67" t="s">
        <v>224</v>
      </c>
      <c r="S193" s="19">
        <v>1</v>
      </c>
      <c r="T193" s="19" t="s">
        <v>42</v>
      </c>
      <c r="U193" s="19">
        <v>1</v>
      </c>
      <c r="V193" s="59" t="s">
        <v>163</v>
      </c>
      <c r="W193" s="57">
        <v>0</v>
      </c>
      <c r="X193" s="5"/>
      <c r="Y193" s="25">
        <v>490</v>
      </c>
      <c r="Z193" s="25">
        <v>3</v>
      </c>
      <c r="AA193" s="25">
        <v>1</v>
      </c>
      <c r="AB193" s="19" t="s">
        <v>44</v>
      </c>
      <c r="AC193" s="39"/>
      <c r="AH193" s="93" t="s">
        <v>69</v>
      </c>
      <c r="AI193" s="89">
        <v>537</v>
      </c>
      <c r="AJ193" s="102">
        <v>5</v>
      </c>
      <c r="AK193" s="101">
        <v>1</v>
      </c>
      <c r="AL193" s="95" t="b">
        <f t="shared" si="15"/>
        <v>1</v>
      </c>
      <c r="AM193" s="95" t="b">
        <f t="shared" si="16"/>
        <v>1</v>
      </c>
    </row>
    <row r="194" spans="4:39" x14ac:dyDescent="0.25">
      <c r="D194" s="8">
        <v>190</v>
      </c>
      <c r="E194" s="48">
        <v>267</v>
      </c>
      <c r="F194" s="10">
        <v>4</v>
      </c>
      <c r="G194" s="10">
        <v>1</v>
      </c>
      <c r="H194" s="5" t="str">
        <f t="shared" si="20"/>
        <v>det_267</v>
      </c>
      <c r="I194" s="5" t="str">
        <f t="shared" si="21"/>
        <v>W:\Performance Measurement\1. Freeway\1. raw data\2010_new\data files\det_267.txt</v>
      </c>
      <c r="J194" s="5" t="str">
        <f t="shared" si="22"/>
        <v>W:\Performance Measurement\1. Freeway\1. raw data\2010_new\data files\det_267.xlsx</v>
      </c>
      <c r="K194" s="5"/>
      <c r="L194" s="47">
        <v>190</v>
      </c>
      <c r="M194" s="39" t="s">
        <v>69</v>
      </c>
      <c r="N194" s="10">
        <v>538</v>
      </c>
      <c r="O194" s="10">
        <v>5</v>
      </c>
      <c r="P194" s="10">
        <v>1</v>
      </c>
      <c r="Q194" s="19">
        <v>1</v>
      </c>
      <c r="R194" s="67" t="s">
        <v>225</v>
      </c>
      <c r="S194" s="19">
        <v>1</v>
      </c>
      <c r="T194" s="19" t="s">
        <v>42</v>
      </c>
      <c r="U194" s="19">
        <v>1</v>
      </c>
      <c r="V194" s="59" t="s">
        <v>160</v>
      </c>
      <c r="W194" s="57">
        <v>1</v>
      </c>
      <c r="X194" s="5"/>
      <c r="Y194" s="25">
        <v>494</v>
      </c>
      <c r="Z194" s="25">
        <v>4</v>
      </c>
      <c r="AA194" s="25">
        <v>1</v>
      </c>
      <c r="AB194" s="19">
        <v>1</v>
      </c>
      <c r="AC194" s="39"/>
      <c r="AH194" s="93" t="s">
        <v>69</v>
      </c>
      <c r="AI194" s="89">
        <v>538</v>
      </c>
      <c r="AJ194" s="102">
        <v>5</v>
      </c>
      <c r="AK194" s="101">
        <v>1</v>
      </c>
      <c r="AL194" s="95" t="b">
        <f t="shared" si="15"/>
        <v>1</v>
      </c>
      <c r="AM194" s="95" t="b">
        <f t="shared" si="16"/>
        <v>1</v>
      </c>
    </row>
    <row r="195" spans="4:39" x14ac:dyDescent="0.25">
      <c r="D195" s="8">
        <v>191</v>
      </c>
      <c r="E195" s="48">
        <v>270</v>
      </c>
      <c r="F195" s="10">
        <v>3</v>
      </c>
      <c r="G195" s="10">
        <v>1</v>
      </c>
      <c r="H195" s="5" t="str">
        <f t="shared" si="20"/>
        <v>det_270</v>
      </c>
      <c r="I195" s="5" t="str">
        <f t="shared" si="21"/>
        <v>W:\Performance Measurement\1. Freeway\1. raw data\2010_new\data files\det_270.txt</v>
      </c>
      <c r="J195" s="5" t="str">
        <f t="shared" si="22"/>
        <v>W:\Performance Measurement\1. Freeway\1. raw data\2010_new\data files\det_270.xlsx</v>
      </c>
      <c r="K195" s="5"/>
      <c r="L195" s="47">
        <v>191</v>
      </c>
      <c r="M195" s="39" t="s">
        <v>70</v>
      </c>
      <c r="N195" s="10">
        <v>178</v>
      </c>
      <c r="O195" s="10">
        <v>3</v>
      </c>
      <c r="P195" s="10">
        <v>0</v>
      </c>
      <c r="Q195" s="19">
        <v>1</v>
      </c>
      <c r="R195" s="67" t="s">
        <v>86</v>
      </c>
      <c r="S195" s="19">
        <v>1</v>
      </c>
      <c r="T195" s="83" t="s">
        <v>226</v>
      </c>
      <c r="U195" s="19">
        <v>13</v>
      </c>
      <c r="V195" s="60" t="s">
        <v>154</v>
      </c>
      <c r="W195" s="57">
        <v>1</v>
      </c>
      <c r="X195" s="5"/>
      <c r="Y195" s="25">
        <v>497</v>
      </c>
      <c r="Z195" s="25">
        <v>3</v>
      </c>
      <c r="AA195" s="25">
        <v>1</v>
      </c>
      <c r="AB195" s="19">
        <v>1</v>
      </c>
      <c r="AC195" s="39"/>
      <c r="AH195" s="93" t="s">
        <v>70</v>
      </c>
      <c r="AI195" s="89">
        <v>178</v>
      </c>
      <c r="AJ195" s="102">
        <v>3</v>
      </c>
      <c r="AK195" s="101">
        <v>0</v>
      </c>
      <c r="AL195" s="95" t="b">
        <f t="shared" si="15"/>
        <v>1</v>
      </c>
      <c r="AM195" s="95" t="b">
        <f t="shared" si="16"/>
        <v>1</v>
      </c>
    </row>
    <row r="196" spans="4:39" x14ac:dyDescent="0.25">
      <c r="D196" s="8">
        <v>192</v>
      </c>
      <c r="E196" s="48">
        <v>271</v>
      </c>
      <c r="F196" s="10">
        <v>3</v>
      </c>
      <c r="G196" s="10">
        <v>0</v>
      </c>
      <c r="H196" s="5" t="str">
        <f t="shared" si="20"/>
        <v>det_271</v>
      </c>
      <c r="I196" s="5" t="str">
        <f t="shared" si="21"/>
        <v>W:\Performance Measurement\1. Freeway\1. raw data\2010_new\data files\det_271.txt</v>
      </c>
      <c r="J196" s="5" t="str">
        <f t="shared" si="22"/>
        <v>W:\Performance Measurement\1. Freeway\1. raw data\2010_new\data files\det_271.xlsx</v>
      </c>
      <c r="K196" s="5"/>
      <c r="L196" s="47">
        <v>192</v>
      </c>
      <c r="M196" s="39" t="s">
        <v>70</v>
      </c>
      <c r="N196" s="10">
        <v>179</v>
      </c>
      <c r="O196" s="10">
        <v>2</v>
      </c>
      <c r="P196" s="10">
        <v>0</v>
      </c>
      <c r="Q196" s="19">
        <v>1</v>
      </c>
      <c r="R196" s="67" t="s">
        <v>86</v>
      </c>
      <c r="S196" s="19">
        <v>1</v>
      </c>
      <c r="T196" s="83" t="s">
        <v>226</v>
      </c>
      <c r="U196" s="19">
        <v>1</v>
      </c>
      <c r="V196" s="60" t="s">
        <v>155</v>
      </c>
      <c r="W196" s="57">
        <v>1</v>
      </c>
      <c r="X196" s="5"/>
      <c r="Y196" s="25">
        <v>500</v>
      </c>
      <c r="Z196" s="25">
        <v>3</v>
      </c>
      <c r="AA196" s="25">
        <v>1</v>
      </c>
      <c r="AB196" s="19">
        <v>1</v>
      </c>
      <c r="AC196" s="39"/>
      <c r="AH196" s="93" t="s">
        <v>70</v>
      </c>
      <c r="AI196" s="89">
        <v>179</v>
      </c>
      <c r="AJ196" s="102">
        <v>2</v>
      </c>
      <c r="AK196" s="101">
        <v>0</v>
      </c>
      <c r="AL196" s="95" t="b">
        <f t="shared" ref="AL196:AL259" si="23">O196=AJ196</f>
        <v>1</v>
      </c>
      <c r="AM196" s="95" t="b">
        <f t="shared" ref="AM196:AM259" si="24">P196=AK196</f>
        <v>1</v>
      </c>
    </row>
    <row r="197" spans="4:39" x14ac:dyDescent="0.25">
      <c r="D197" s="8">
        <v>193</v>
      </c>
      <c r="E197" s="48">
        <v>256</v>
      </c>
      <c r="F197" s="10">
        <v>3</v>
      </c>
      <c r="G197" s="10">
        <v>1</v>
      </c>
      <c r="H197" s="5" t="str">
        <f t="shared" si="20"/>
        <v>det_256</v>
      </c>
      <c r="I197" s="5" t="str">
        <f t="shared" si="21"/>
        <v>W:\Performance Measurement\1. Freeway\1. raw data\2010_new\data files\det_256.txt</v>
      </c>
      <c r="J197" s="5" t="str">
        <f t="shared" si="22"/>
        <v>W:\Performance Measurement\1. Freeway\1. raw data\2010_new\data files\det_256.xlsx</v>
      </c>
      <c r="K197" s="5"/>
      <c r="L197" s="47">
        <v>193</v>
      </c>
      <c r="M197" s="39" t="s">
        <v>70</v>
      </c>
      <c r="N197" s="10">
        <v>182</v>
      </c>
      <c r="O197" s="10">
        <v>3</v>
      </c>
      <c r="P197" s="10">
        <v>0</v>
      </c>
      <c r="Q197" s="19">
        <v>1</v>
      </c>
      <c r="R197" s="67" t="s">
        <v>86</v>
      </c>
      <c r="S197" s="19">
        <v>1</v>
      </c>
      <c r="T197" s="83" t="s">
        <v>226</v>
      </c>
      <c r="U197" s="19">
        <v>13</v>
      </c>
      <c r="V197" s="60" t="s">
        <v>156</v>
      </c>
      <c r="W197" s="57">
        <v>1</v>
      </c>
      <c r="X197" s="5"/>
      <c r="Y197" s="25">
        <v>502</v>
      </c>
      <c r="Z197" s="25">
        <v>3</v>
      </c>
      <c r="AA197" s="25">
        <v>1</v>
      </c>
      <c r="AB197" s="19">
        <v>1</v>
      </c>
      <c r="AC197" s="39"/>
      <c r="AH197" s="93" t="s">
        <v>70</v>
      </c>
      <c r="AI197" s="89">
        <v>182</v>
      </c>
      <c r="AJ197" s="102">
        <v>3</v>
      </c>
      <c r="AK197" s="101">
        <v>0</v>
      </c>
      <c r="AL197" s="95" t="b">
        <f t="shared" si="23"/>
        <v>1</v>
      </c>
      <c r="AM197" s="95" t="b">
        <f t="shared" si="24"/>
        <v>1</v>
      </c>
    </row>
    <row r="198" spans="4:39" x14ac:dyDescent="0.25">
      <c r="D198" s="8">
        <v>194</v>
      </c>
      <c r="E198" s="48">
        <v>258</v>
      </c>
      <c r="F198" s="10">
        <v>5</v>
      </c>
      <c r="G198" s="10">
        <v>1</v>
      </c>
      <c r="H198" s="5" t="str">
        <f t="shared" si="20"/>
        <v>det_258</v>
      </c>
      <c r="I198" s="5" t="str">
        <f t="shared" si="21"/>
        <v>W:\Performance Measurement\1. Freeway\1. raw data\2010_new\data files\det_258.txt</v>
      </c>
      <c r="J198" s="5" t="str">
        <f t="shared" si="22"/>
        <v>W:\Performance Measurement\1. Freeway\1. raw data\2010_new\data files\det_258.xlsx</v>
      </c>
      <c r="K198" s="5"/>
      <c r="L198" s="47">
        <v>194</v>
      </c>
      <c r="M198" s="39" t="s">
        <v>70</v>
      </c>
      <c r="N198" s="10">
        <v>184</v>
      </c>
      <c r="O198" s="10">
        <v>2</v>
      </c>
      <c r="P198" s="10">
        <v>0</v>
      </c>
      <c r="Q198" s="19">
        <v>1</v>
      </c>
      <c r="R198" s="67" t="s">
        <v>86</v>
      </c>
      <c r="S198" s="19">
        <v>1</v>
      </c>
      <c r="T198" s="83" t="s">
        <v>226</v>
      </c>
      <c r="U198" s="19">
        <v>1</v>
      </c>
      <c r="V198" s="60" t="s">
        <v>157</v>
      </c>
      <c r="W198" s="57">
        <v>1</v>
      </c>
      <c r="X198" s="5"/>
      <c r="Y198" s="25">
        <v>504</v>
      </c>
      <c r="Z198" s="25">
        <v>3</v>
      </c>
      <c r="AA198" s="25">
        <v>1</v>
      </c>
      <c r="AB198" s="19" t="s">
        <v>44</v>
      </c>
      <c r="AC198" s="39"/>
      <c r="AH198" s="93" t="s">
        <v>70</v>
      </c>
      <c r="AI198" s="89">
        <v>184</v>
      </c>
      <c r="AJ198" s="102">
        <v>2</v>
      </c>
      <c r="AK198" s="101">
        <v>0</v>
      </c>
      <c r="AL198" s="95" t="b">
        <f t="shared" si="23"/>
        <v>1</v>
      </c>
      <c r="AM198" s="95" t="b">
        <f t="shared" si="24"/>
        <v>1</v>
      </c>
    </row>
    <row r="199" spans="4:39" x14ac:dyDescent="0.25">
      <c r="D199" s="8">
        <v>195</v>
      </c>
      <c r="E199" s="48">
        <v>261</v>
      </c>
      <c r="F199" s="10">
        <v>4</v>
      </c>
      <c r="G199" s="10">
        <v>1</v>
      </c>
      <c r="H199" s="5" t="str">
        <f t="shared" si="20"/>
        <v>det_261</v>
      </c>
      <c r="I199" s="5" t="str">
        <f t="shared" si="21"/>
        <v>W:\Performance Measurement\1. Freeway\1. raw data\2010_new\data files\det_261.txt</v>
      </c>
      <c r="J199" s="5" t="str">
        <f t="shared" si="22"/>
        <v>W:\Performance Measurement\1. Freeway\1. raw data\2010_new\data files\det_261.xlsx</v>
      </c>
      <c r="K199" s="5"/>
      <c r="L199" s="47">
        <v>195</v>
      </c>
      <c r="M199" s="39" t="s">
        <v>70</v>
      </c>
      <c r="N199" s="10">
        <v>187</v>
      </c>
      <c r="O199" s="10">
        <v>2</v>
      </c>
      <c r="P199" s="10">
        <v>0</v>
      </c>
      <c r="Q199" s="19">
        <v>1</v>
      </c>
      <c r="R199" s="67" t="s">
        <v>86</v>
      </c>
      <c r="S199" s="19">
        <v>1</v>
      </c>
      <c r="T199" s="83" t="s">
        <v>226</v>
      </c>
      <c r="U199" s="19">
        <v>12</v>
      </c>
      <c r="V199" s="60" t="s">
        <v>155</v>
      </c>
      <c r="W199" s="57">
        <v>1</v>
      </c>
      <c r="X199" s="5"/>
      <c r="Y199" s="26">
        <v>507</v>
      </c>
      <c r="Z199" s="25">
        <v>3</v>
      </c>
      <c r="AA199" s="25">
        <v>1</v>
      </c>
      <c r="AB199" s="19">
        <v>14</v>
      </c>
      <c r="AC199" s="39"/>
      <c r="AH199" s="93" t="s">
        <v>70</v>
      </c>
      <c r="AI199" s="89">
        <v>187</v>
      </c>
      <c r="AJ199" s="102">
        <v>2</v>
      </c>
      <c r="AK199" s="101">
        <v>0</v>
      </c>
      <c r="AL199" s="95" t="b">
        <f t="shared" si="23"/>
        <v>1</v>
      </c>
      <c r="AM199" s="95" t="b">
        <f t="shared" si="24"/>
        <v>1</v>
      </c>
    </row>
    <row r="200" spans="4:39" x14ac:dyDescent="0.25">
      <c r="D200" s="8">
        <v>196</v>
      </c>
      <c r="E200" s="48">
        <v>263</v>
      </c>
      <c r="F200" s="10">
        <v>4</v>
      </c>
      <c r="G200" s="10">
        <v>1</v>
      </c>
      <c r="H200" s="5" t="str">
        <f t="shared" si="20"/>
        <v>det_263</v>
      </c>
      <c r="I200" s="5" t="str">
        <f t="shared" si="21"/>
        <v>W:\Performance Measurement\1. Freeway\1. raw data\2010_new\data files\det_263.txt</v>
      </c>
      <c r="J200" s="5" t="str">
        <f t="shared" si="22"/>
        <v>W:\Performance Measurement\1. Freeway\1. raw data\2010_new\data files\det_263.xlsx</v>
      </c>
      <c r="K200" s="5"/>
      <c r="L200" s="47">
        <v>196</v>
      </c>
      <c r="M200" s="39" t="s">
        <v>70</v>
      </c>
      <c r="N200" s="10">
        <v>176</v>
      </c>
      <c r="O200" s="10">
        <v>2</v>
      </c>
      <c r="P200" s="10">
        <v>0</v>
      </c>
      <c r="Q200" s="19">
        <v>1</v>
      </c>
      <c r="R200" s="67" t="s">
        <v>86</v>
      </c>
      <c r="S200" s="19">
        <v>1</v>
      </c>
      <c r="T200" s="83" t="s">
        <v>226</v>
      </c>
      <c r="U200" s="19">
        <v>12</v>
      </c>
      <c r="V200" s="59" t="s">
        <v>158</v>
      </c>
      <c r="W200" s="57">
        <v>1</v>
      </c>
      <c r="X200" s="5"/>
      <c r="Y200" s="25">
        <v>510</v>
      </c>
      <c r="Z200" s="25">
        <v>4</v>
      </c>
      <c r="AA200" s="25">
        <v>1</v>
      </c>
      <c r="AB200" s="20">
        <v>1</v>
      </c>
      <c r="AC200" s="39"/>
      <c r="AH200" s="93" t="s">
        <v>70</v>
      </c>
      <c r="AI200" s="89">
        <v>176</v>
      </c>
      <c r="AJ200" s="102">
        <v>2</v>
      </c>
      <c r="AK200" s="101">
        <v>0</v>
      </c>
      <c r="AL200" s="95" t="b">
        <f t="shared" si="23"/>
        <v>1</v>
      </c>
      <c r="AM200" s="95" t="b">
        <f t="shared" si="24"/>
        <v>1</v>
      </c>
    </row>
    <row r="201" spans="4:39" x14ac:dyDescent="0.25">
      <c r="D201" s="8">
        <v>197</v>
      </c>
      <c r="E201" s="81">
        <v>549</v>
      </c>
      <c r="F201" s="10">
        <v>4</v>
      </c>
      <c r="G201" s="10">
        <v>1</v>
      </c>
      <c r="H201" s="5" t="str">
        <f t="shared" si="20"/>
        <v>det_549</v>
      </c>
      <c r="I201" s="5" t="str">
        <f t="shared" si="21"/>
        <v>W:\Performance Measurement\1. Freeway\1. raw data\2010_new\data files\det_549.txt</v>
      </c>
      <c r="J201" s="5" t="str">
        <f t="shared" si="22"/>
        <v>W:\Performance Measurement\1. Freeway\1. raw data\2010_new\data files\det_549.xlsx</v>
      </c>
      <c r="K201" s="5"/>
      <c r="L201" s="47">
        <v>197</v>
      </c>
      <c r="M201" s="39" t="s">
        <v>70</v>
      </c>
      <c r="N201" s="10">
        <v>171</v>
      </c>
      <c r="O201" s="10">
        <v>3</v>
      </c>
      <c r="P201" s="10">
        <v>0</v>
      </c>
      <c r="Q201" s="19">
        <v>1</v>
      </c>
      <c r="R201" s="67" t="s">
        <v>86</v>
      </c>
      <c r="S201" s="19">
        <v>1</v>
      </c>
      <c r="T201" s="83" t="s">
        <v>226</v>
      </c>
      <c r="U201" s="19">
        <v>1</v>
      </c>
      <c r="V201" s="58" t="s">
        <v>159</v>
      </c>
      <c r="W201" s="57">
        <v>1</v>
      </c>
      <c r="X201" s="5"/>
      <c r="Y201" s="26">
        <v>513</v>
      </c>
      <c r="Z201" s="25">
        <v>3</v>
      </c>
      <c r="AA201" s="25">
        <v>1</v>
      </c>
      <c r="AB201" s="20">
        <v>1</v>
      </c>
      <c r="AC201" s="39"/>
      <c r="AH201" s="93" t="s">
        <v>70</v>
      </c>
      <c r="AI201" s="89">
        <v>171</v>
      </c>
      <c r="AJ201" s="102">
        <v>3</v>
      </c>
      <c r="AK201" s="101">
        <v>0</v>
      </c>
      <c r="AL201" s="95" t="b">
        <f t="shared" si="23"/>
        <v>1</v>
      </c>
      <c r="AM201" s="95" t="b">
        <f t="shared" si="24"/>
        <v>1</v>
      </c>
    </row>
    <row r="202" spans="4:39" x14ac:dyDescent="0.25">
      <c r="D202" s="8">
        <v>198</v>
      </c>
      <c r="E202" s="48">
        <v>550</v>
      </c>
      <c r="F202" s="10">
        <v>3</v>
      </c>
      <c r="G202" s="10">
        <v>1</v>
      </c>
      <c r="H202" s="5" t="str">
        <f t="shared" si="20"/>
        <v>det_550</v>
      </c>
      <c r="I202" s="5" t="str">
        <f t="shared" si="21"/>
        <v>W:\Performance Measurement\1. Freeway\1. raw data\2010_new\data files\det_550.txt</v>
      </c>
      <c r="J202" s="5" t="str">
        <f t="shared" si="22"/>
        <v>W:\Performance Measurement\1. Freeway\1. raw data\2010_new\data files\det_550.xlsx</v>
      </c>
      <c r="K202" s="5"/>
      <c r="L202" s="47">
        <v>198</v>
      </c>
      <c r="M202" s="39" t="s">
        <v>70</v>
      </c>
      <c r="N202" s="33">
        <v>169</v>
      </c>
      <c r="O202" s="10">
        <v>3</v>
      </c>
      <c r="P202" s="10">
        <v>0</v>
      </c>
      <c r="Q202" s="19">
        <v>1</v>
      </c>
      <c r="R202" s="67" t="s">
        <v>86</v>
      </c>
      <c r="S202" s="19">
        <v>1</v>
      </c>
      <c r="T202" s="83" t="s">
        <v>226</v>
      </c>
      <c r="U202" s="19">
        <v>1</v>
      </c>
      <c r="V202" s="59" t="s">
        <v>167</v>
      </c>
      <c r="W202" s="57">
        <v>0</v>
      </c>
      <c r="X202" s="5"/>
      <c r="Y202" s="25">
        <v>514</v>
      </c>
      <c r="Z202" s="25">
        <v>4</v>
      </c>
      <c r="AA202" s="25">
        <v>1</v>
      </c>
      <c r="AB202" s="20">
        <v>1</v>
      </c>
      <c r="AC202" s="39"/>
      <c r="AH202" s="93" t="s">
        <v>70</v>
      </c>
      <c r="AI202" s="89">
        <v>169</v>
      </c>
      <c r="AJ202" s="102">
        <v>3</v>
      </c>
      <c r="AK202" s="101">
        <v>0</v>
      </c>
      <c r="AL202" s="95" t="b">
        <f t="shared" si="23"/>
        <v>1</v>
      </c>
      <c r="AM202" s="95" t="b">
        <f t="shared" si="24"/>
        <v>1</v>
      </c>
    </row>
    <row r="203" spans="4:39" x14ac:dyDescent="0.25">
      <c r="D203" s="8">
        <v>199</v>
      </c>
      <c r="E203" s="48">
        <v>551</v>
      </c>
      <c r="F203" s="10">
        <v>3</v>
      </c>
      <c r="G203" s="10">
        <v>1</v>
      </c>
      <c r="H203" s="5" t="str">
        <f t="shared" si="20"/>
        <v>det_551</v>
      </c>
      <c r="I203" s="5" t="str">
        <f t="shared" si="21"/>
        <v>W:\Performance Measurement\1. Freeway\1. raw data\2010_new\data files\det_551.txt</v>
      </c>
      <c r="J203" s="5" t="str">
        <f t="shared" si="22"/>
        <v>W:\Performance Measurement\1. Freeway\1. raw data\2010_new\data files\det_551.xlsx</v>
      </c>
      <c r="K203" s="5"/>
      <c r="L203" s="47">
        <v>199</v>
      </c>
      <c r="M203" s="39" t="s">
        <v>70</v>
      </c>
      <c r="N203" s="33">
        <v>167</v>
      </c>
      <c r="O203" s="10">
        <v>2</v>
      </c>
      <c r="P203" s="10">
        <v>0</v>
      </c>
      <c r="Q203" s="19">
        <v>1</v>
      </c>
      <c r="R203" s="67" t="s">
        <v>86</v>
      </c>
      <c r="S203" s="19">
        <v>1</v>
      </c>
      <c r="T203" s="83" t="s">
        <v>226</v>
      </c>
      <c r="U203" s="19">
        <v>1</v>
      </c>
      <c r="V203" s="59" t="s">
        <v>167</v>
      </c>
      <c r="W203" s="57">
        <v>0</v>
      </c>
      <c r="X203" s="5"/>
      <c r="Y203" s="26">
        <v>518</v>
      </c>
      <c r="Z203" s="25">
        <v>3</v>
      </c>
      <c r="AA203" s="25">
        <v>1</v>
      </c>
      <c r="AB203" s="19" t="s">
        <v>42</v>
      </c>
      <c r="AC203" s="39"/>
      <c r="AH203" s="93" t="s">
        <v>70</v>
      </c>
      <c r="AI203" s="89">
        <v>167</v>
      </c>
      <c r="AJ203" s="102">
        <v>2</v>
      </c>
      <c r="AK203" s="101">
        <v>0</v>
      </c>
      <c r="AL203" s="95" t="b">
        <f t="shared" si="23"/>
        <v>1</v>
      </c>
      <c r="AM203" s="95" t="b">
        <f t="shared" si="24"/>
        <v>1</v>
      </c>
    </row>
    <row r="204" spans="4:39" x14ac:dyDescent="0.25">
      <c r="D204" s="8">
        <v>200</v>
      </c>
      <c r="E204" s="48">
        <v>552</v>
      </c>
      <c r="F204" s="10">
        <v>3</v>
      </c>
      <c r="G204" s="10">
        <v>1</v>
      </c>
      <c r="H204" s="5" t="str">
        <f t="shared" si="20"/>
        <v>det_552</v>
      </c>
      <c r="I204" s="5" t="str">
        <f t="shared" si="21"/>
        <v>W:\Performance Measurement\1. Freeway\1. raw data\2010_new\data files\det_552.txt</v>
      </c>
      <c r="J204" s="5" t="str">
        <f t="shared" si="22"/>
        <v>W:\Performance Measurement\1. Freeway\1. raw data\2010_new\data files\det_552.xlsx</v>
      </c>
      <c r="K204" s="5"/>
      <c r="L204" s="47">
        <v>200</v>
      </c>
      <c r="M204" s="39" t="s">
        <v>71</v>
      </c>
      <c r="N204" s="77">
        <v>539</v>
      </c>
      <c r="O204" s="10">
        <v>1</v>
      </c>
      <c r="P204" s="10">
        <v>0</v>
      </c>
      <c r="Q204" s="19">
        <v>0</v>
      </c>
      <c r="R204" s="8" t="s">
        <v>167</v>
      </c>
      <c r="S204" s="19">
        <v>0</v>
      </c>
      <c r="T204" s="83" t="s">
        <v>226</v>
      </c>
      <c r="U204" s="19">
        <v>1</v>
      </c>
      <c r="V204" s="63" t="s">
        <v>166</v>
      </c>
      <c r="W204" s="57">
        <v>0</v>
      </c>
      <c r="X204" s="5"/>
      <c r="Y204" s="25">
        <v>520</v>
      </c>
      <c r="Z204" s="25">
        <v>5</v>
      </c>
      <c r="AA204" s="25">
        <v>1</v>
      </c>
      <c r="AB204" s="19">
        <v>1</v>
      </c>
      <c r="AC204" s="39"/>
      <c r="AH204" s="93" t="s">
        <v>71</v>
      </c>
      <c r="AI204" s="89">
        <v>539</v>
      </c>
      <c r="AJ204" s="102">
        <v>0</v>
      </c>
      <c r="AK204" s="101">
        <v>0</v>
      </c>
      <c r="AL204" s="95" t="b">
        <f t="shared" si="23"/>
        <v>0</v>
      </c>
      <c r="AM204" s="95" t="b">
        <f t="shared" si="24"/>
        <v>1</v>
      </c>
    </row>
    <row r="205" spans="4:39" x14ac:dyDescent="0.25">
      <c r="D205" s="8">
        <v>201</v>
      </c>
      <c r="E205" s="48">
        <v>553</v>
      </c>
      <c r="F205" s="10">
        <v>3</v>
      </c>
      <c r="G205" s="10">
        <v>1</v>
      </c>
      <c r="H205" s="5" t="str">
        <f t="shared" si="20"/>
        <v>det_553</v>
      </c>
      <c r="I205" s="5" t="str">
        <f t="shared" si="21"/>
        <v>W:\Performance Measurement\1. Freeway\1. raw data\2010_new\data files\det_553.txt</v>
      </c>
      <c r="J205" s="5" t="str">
        <f t="shared" si="22"/>
        <v>W:\Performance Measurement\1. Freeway\1. raw data\2010_new\data files\det_553.xlsx</v>
      </c>
      <c r="K205" s="5"/>
      <c r="L205" s="47">
        <v>201</v>
      </c>
      <c r="M205" s="39" t="s">
        <v>71</v>
      </c>
      <c r="N205" s="77">
        <v>540</v>
      </c>
      <c r="O205" s="10">
        <v>3</v>
      </c>
      <c r="P205" s="10">
        <v>1</v>
      </c>
      <c r="Q205" s="19">
        <v>1</v>
      </c>
      <c r="R205" s="8" t="s">
        <v>167</v>
      </c>
      <c r="S205" s="19">
        <v>0</v>
      </c>
      <c r="T205" s="83" t="s">
        <v>226</v>
      </c>
      <c r="U205" s="56">
        <v>1</v>
      </c>
      <c r="V205" s="59" t="s">
        <v>160</v>
      </c>
      <c r="W205" s="57">
        <v>1</v>
      </c>
      <c r="X205" s="5"/>
      <c r="Y205" s="25">
        <v>521</v>
      </c>
      <c r="Z205" s="25">
        <v>5</v>
      </c>
      <c r="AA205" s="25">
        <v>1</v>
      </c>
      <c r="AB205" s="19">
        <v>1</v>
      </c>
      <c r="AC205" s="39"/>
      <c r="AH205" s="93" t="s">
        <v>71</v>
      </c>
      <c r="AI205" s="89">
        <v>540</v>
      </c>
      <c r="AJ205" s="102">
        <v>3</v>
      </c>
      <c r="AK205" s="101">
        <v>1</v>
      </c>
      <c r="AL205" s="95" t="b">
        <f t="shared" si="23"/>
        <v>1</v>
      </c>
      <c r="AM205" s="95" t="b">
        <f t="shared" si="24"/>
        <v>1</v>
      </c>
    </row>
    <row r="206" spans="4:39" x14ac:dyDescent="0.25">
      <c r="D206" s="8">
        <v>202</v>
      </c>
      <c r="E206" s="48">
        <v>554</v>
      </c>
      <c r="F206" s="10">
        <v>3</v>
      </c>
      <c r="G206" s="10">
        <v>1</v>
      </c>
      <c r="H206" s="5" t="str">
        <f t="shared" si="20"/>
        <v>det_554</v>
      </c>
      <c r="I206" s="5" t="str">
        <f t="shared" si="21"/>
        <v>W:\Performance Measurement\1. Freeway\1. raw data\2010_new\data files\det_554.txt</v>
      </c>
      <c r="J206" s="5" t="str">
        <f t="shared" si="22"/>
        <v>W:\Performance Measurement\1. Freeway\1. raw data\2010_new\data files\det_554.xlsx</v>
      </c>
      <c r="K206" s="5"/>
      <c r="L206" s="47">
        <v>202</v>
      </c>
      <c r="M206" s="39" t="s">
        <v>71</v>
      </c>
      <c r="N206" s="77">
        <v>541</v>
      </c>
      <c r="O206" s="10">
        <v>3</v>
      </c>
      <c r="P206" s="10">
        <v>1</v>
      </c>
      <c r="Q206" s="19">
        <v>1</v>
      </c>
      <c r="R206" s="8" t="s">
        <v>167</v>
      </c>
      <c r="S206" s="19">
        <v>0</v>
      </c>
      <c r="T206" s="83" t="s">
        <v>226</v>
      </c>
      <c r="U206" s="56">
        <v>1</v>
      </c>
      <c r="V206" s="59" t="s">
        <v>160</v>
      </c>
      <c r="W206" s="57">
        <v>1</v>
      </c>
      <c r="X206" s="5"/>
      <c r="Y206" s="25">
        <v>522</v>
      </c>
      <c r="Z206" s="25">
        <v>5</v>
      </c>
      <c r="AA206" s="25">
        <v>1</v>
      </c>
      <c r="AB206" s="19">
        <v>1</v>
      </c>
      <c r="AC206" s="39"/>
      <c r="AH206" s="93" t="s">
        <v>71</v>
      </c>
      <c r="AI206" s="89">
        <v>541</v>
      </c>
      <c r="AJ206" s="102">
        <v>3</v>
      </c>
      <c r="AK206" s="101">
        <v>1</v>
      </c>
      <c r="AL206" s="95" t="b">
        <f t="shared" si="23"/>
        <v>1</v>
      </c>
      <c r="AM206" s="95" t="b">
        <f t="shared" si="24"/>
        <v>1</v>
      </c>
    </row>
    <row r="207" spans="4:39" x14ac:dyDescent="0.25">
      <c r="D207" s="8">
        <v>203</v>
      </c>
      <c r="E207" s="48">
        <v>555</v>
      </c>
      <c r="F207" s="10">
        <v>3</v>
      </c>
      <c r="G207" s="10">
        <v>1</v>
      </c>
      <c r="H207" s="5" t="str">
        <f t="shared" si="20"/>
        <v>det_555</v>
      </c>
      <c r="I207" s="5" t="str">
        <f t="shared" si="21"/>
        <v>W:\Performance Measurement\1. Freeway\1. raw data\2010_new\data files\det_555.txt</v>
      </c>
      <c r="J207" s="5" t="str">
        <f t="shared" si="22"/>
        <v>W:\Performance Measurement\1. Freeway\1. raw data\2010_new\data files\det_555.xlsx</v>
      </c>
      <c r="K207" s="5"/>
      <c r="L207" s="47">
        <v>203</v>
      </c>
      <c r="M207" s="39" t="s">
        <v>71</v>
      </c>
      <c r="N207" s="77">
        <v>542</v>
      </c>
      <c r="O207" s="10">
        <v>3</v>
      </c>
      <c r="P207" s="10">
        <v>1</v>
      </c>
      <c r="Q207" s="19">
        <v>1</v>
      </c>
      <c r="R207" s="8" t="s">
        <v>167</v>
      </c>
      <c r="S207" s="19">
        <v>0</v>
      </c>
      <c r="T207" s="83" t="s">
        <v>226</v>
      </c>
      <c r="U207" s="56">
        <v>1</v>
      </c>
      <c r="V207" s="59" t="s">
        <v>160</v>
      </c>
      <c r="W207" s="19">
        <v>1</v>
      </c>
      <c r="X207" s="5"/>
      <c r="Y207" s="25">
        <v>523</v>
      </c>
      <c r="Z207" s="25">
        <v>5</v>
      </c>
      <c r="AA207" s="25">
        <v>1</v>
      </c>
      <c r="AB207" s="19">
        <v>1</v>
      </c>
      <c r="AC207" s="39"/>
      <c r="AH207" s="93" t="s">
        <v>71</v>
      </c>
      <c r="AI207" s="89">
        <v>542</v>
      </c>
      <c r="AJ207" s="102">
        <v>3</v>
      </c>
      <c r="AK207" s="101">
        <v>1</v>
      </c>
      <c r="AL207" s="95" t="b">
        <f t="shared" si="23"/>
        <v>1</v>
      </c>
      <c r="AM207" s="95" t="b">
        <f t="shared" si="24"/>
        <v>1</v>
      </c>
    </row>
    <row r="208" spans="4:39" x14ac:dyDescent="0.25">
      <c r="D208" s="8">
        <v>204</v>
      </c>
      <c r="E208" s="48">
        <v>556</v>
      </c>
      <c r="F208" s="10">
        <v>3</v>
      </c>
      <c r="G208" s="10">
        <v>1</v>
      </c>
      <c r="H208" s="5" t="str">
        <f t="shared" si="20"/>
        <v>det_556</v>
      </c>
      <c r="I208" s="5" t="str">
        <f t="shared" si="21"/>
        <v>W:\Performance Measurement\1. Freeway\1. raw data\2010_new\data files\det_556.txt</v>
      </c>
      <c r="J208" s="5" t="str">
        <f t="shared" si="22"/>
        <v>W:\Performance Measurement\1. Freeway\1. raw data\2010_new\data files\det_556.xlsx</v>
      </c>
      <c r="K208" s="5"/>
      <c r="L208" s="47">
        <v>204</v>
      </c>
      <c r="M208" s="39" t="s">
        <v>71</v>
      </c>
      <c r="N208" s="77">
        <v>543</v>
      </c>
      <c r="O208" s="10">
        <v>3</v>
      </c>
      <c r="P208" s="10">
        <v>1</v>
      </c>
      <c r="Q208" s="19">
        <v>1</v>
      </c>
      <c r="R208" s="8" t="s">
        <v>167</v>
      </c>
      <c r="S208" s="19">
        <v>0</v>
      </c>
      <c r="T208" s="83" t="s">
        <v>226</v>
      </c>
      <c r="U208" s="19">
        <v>1</v>
      </c>
      <c r="V208" s="59" t="s">
        <v>168</v>
      </c>
      <c r="W208" s="19">
        <v>1</v>
      </c>
      <c r="X208" s="5"/>
      <c r="Y208" s="25">
        <v>524</v>
      </c>
      <c r="Z208" s="25">
        <v>5</v>
      </c>
      <c r="AA208" s="25">
        <v>1</v>
      </c>
      <c r="AB208" s="19">
        <v>1</v>
      </c>
      <c r="AC208" s="39"/>
      <c r="AH208" s="93" t="s">
        <v>71</v>
      </c>
      <c r="AI208" s="89">
        <v>543</v>
      </c>
      <c r="AJ208" s="102">
        <v>3</v>
      </c>
      <c r="AK208" s="101">
        <v>1</v>
      </c>
      <c r="AL208" s="95" t="b">
        <f t="shared" si="23"/>
        <v>1</v>
      </c>
      <c r="AM208" s="95" t="b">
        <f t="shared" si="24"/>
        <v>1</v>
      </c>
    </row>
    <row r="209" spans="4:39" x14ac:dyDescent="0.25">
      <c r="D209" s="8">
        <v>205</v>
      </c>
      <c r="E209" s="48">
        <v>557</v>
      </c>
      <c r="F209" s="10">
        <v>3</v>
      </c>
      <c r="G209" s="10">
        <v>1</v>
      </c>
      <c r="H209" s="5" t="str">
        <f t="shared" si="20"/>
        <v>det_557</v>
      </c>
      <c r="I209" s="5" t="str">
        <f t="shared" si="21"/>
        <v>W:\Performance Measurement\1. Freeway\1. raw data\2010_new\data files\det_557.txt</v>
      </c>
      <c r="J209" s="5" t="str">
        <f t="shared" si="22"/>
        <v>W:\Performance Measurement\1. Freeway\1. raw data\2010_new\data files\det_557.xlsx</v>
      </c>
      <c r="K209" s="5"/>
      <c r="L209" s="47">
        <v>205</v>
      </c>
      <c r="M209" s="39" t="s">
        <v>71</v>
      </c>
      <c r="N209" s="10">
        <v>514</v>
      </c>
      <c r="O209" s="10">
        <v>4</v>
      </c>
      <c r="P209" s="10">
        <v>1</v>
      </c>
      <c r="Q209" s="19">
        <v>1</v>
      </c>
      <c r="R209" s="67" t="s">
        <v>167</v>
      </c>
      <c r="S209" s="19">
        <v>0</v>
      </c>
      <c r="T209" s="83" t="s">
        <v>226</v>
      </c>
      <c r="U209" s="56">
        <v>1</v>
      </c>
      <c r="V209" s="59" t="s">
        <v>168</v>
      </c>
      <c r="W209" s="19">
        <v>1</v>
      </c>
      <c r="X209" s="5"/>
      <c r="Y209" s="25">
        <v>525</v>
      </c>
      <c r="Z209" s="25">
        <v>4</v>
      </c>
      <c r="AA209" s="25">
        <v>1</v>
      </c>
      <c r="AB209" s="19">
        <v>1</v>
      </c>
      <c r="AC209" s="39"/>
      <c r="AH209" s="93" t="s">
        <v>71</v>
      </c>
      <c r="AI209" s="89">
        <v>514</v>
      </c>
      <c r="AJ209" s="102">
        <v>4</v>
      </c>
      <c r="AK209" s="101">
        <v>1</v>
      </c>
      <c r="AL209" s="95" t="b">
        <f t="shared" si="23"/>
        <v>1</v>
      </c>
      <c r="AM209" s="95" t="b">
        <f t="shared" si="24"/>
        <v>1</v>
      </c>
    </row>
    <row r="210" spans="4:39" x14ac:dyDescent="0.25">
      <c r="D210" s="8">
        <v>206</v>
      </c>
      <c r="E210" s="48">
        <v>570</v>
      </c>
      <c r="F210" s="10">
        <v>3</v>
      </c>
      <c r="G210" s="10">
        <v>1</v>
      </c>
      <c r="H210" s="5" t="str">
        <f t="shared" si="20"/>
        <v>det_570</v>
      </c>
      <c r="I210" s="5" t="str">
        <f t="shared" si="21"/>
        <v>W:\Performance Measurement\1. Freeway\1. raw data\2010_new\data files\det_570.txt</v>
      </c>
      <c r="J210" s="5" t="str">
        <f t="shared" si="22"/>
        <v>W:\Performance Measurement\1. Freeway\1. raw data\2010_new\data files\det_570.xlsx</v>
      </c>
      <c r="K210" s="5"/>
      <c r="L210" s="47">
        <v>206</v>
      </c>
      <c r="M210" s="39" t="s">
        <v>71</v>
      </c>
      <c r="N210" s="77">
        <v>518</v>
      </c>
      <c r="O210" s="10">
        <v>3</v>
      </c>
      <c r="P210" s="10">
        <v>1</v>
      </c>
      <c r="Q210" s="56">
        <v>1</v>
      </c>
      <c r="R210" s="8" t="s">
        <v>167</v>
      </c>
      <c r="S210" s="19">
        <v>0</v>
      </c>
      <c r="T210" s="83" t="s">
        <v>226</v>
      </c>
      <c r="U210" s="19">
        <v>1</v>
      </c>
      <c r="V210" s="59" t="s">
        <v>168</v>
      </c>
      <c r="W210" s="19">
        <v>1</v>
      </c>
      <c r="X210" s="5"/>
      <c r="Y210" s="25">
        <v>526</v>
      </c>
      <c r="Z210" s="25">
        <v>3</v>
      </c>
      <c r="AA210" s="25">
        <v>1</v>
      </c>
      <c r="AB210" s="19" t="s">
        <v>44</v>
      </c>
      <c r="AC210" s="39"/>
      <c r="AH210" s="93" t="s">
        <v>71</v>
      </c>
      <c r="AI210" s="89">
        <v>518</v>
      </c>
      <c r="AJ210" s="102">
        <v>3</v>
      </c>
      <c r="AK210" s="101">
        <v>1</v>
      </c>
      <c r="AL210" s="95" t="b">
        <f t="shared" si="23"/>
        <v>1</v>
      </c>
      <c r="AM210" s="95" t="b">
        <f t="shared" si="24"/>
        <v>1</v>
      </c>
    </row>
    <row r="211" spans="4:39" x14ac:dyDescent="0.25">
      <c r="D211" s="8">
        <v>207</v>
      </c>
      <c r="E211" s="48">
        <v>571</v>
      </c>
      <c r="F211" s="10">
        <v>3</v>
      </c>
      <c r="G211" s="10">
        <v>1</v>
      </c>
      <c r="H211" s="5" t="str">
        <f t="shared" si="20"/>
        <v>det_571</v>
      </c>
      <c r="I211" s="5" t="str">
        <f t="shared" si="21"/>
        <v>W:\Performance Measurement\1. Freeway\1. raw data\2010_new\data files\det_571.txt</v>
      </c>
      <c r="J211" s="5" t="str">
        <f t="shared" si="22"/>
        <v>W:\Performance Measurement\1. Freeway\1. raw data\2010_new\data files\det_571.xlsx</v>
      </c>
      <c r="K211" s="5"/>
      <c r="L211" s="47">
        <v>207</v>
      </c>
      <c r="M211" s="39" t="s">
        <v>71</v>
      </c>
      <c r="N211" s="10">
        <v>510</v>
      </c>
      <c r="O211" s="10">
        <v>4</v>
      </c>
      <c r="P211" s="10">
        <v>1</v>
      </c>
      <c r="Q211" s="56">
        <v>1</v>
      </c>
      <c r="R211" s="67" t="s">
        <v>167</v>
      </c>
      <c r="S211" s="19">
        <v>0</v>
      </c>
      <c r="T211" s="83" t="s">
        <v>226</v>
      </c>
      <c r="U211" s="56">
        <v>1</v>
      </c>
      <c r="V211" s="58" t="s">
        <v>160</v>
      </c>
      <c r="W211" s="19">
        <v>1</v>
      </c>
      <c r="X211" s="5"/>
      <c r="Y211" s="25">
        <v>527</v>
      </c>
      <c r="Z211" s="25">
        <v>3</v>
      </c>
      <c r="AA211" s="25">
        <v>1</v>
      </c>
      <c r="AB211" s="19" t="s">
        <v>44</v>
      </c>
      <c r="AC211" s="39"/>
      <c r="AH211" s="93" t="s">
        <v>71</v>
      </c>
      <c r="AI211" s="89">
        <v>510</v>
      </c>
      <c r="AJ211" s="102">
        <v>4</v>
      </c>
      <c r="AK211" s="101">
        <v>1</v>
      </c>
      <c r="AL211" s="95" t="b">
        <f t="shared" si="23"/>
        <v>1</v>
      </c>
      <c r="AM211" s="95" t="b">
        <f t="shared" si="24"/>
        <v>1</v>
      </c>
    </row>
    <row r="212" spans="4:39" x14ac:dyDescent="0.25">
      <c r="D212" s="8">
        <v>208</v>
      </c>
      <c r="E212" s="48">
        <v>572</v>
      </c>
      <c r="F212" s="10">
        <v>3</v>
      </c>
      <c r="G212" s="10">
        <v>1</v>
      </c>
      <c r="H212" s="5" t="str">
        <f t="shared" si="20"/>
        <v>det_572</v>
      </c>
      <c r="I212" s="5" t="str">
        <f t="shared" si="21"/>
        <v>W:\Performance Measurement\1. Freeway\1. raw data\2010_new\data files\det_572.txt</v>
      </c>
      <c r="J212" s="5" t="str">
        <f t="shared" si="22"/>
        <v>W:\Performance Measurement\1. Freeway\1. raw data\2010_new\data files\det_572.xlsx</v>
      </c>
      <c r="K212" s="5"/>
      <c r="L212" s="47">
        <v>208</v>
      </c>
      <c r="M212" s="39" t="s">
        <v>71</v>
      </c>
      <c r="N212" s="77">
        <v>513</v>
      </c>
      <c r="O212" s="10">
        <v>3</v>
      </c>
      <c r="P212" s="29">
        <v>1</v>
      </c>
      <c r="Q212" s="56">
        <v>1</v>
      </c>
      <c r="R212" s="8" t="s">
        <v>167</v>
      </c>
      <c r="S212" s="19">
        <v>0</v>
      </c>
      <c r="T212" s="83" t="s">
        <v>226</v>
      </c>
      <c r="U212" s="56">
        <v>13</v>
      </c>
      <c r="V212" s="58" t="s">
        <v>187</v>
      </c>
      <c r="W212" s="19">
        <v>1</v>
      </c>
      <c r="X212" s="5"/>
      <c r="Y212" s="25">
        <v>528</v>
      </c>
      <c r="Z212" s="25">
        <v>5</v>
      </c>
      <c r="AA212" s="25">
        <v>1</v>
      </c>
      <c r="AB212" s="19">
        <v>1</v>
      </c>
      <c r="AC212" s="39"/>
      <c r="AH212" s="93" t="s">
        <v>71</v>
      </c>
      <c r="AI212" s="89">
        <v>513</v>
      </c>
      <c r="AJ212" s="102">
        <v>3</v>
      </c>
      <c r="AK212" s="101">
        <v>1</v>
      </c>
      <c r="AL212" s="95" t="b">
        <f t="shared" si="23"/>
        <v>1</v>
      </c>
      <c r="AM212" s="95" t="b">
        <f t="shared" si="24"/>
        <v>1</v>
      </c>
    </row>
    <row r="213" spans="4:39" x14ac:dyDescent="0.25">
      <c r="D213" s="8">
        <v>209</v>
      </c>
      <c r="E213" s="48">
        <v>573</v>
      </c>
      <c r="F213" s="10">
        <v>3</v>
      </c>
      <c r="G213" s="10">
        <v>1</v>
      </c>
      <c r="H213" s="5" t="str">
        <f t="shared" si="20"/>
        <v>det_573</v>
      </c>
      <c r="I213" s="5" t="str">
        <f t="shared" si="21"/>
        <v>W:\Performance Measurement\1. Freeway\1. raw data\2010_new\data files\det_573.txt</v>
      </c>
      <c r="J213" s="5" t="str">
        <f t="shared" si="22"/>
        <v>W:\Performance Measurement\1. Freeway\1. raw data\2010_new\data files\det_573.xlsx</v>
      </c>
      <c r="K213" s="5"/>
      <c r="L213" s="47">
        <v>209</v>
      </c>
      <c r="M213" s="39" t="s">
        <v>71</v>
      </c>
      <c r="N213" s="77">
        <v>544</v>
      </c>
      <c r="O213" s="10">
        <v>3</v>
      </c>
      <c r="P213" s="10">
        <v>1</v>
      </c>
      <c r="Q213" s="56">
        <v>1</v>
      </c>
      <c r="R213" s="8" t="s">
        <v>167</v>
      </c>
      <c r="S213" s="19">
        <v>0</v>
      </c>
      <c r="T213" s="83" t="s">
        <v>226</v>
      </c>
      <c r="U213" s="56">
        <v>1</v>
      </c>
      <c r="V213" s="58" t="s">
        <v>160</v>
      </c>
      <c r="W213" s="19">
        <v>1</v>
      </c>
      <c r="X213" s="5"/>
      <c r="Y213" s="25">
        <v>529</v>
      </c>
      <c r="Z213" s="25">
        <v>4</v>
      </c>
      <c r="AA213" s="25">
        <v>1</v>
      </c>
      <c r="AB213" s="19">
        <v>1</v>
      </c>
      <c r="AC213" s="39"/>
      <c r="AH213" s="93" t="s">
        <v>71</v>
      </c>
      <c r="AI213" s="89">
        <v>544</v>
      </c>
      <c r="AJ213" s="102">
        <v>3</v>
      </c>
      <c r="AK213" s="101">
        <v>1</v>
      </c>
      <c r="AL213" s="95" t="b">
        <f t="shared" si="23"/>
        <v>1</v>
      </c>
      <c r="AM213" s="95" t="b">
        <f t="shared" si="24"/>
        <v>1</v>
      </c>
    </row>
    <row r="214" spans="4:39" x14ac:dyDescent="0.25">
      <c r="D214" s="8">
        <v>210</v>
      </c>
      <c r="E214" s="48">
        <v>574</v>
      </c>
      <c r="F214" s="10">
        <v>3</v>
      </c>
      <c r="G214" s="10">
        <v>1</v>
      </c>
      <c r="H214" s="5" t="str">
        <f t="shared" si="20"/>
        <v>det_574</v>
      </c>
      <c r="I214" s="5" t="str">
        <f t="shared" si="21"/>
        <v>W:\Performance Measurement\1. Freeway\1. raw data\2010_new\data files\det_574.txt</v>
      </c>
      <c r="J214" s="5" t="str">
        <f t="shared" si="22"/>
        <v>W:\Performance Measurement\1. Freeway\1. raw data\2010_new\data files\det_574.xlsx</v>
      </c>
      <c r="K214" s="5"/>
      <c r="L214" s="47">
        <v>210</v>
      </c>
      <c r="M214" s="39" t="s">
        <v>71</v>
      </c>
      <c r="N214" s="77">
        <v>545</v>
      </c>
      <c r="O214" s="10">
        <v>3</v>
      </c>
      <c r="P214" s="10">
        <v>1</v>
      </c>
      <c r="Q214" s="56">
        <v>1</v>
      </c>
      <c r="R214" s="8" t="s">
        <v>167</v>
      </c>
      <c r="S214" s="19">
        <v>0</v>
      </c>
      <c r="T214" s="83" t="s">
        <v>226</v>
      </c>
      <c r="U214" s="56">
        <v>1</v>
      </c>
      <c r="V214" s="58" t="s">
        <v>164</v>
      </c>
      <c r="W214" s="19">
        <v>1</v>
      </c>
      <c r="X214" s="5"/>
      <c r="Y214" s="25">
        <v>530</v>
      </c>
      <c r="Z214" s="25">
        <v>3</v>
      </c>
      <c r="AA214" s="25">
        <v>1</v>
      </c>
      <c r="AB214" s="19" t="s">
        <v>44</v>
      </c>
      <c r="AC214" s="39"/>
      <c r="AH214" s="93" t="s">
        <v>71</v>
      </c>
      <c r="AI214" s="89">
        <v>545</v>
      </c>
      <c r="AJ214" s="102">
        <v>3</v>
      </c>
      <c r="AK214" s="101">
        <v>1</v>
      </c>
      <c r="AL214" s="95" t="b">
        <f t="shared" si="23"/>
        <v>1</v>
      </c>
      <c r="AM214" s="95" t="b">
        <f t="shared" si="24"/>
        <v>1</v>
      </c>
    </row>
    <row r="215" spans="4:39" x14ac:dyDescent="0.25">
      <c r="D215" s="8">
        <v>211</v>
      </c>
      <c r="E215" s="48">
        <v>575</v>
      </c>
      <c r="F215" s="10">
        <v>3</v>
      </c>
      <c r="G215" s="10">
        <v>1</v>
      </c>
      <c r="H215" s="5" t="str">
        <f t="shared" si="20"/>
        <v>det_575</v>
      </c>
      <c r="I215" s="5" t="str">
        <f t="shared" si="21"/>
        <v>W:\Performance Measurement\1. Freeway\1. raw data\2010_new\data files\det_575.txt</v>
      </c>
      <c r="J215" s="5" t="str">
        <f t="shared" si="22"/>
        <v>W:\Performance Measurement\1. Freeway\1. raw data\2010_new\data files\det_575.xlsx</v>
      </c>
      <c r="K215" s="5"/>
      <c r="L215" s="47">
        <v>211</v>
      </c>
      <c r="M215" s="39" t="s">
        <v>71</v>
      </c>
      <c r="N215" s="77">
        <v>546</v>
      </c>
      <c r="O215" s="10">
        <v>3</v>
      </c>
      <c r="P215" s="10">
        <v>1</v>
      </c>
      <c r="Q215" s="56">
        <v>1</v>
      </c>
      <c r="R215" s="8" t="s">
        <v>167</v>
      </c>
      <c r="S215" s="19">
        <v>0</v>
      </c>
      <c r="T215" s="83" t="s">
        <v>226</v>
      </c>
      <c r="U215" s="56">
        <v>1</v>
      </c>
      <c r="V215" s="58" t="s">
        <v>164</v>
      </c>
      <c r="W215" s="19">
        <v>1</v>
      </c>
      <c r="X215" s="5"/>
      <c r="Y215" s="25">
        <v>531</v>
      </c>
      <c r="Z215" s="25">
        <v>3</v>
      </c>
      <c r="AA215" s="25">
        <v>1</v>
      </c>
      <c r="AB215" s="19">
        <v>1</v>
      </c>
      <c r="AC215" s="39"/>
      <c r="AH215" s="93" t="s">
        <v>71</v>
      </c>
      <c r="AI215" s="89">
        <v>546</v>
      </c>
      <c r="AJ215" s="102">
        <v>3</v>
      </c>
      <c r="AK215" s="101">
        <v>1</v>
      </c>
      <c r="AL215" s="95" t="b">
        <f t="shared" si="23"/>
        <v>1</v>
      </c>
      <c r="AM215" s="95" t="b">
        <f t="shared" si="24"/>
        <v>1</v>
      </c>
    </row>
    <row r="216" spans="4:39" x14ac:dyDescent="0.25">
      <c r="D216" s="8">
        <v>212</v>
      </c>
      <c r="E216" s="48">
        <v>576</v>
      </c>
      <c r="F216" s="10">
        <v>3</v>
      </c>
      <c r="G216" s="10">
        <v>1</v>
      </c>
      <c r="H216" s="5" t="str">
        <f t="shared" si="20"/>
        <v>det_576</v>
      </c>
      <c r="I216" s="5" t="str">
        <f t="shared" si="21"/>
        <v>W:\Performance Measurement\1. Freeway\1. raw data\2010_new\data files\det_576.txt</v>
      </c>
      <c r="J216" s="5" t="str">
        <f t="shared" si="22"/>
        <v>W:\Performance Measurement\1. Freeway\1. raw data\2010_new\data files\det_576.xlsx</v>
      </c>
      <c r="K216" s="5"/>
      <c r="L216" s="47">
        <v>212</v>
      </c>
      <c r="M216" s="39" t="s">
        <v>71</v>
      </c>
      <c r="N216" s="77">
        <v>547</v>
      </c>
      <c r="O216" s="10">
        <v>3</v>
      </c>
      <c r="P216" s="10">
        <v>1</v>
      </c>
      <c r="Q216" s="56">
        <v>1</v>
      </c>
      <c r="R216" s="8" t="s">
        <v>167</v>
      </c>
      <c r="S216" s="19">
        <v>0</v>
      </c>
      <c r="T216" s="83" t="s">
        <v>226</v>
      </c>
      <c r="U216" s="24">
        <v>1</v>
      </c>
      <c r="V216" s="58" t="s">
        <v>165</v>
      </c>
      <c r="W216" s="57">
        <v>1</v>
      </c>
      <c r="X216" s="5"/>
      <c r="Y216" s="25">
        <v>532</v>
      </c>
      <c r="Z216" s="25">
        <v>4</v>
      </c>
      <c r="AA216" s="25">
        <v>1</v>
      </c>
      <c r="AB216" s="19" t="s">
        <v>43</v>
      </c>
      <c r="AC216" s="39"/>
      <c r="AH216" s="93" t="s">
        <v>71</v>
      </c>
      <c r="AI216" s="89">
        <v>547</v>
      </c>
      <c r="AJ216" s="102">
        <v>3</v>
      </c>
      <c r="AK216" s="101">
        <v>1</v>
      </c>
      <c r="AL216" s="95" t="b">
        <f t="shared" si="23"/>
        <v>1</v>
      </c>
      <c r="AM216" s="95" t="b">
        <f t="shared" si="24"/>
        <v>1</v>
      </c>
    </row>
    <row r="217" spans="4:39" x14ac:dyDescent="0.25">
      <c r="D217" s="8">
        <v>213</v>
      </c>
      <c r="E217" s="48">
        <v>577</v>
      </c>
      <c r="F217" s="10">
        <v>3</v>
      </c>
      <c r="G217" s="10">
        <v>1</v>
      </c>
      <c r="H217" s="5" t="str">
        <f t="shared" si="20"/>
        <v>det_577</v>
      </c>
      <c r="I217" s="5" t="str">
        <f t="shared" si="21"/>
        <v>W:\Performance Measurement\1. Freeway\1. raw data\2010_new\data files\det_577.txt</v>
      </c>
      <c r="J217" s="5" t="str">
        <f t="shared" si="22"/>
        <v>W:\Performance Measurement\1. Freeway\1. raw data\2010_new\data files\det_577.xlsx</v>
      </c>
      <c r="K217" s="5"/>
      <c r="L217" s="47">
        <v>213</v>
      </c>
      <c r="M217" s="39" t="s">
        <v>71</v>
      </c>
      <c r="N217" s="77">
        <v>548</v>
      </c>
      <c r="O217" s="10">
        <v>2</v>
      </c>
      <c r="P217" s="10">
        <v>0</v>
      </c>
      <c r="Q217" s="19">
        <v>0</v>
      </c>
      <c r="R217" s="8" t="s">
        <v>167</v>
      </c>
      <c r="S217" s="19">
        <v>0</v>
      </c>
      <c r="T217" s="83" t="s">
        <v>226</v>
      </c>
      <c r="U217" s="23">
        <v>12</v>
      </c>
      <c r="V217" s="70" t="s">
        <v>166</v>
      </c>
      <c r="W217" s="57">
        <v>0</v>
      </c>
      <c r="X217" s="5"/>
      <c r="Y217" s="25">
        <v>533</v>
      </c>
      <c r="Z217" s="25">
        <v>7</v>
      </c>
      <c r="AA217" s="25">
        <v>1</v>
      </c>
      <c r="AB217" s="19">
        <v>1</v>
      </c>
      <c r="AC217" s="39"/>
      <c r="AH217" s="93" t="s">
        <v>71</v>
      </c>
      <c r="AI217" s="89">
        <v>548</v>
      </c>
      <c r="AJ217" s="102">
        <v>2</v>
      </c>
      <c r="AK217" s="101">
        <v>0</v>
      </c>
      <c r="AL217" s="95" t="b">
        <f t="shared" si="23"/>
        <v>1</v>
      </c>
      <c r="AM217" s="95" t="b">
        <f t="shared" si="24"/>
        <v>1</v>
      </c>
    </row>
    <row r="218" spans="4:39" x14ac:dyDescent="0.25">
      <c r="D218" s="8">
        <v>214</v>
      </c>
      <c r="E218" s="48">
        <v>578</v>
      </c>
      <c r="F218" s="10">
        <v>4</v>
      </c>
      <c r="G218" s="10">
        <v>1</v>
      </c>
      <c r="H218" s="5" t="str">
        <f t="shared" si="20"/>
        <v>det_578</v>
      </c>
      <c r="I218" s="5" t="str">
        <f t="shared" si="21"/>
        <v>W:\Performance Measurement\1. Freeway\1. raw data\2010_new\data files\det_578.txt</v>
      </c>
      <c r="J218" s="5" t="str">
        <f t="shared" si="22"/>
        <v>W:\Performance Measurement\1. Freeway\1. raw data\2010_new\data files\det_578.xlsx</v>
      </c>
      <c r="K218" s="5"/>
      <c r="L218" s="47">
        <v>214</v>
      </c>
      <c r="M218" s="39" t="s">
        <v>72</v>
      </c>
      <c r="N218" s="10">
        <v>264</v>
      </c>
      <c r="O218" s="10">
        <v>5</v>
      </c>
      <c r="P218" s="10">
        <v>1</v>
      </c>
      <c r="Q218" s="19">
        <v>1</v>
      </c>
      <c r="R218" s="67" t="s">
        <v>247</v>
      </c>
      <c r="S218" s="19">
        <v>1</v>
      </c>
      <c r="T218" s="83">
        <v>1</v>
      </c>
      <c r="U218" s="23">
        <v>1</v>
      </c>
      <c r="V218" s="71" t="s">
        <v>160</v>
      </c>
      <c r="W218" s="57">
        <v>1</v>
      </c>
      <c r="X218" s="5"/>
      <c r="Y218" s="25">
        <v>534</v>
      </c>
      <c r="Z218" s="25">
        <v>5</v>
      </c>
      <c r="AA218" s="25">
        <v>1</v>
      </c>
      <c r="AB218" s="19">
        <v>1</v>
      </c>
      <c r="AC218" s="39"/>
      <c r="AH218" s="93" t="s">
        <v>72</v>
      </c>
      <c r="AI218" s="89">
        <v>264</v>
      </c>
      <c r="AJ218" s="102">
        <v>5</v>
      </c>
      <c r="AK218" s="101">
        <v>1</v>
      </c>
      <c r="AL218" s="95" t="b">
        <f t="shared" si="23"/>
        <v>1</v>
      </c>
      <c r="AM218" s="95" t="b">
        <f t="shared" si="24"/>
        <v>1</v>
      </c>
    </row>
    <row r="219" spans="4:39" x14ac:dyDescent="0.25">
      <c r="D219" s="8">
        <v>215</v>
      </c>
      <c r="E219" s="48">
        <v>255</v>
      </c>
      <c r="F219" s="10">
        <v>3</v>
      </c>
      <c r="G219" s="29">
        <v>1</v>
      </c>
      <c r="H219" s="5" t="str">
        <f t="shared" si="20"/>
        <v>det_255</v>
      </c>
      <c r="I219" s="5" t="str">
        <f t="shared" si="21"/>
        <v>W:\Performance Measurement\1. Freeway\1. raw data\2010_new\data files\det_255.txt</v>
      </c>
      <c r="J219" s="5" t="str">
        <f t="shared" si="22"/>
        <v>W:\Performance Measurement\1. Freeway\1. raw data\2010_new\data files\det_255.xlsx</v>
      </c>
      <c r="K219" s="5"/>
      <c r="L219" s="47">
        <v>215</v>
      </c>
      <c r="M219" s="39" t="s">
        <v>72</v>
      </c>
      <c r="N219" s="10">
        <v>267</v>
      </c>
      <c r="O219" s="10">
        <v>4</v>
      </c>
      <c r="P219" s="10">
        <v>1</v>
      </c>
      <c r="Q219" s="19">
        <v>1</v>
      </c>
      <c r="R219" s="67" t="s">
        <v>247</v>
      </c>
      <c r="S219" s="19">
        <v>1</v>
      </c>
      <c r="T219" s="83">
        <v>1</v>
      </c>
      <c r="U219" s="23">
        <v>1</v>
      </c>
      <c r="V219" s="58" t="s">
        <v>168</v>
      </c>
      <c r="W219" s="57">
        <v>1</v>
      </c>
      <c r="X219" s="5"/>
      <c r="Y219" s="25">
        <v>535</v>
      </c>
      <c r="Z219" s="25">
        <v>5</v>
      </c>
      <c r="AA219" s="25">
        <v>1</v>
      </c>
      <c r="AB219" s="19">
        <v>1</v>
      </c>
      <c r="AC219" s="39"/>
      <c r="AH219" s="93" t="s">
        <v>72</v>
      </c>
      <c r="AI219" s="89">
        <v>267</v>
      </c>
      <c r="AJ219" s="102">
        <v>4</v>
      </c>
      <c r="AK219" s="101">
        <v>1</v>
      </c>
      <c r="AL219" s="95" t="b">
        <f t="shared" si="23"/>
        <v>1</v>
      </c>
      <c r="AM219" s="95" t="b">
        <f t="shared" si="24"/>
        <v>1</v>
      </c>
    </row>
    <row r="220" spans="4:39" x14ac:dyDescent="0.25">
      <c r="D220" s="8">
        <v>216</v>
      </c>
      <c r="E220" s="10">
        <v>558</v>
      </c>
      <c r="F220" s="10">
        <v>3</v>
      </c>
      <c r="G220" s="10">
        <v>1</v>
      </c>
      <c r="H220" s="5" t="str">
        <f t="shared" si="20"/>
        <v>det_558</v>
      </c>
      <c r="I220" s="5" t="str">
        <f t="shared" si="21"/>
        <v>W:\Performance Measurement\1. Freeway\1. raw data\2010_new\data files\det_558.txt</v>
      </c>
      <c r="J220" s="5" t="str">
        <f t="shared" si="22"/>
        <v>W:\Performance Measurement\1. Freeway\1. raw data\2010_new\data files\det_558.xlsx</v>
      </c>
      <c r="K220" s="5"/>
      <c r="L220" s="47">
        <v>216</v>
      </c>
      <c r="M220" s="39" t="s">
        <v>72</v>
      </c>
      <c r="N220" s="10">
        <v>270</v>
      </c>
      <c r="O220" s="10">
        <v>3</v>
      </c>
      <c r="P220" s="10">
        <v>1</v>
      </c>
      <c r="Q220" s="19">
        <v>1</v>
      </c>
      <c r="R220" s="67" t="s">
        <v>247</v>
      </c>
      <c r="S220" s="19">
        <v>1</v>
      </c>
      <c r="T220" s="83">
        <v>1</v>
      </c>
      <c r="U220" s="19" t="s">
        <v>44</v>
      </c>
      <c r="V220" s="58" t="s">
        <v>160</v>
      </c>
      <c r="W220" s="57">
        <v>1</v>
      </c>
      <c r="X220" s="5"/>
      <c r="Y220" s="25">
        <v>536</v>
      </c>
      <c r="Z220" s="25">
        <v>5</v>
      </c>
      <c r="AA220" s="25">
        <v>1</v>
      </c>
      <c r="AB220" s="19">
        <v>1</v>
      </c>
      <c r="AC220" s="39"/>
      <c r="AH220" s="93" t="s">
        <v>72</v>
      </c>
      <c r="AI220" s="89">
        <v>270</v>
      </c>
      <c r="AJ220" s="102">
        <v>3</v>
      </c>
      <c r="AK220" s="101">
        <v>1</v>
      </c>
      <c r="AL220" s="95" t="b">
        <f t="shared" si="23"/>
        <v>1</v>
      </c>
      <c r="AM220" s="95" t="b">
        <f t="shared" si="24"/>
        <v>1</v>
      </c>
    </row>
    <row r="221" spans="4:39" x14ac:dyDescent="0.25">
      <c r="D221" s="8">
        <v>217</v>
      </c>
      <c r="E221" s="10">
        <v>559</v>
      </c>
      <c r="F221" s="10">
        <v>3</v>
      </c>
      <c r="G221" s="10">
        <v>1</v>
      </c>
      <c r="H221" s="5" t="str">
        <f t="shared" si="20"/>
        <v>det_559</v>
      </c>
      <c r="I221" s="5" t="str">
        <f t="shared" si="21"/>
        <v>W:\Performance Measurement\1. Freeway\1. raw data\2010_new\data files\det_559.txt</v>
      </c>
      <c r="J221" s="5" t="str">
        <f t="shared" si="22"/>
        <v>W:\Performance Measurement\1. Freeway\1. raw data\2010_new\data files\det_559.xlsx</v>
      </c>
      <c r="K221" s="5"/>
      <c r="L221" s="47">
        <v>217</v>
      </c>
      <c r="M221" s="39" t="s">
        <v>72</v>
      </c>
      <c r="N221" s="10">
        <v>271</v>
      </c>
      <c r="O221" s="10">
        <v>3</v>
      </c>
      <c r="P221" s="10">
        <v>0</v>
      </c>
      <c r="Q221" s="19">
        <v>1</v>
      </c>
      <c r="R221" s="67" t="s">
        <v>248</v>
      </c>
      <c r="S221" s="19">
        <v>0</v>
      </c>
      <c r="T221" s="83" t="s">
        <v>226</v>
      </c>
      <c r="U221" s="19">
        <v>1</v>
      </c>
      <c r="V221" s="58" t="s">
        <v>169</v>
      </c>
      <c r="W221" s="57">
        <v>0</v>
      </c>
      <c r="X221" s="5"/>
      <c r="Y221" s="25">
        <v>537</v>
      </c>
      <c r="Z221" s="25">
        <v>5</v>
      </c>
      <c r="AA221" s="25">
        <v>1</v>
      </c>
      <c r="AB221" s="19">
        <v>1</v>
      </c>
      <c r="AC221" s="39"/>
      <c r="AH221" s="93" t="s">
        <v>273</v>
      </c>
      <c r="AI221" s="89">
        <v>271</v>
      </c>
      <c r="AJ221" s="102">
        <v>3</v>
      </c>
      <c r="AK221" s="101">
        <v>0</v>
      </c>
      <c r="AL221" s="95" t="b">
        <f t="shared" si="23"/>
        <v>1</v>
      </c>
      <c r="AM221" s="95" t="b">
        <f t="shared" si="24"/>
        <v>1</v>
      </c>
    </row>
    <row r="222" spans="4:39" x14ac:dyDescent="0.25">
      <c r="D222" s="8">
        <v>218</v>
      </c>
      <c r="E222" s="10">
        <v>560</v>
      </c>
      <c r="F222" s="10">
        <v>3</v>
      </c>
      <c r="G222" s="10">
        <v>1</v>
      </c>
      <c r="H222" s="5" t="str">
        <f t="shared" si="20"/>
        <v>det_560</v>
      </c>
      <c r="I222" s="5" t="str">
        <f t="shared" si="21"/>
        <v>W:\Performance Measurement\1. Freeway\1. raw data\2010_new\data files\det_560.txt</v>
      </c>
      <c r="J222" s="5" t="str">
        <f t="shared" si="22"/>
        <v>W:\Performance Measurement\1. Freeway\1. raw data\2010_new\data files\det_560.xlsx</v>
      </c>
      <c r="K222" s="5"/>
      <c r="L222" s="47">
        <v>217.5</v>
      </c>
      <c r="M222" s="39" t="s">
        <v>72</v>
      </c>
      <c r="N222" s="10">
        <v>255</v>
      </c>
      <c r="O222" s="10">
        <v>3</v>
      </c>
      <c r="P222" s="10">
        <v>1</v>
      </c>
      <c r="Q222" s="24">
        <v>1</v>
      </c>
      <c r="R222" s="90" t="s">
        <v>261</v>
      </c>
      <c r="S222" s="19">
        <v>1</v>
      </c>
      <c r="T222" s="89" t="s">
        <v>263</v>
      </c>
      <c r="U222" s="34" t="s">
        <v>44</v>
      </c>
      <c r="V222" s="58" t="s">
        <v>170</v>
      </c>
      <c r="W222" s="38">
        <v>1</v>
      </c>
      <c r="X222" s="5"/>
      <c r="Y222" s="25">
        <v>538</v>
      </c>
      <c r="Z222" s="25">
        <v>5</v>
      </c>
      <c r="AA222" s="25">
        <v>1</v>
      </c>
      <c r="AB222" s="19">
        <v>1</v>
      </c>
      <c r="AC222" s="39"/>
      <c r="AH222" s="23"/>
      <c r="AI222" s="84"/>
      <c r="AJ222" s="102"/>
      <c r="AK222" s="101"/>
      <c r="AL222" s="95" t="b">
        <f t="shared" si="23"/>
        <v>0</v>
      </c>
      <c r="AM222" s="95" t="b">
        <f t="shared" si="24"/>
        <v>0</v>
      </c>
    </row>
    <row r="223" spans="4:39" x14ac:dyDescent="0.25">
      <c r="D223" s="8">
        <v>219</v>
      </c>
      <c r="E223" s="10">
        <v>561</v>
      </c>
      <c r="F223" s="10">
        <v>4</v>
      </c>
      <c r="G223" s="10">
        <v>1</v>
      </c>
      <c r="H223" s="5" t="str">
        <f t="shared" si="20"/>
        <v>det_561</v>
      </c>
      <c r="I223" s="5" t="str">
        <f t="shared" si="21"/>
        <v>W:\Performance Measurement\1. Freeway\1. raw data\2010_new\data files\det_561.txt</v>
      </c>
      <c r="J223" s="5" t="str">
        <f t="shared" si="22"/>
        <v>W:\Performance Measurement\1. Freeway\1. raw data\2010_new\data files\det_561.xlsx</v>
      </c>
      <c r="K223" s="5"/>
      <c r="L223" s="47">
        <v>218</v>
      </c>
      <c r="M223" s="39" t="s">
        <v>72</v>
      </c>
      <c r="N223" s="10">
        <v>256</v>
      </c>
      <c r="O223" s="10">
        <v>3</v>
      </c>
      <c r="P223" s="10">
        <v>1</v>
      </c>
      <c r="Q223" s="19">
        <v>1</v>
      </c>
      <c r="R223" s="90" t="s">
        <v>262</v>
      </c>
      <c r="S223" s="19">
        <v>1</v>
      </c>
      <c r="T223" s="89" t="s">
        <v>263</v>
      </c>
      <c r="U223" s="19">
        <v>1</v>
      </c>
      <c r="V223" s="58" t="s">
        <v>189</v>
      </c>
      <c r="W223" s="38">
        <v>1</v>
      </c>
      <c r="X223" s="5"/>
      <c r="Y223" s="26">
        <v>539</v>
      </c>
      <c r="Z223" s="25">
        <v>1</v>
      </c>
      <c r="AA223" s="25">
        <v>0</v>
      </c>
      <c r="AB223" s="19">
        <v>1</v>
      </c>
      <c r="AC223" s="39"/>
      <c r="AH223" s="93" t="s">
        <v>72</v>
      </c>
      <c r="AI223" s="89">
        <v>256</v>
      </c>
      <c r="AJ223" s="102">
        <v>3</v>
      </c>
      <c r="AK223" s="101">
        <v>1</v>
      </c>
      <c r="AL223" s="95" t="b">
        <f t="shared" si="23"/>
        <v>1</v>
      </c>
      <c r="AM223" s="95" t="b">
        <f t="shared" si="24"/>
        <v>1</v>
      </c>
    </row>
    <row r="224" spans="4:39" x14ac:dyDescent="0.25">
      <c r="D224" s="8">
        <v>220</v>
      </c>
      <c r="E224" s="10">
        <v>562</v>
      </c>
      <c r="F224" s="10">
        <v>3</v>
      </c>
      <c r="G224" s="10">
        <v>1</v>
      </c>
      <c r="H224" s="5" t="str">
        <f t="shared" si="20"/>
        <v>det_562</v>
      </c>
      <c r="I224" s="5" t="str">
        <f t="shared" si="21"/>
        <v>W:\Performance Measurement\1. Freeway\1. raw data\2010_new\data files\det_562.txt</v>
      </c>
      <c r="J224" s="5" t="str">
        <f t="shared" si="22"/>
        <v>W:\Performance Measurement\1. Freeway\1. raw data\2010_new\data files\det_562.xlsx</v>
      </c>
      <c r="K224" s="5"/>
      <c r="L224" s="47">
        <v>219</v>
      </c>
      <c r="M224" s="39" t="s">
        <v>72</v>
      </c>
      <c r="N224" s="10">
        <v>258</v>
      </c>
      <c r="O224" s="10">
        <v>5</v>
      </c>
      <c r="P224" s="10">
        <v>1</v>
      </c>
      <c r="Q224" s="19">
        <v>1</v>
      </c>
      <c r="R224" s="67" t="s">
        <v>117</v>
      </c>
      <c r="S224" s="19">
        <v>1</v>
      </c>
      <c r="T224" s="83">
        <v>1</v>
      </c>
      <c r="U224" s="19">
        <v>1</v>
      </c>
      <c r="V224" s="71" t="s">
        <v>189</v>
      </c>
      <c r="W224" s="38">
        <v>1</v>
      </c>
      <c r="X224" s="5"/>
      <c r="Y224" s="26">
        <v>540</v>
      </c>
      <c r="Z224" s="25">
        <v>3</v>
      </c>
      <c r="AA224" s="25">
        <v>1</v>
      </c>
      <c r="AB224" s="20">
        <v>1</v>
      </c>
      <c r="AC224" s="39"/>
      <c r="AH224" s="93" t="s">
        <v>72</v>
      </c>
      <c r="AI224" s="89">
        <v>258</v>
      </c>
      <c r="AJ224" s="102">
        <v>5</v>
      </c>
      <c r="AK224" s="101">
        <v>1</v>
      </c>
      <c r="AL224" s="95" t="b">
        <f t="shared" si="23"/>
        <v>1</v>
      </c>
      <c r="AM224" s="95" t="b">
        <f t="shared" si="24"/>
        <v>1</v>
      </c>
    </row>
    <row r="225" spans="4:39" x14ac:dyDescent="0.25">
      <c r="D225" s="8">
        <v>221</v>
      </c>
      <c r="E225" s="10">
        <v>563</v>
      </c>
      <c r="F225" s="10">
        <v>4</v>
      </c>
      <c r="G225" s="10">
        <v>1</v>
      </c>
      <c r="H225" s="5" t="str">
        <f t="shared" si="20"/>
        <v>det_563</v>
      </c>
      <c r="I225" s="5" t="str">
        <f t="shared" si="21"/>
        <v>W:\Performance Measurement\1. Freeway\1. raw data\2010_new\data files\det_563.txt</v>
      </c>
      <c r="J225" s="5" t="str">
        <f t="shared" si="22"/>
        <v>W:\Performance Measurement\1. Freeway\1. raw data\2010_new\data files\det_563.xlsx</v>
      </c>
      <c r="K225" s="5"/>
      <c r="L225" s="47">
        <v>220</v>
      </c>
      <c r="M225" s="39" t="s">
        <v>72</v>
      </c>
      <c r="N225" s="10">
        <v>261</v>
      </c>
      <c r="O225" s="10">
        <v>4</v>
      </c>
      <c r="P225" s="10">
        <v>1</v>
      </c>
      <c r="Q225" s="19">
        <v>1</v>
      </c>
      <c r="R225" s="67" t="s">
        <v>128</v>
      </c>
      <c r="S225" s="19">
        <v>1</v>
      </c>
      <c r="T225" s="83">
        <v>1</v>
      </c>
      <c r="U225" s="23" t="s">
        <v>43</v>
      </c>
      <c r="V225" s="59" t="s">
        <v>189</v>
      </c>
      <c r="W225" s="38">
        <v>1</v>
      </c>
      <c r="X225" s="5"/>
      <c r="Y225" s="26">
        <v>541</v>
      </c>
      <c r="Z225" s="25">
        <v>3</v>
      </c>
      <c r="AA225" s="25">
        <v>1</v>
      </c>
      <c r="AB225" s="20">
        <v>1</v>
      </c>
      <c r="AC225" s="39"/>
      <c r="AH225" s="93" t="s">
        <v>72</v>
      </c>
      <c r="AI225" s="89">
        <v>261</v>
      </c>
      <c r="AJ225" s="102">
        <v>4</v>
      </c>
      <c r="AK225" s="101">
        <v>1</v>
      </c>
      <c r="AL225" s="95" t="b">
        <f t="shared" si="23"/>
        <v>1</v>
      </c>
      <c r="AM225" s="95" t="b">
        <f t="shared" si="24"/>
        <v>1</v>
      </c>
    </row>
    <row r="226" spans="4:39" x14ac:dyDescent="0.25">
      <c r="D226" s="8">
        <v>222</v>
      </c>
      <c r="E226" s="10">
        <v>564</v>
      </c>
      <c r="F226" s="10">
        <v>3</v>
      </c>
      <c r="G226" s="10">
        <v>1</v>
      </c>
      <c r="H226" s="5" t="str">
        <f t="shared" si="20"/>
        <v>det_564</v>
      </c>
      <c r="I226" s="5" t="str">
        <f t="shared" si="21"/>
        <v>W:\Performance Measurement\1. Freeway\1. raw data\2010_new\data files\det_564.txt</v>
      </c>
      <c r="J226" s="5" t="str">
        <f t="shared" si="22"/>
        <v>W:\Performance Measurement\1. Freeway\1. raw data\2010_new\data files\det_564.xlsx</v>
      </c>
      <c r="K226" s="5"/>
      <c r="L226" s="47">
        <v>221</v>
      </c>
      <c r="M226" s="39" t="s">
        <v>72</v>
      </c>
      <c r="N226" s="10">
        <v>263</v>
      </c>
      <c r="O226" s="10">
        <v>4</v>
      </c>
      <c r="P226" s="10">
        <v>1</v>
      </c>
      <c r="Q226" s="19">
        <v>1</v>
      </c>
      <c r="R226" s="67" t="s">
        <v>178</v>
      </c>
      <c r="S226" s="19">
        <v>1</v>
      </c>
      <c r="T226" s="83">
        <v>0</v>
      </c>
      <c r="U226" s="22">
        <v>13</v>
      </c>
      <c r="V226" s="59" t="s">
        <v>189</v>
      </c>
      <c r="W226" s="38">
        <v>1</v>
      </c>
      <c r="X226" s="5"/>
      <c r="Y226" s="26">
        <v>542</v>
      </c>
      <c r="Z226" s="25">
        <v>3</v>
      </c>
      <c r="AA226" s="25">
        <v>1</v>
      </c>
      <c r="AB226" s="20">
        <v>1</v>
      </c>
      <c r="AC226" s="39"/>
      <c r="AH226" s="93" t="s">
        <v>72</v>
      </c>
      <c r="AI226" s="89">
        <v>263</v>
      </c>
      <c r="AJ226" s="102">
        <v>4</v>
      </c>
      <c r="AK226" s="101">
        <v>1</v>
      </c>
      <c r="AL226" s="95" t="b">
        <f t="shared" si="23"/>
        <v>1</v>
      </c>
      <c r="AM226" s="95" t="b">
        <f t="shared" si="24"/>
        <v>1</v>
      </c>
    </row>
    <row r="227" spans="4:39" x14ac:dyDescent="0.25">
      <c r="D227" s="8">
        <v>223</v>
      </c>
      <c r="E227" s="10">
        <v>565</v>
      </c>
      <c r="F227" s="10">
        <v>4</v>
      </c>
      <c r="G227" s="10">
        <v>1</v>
      </c>
      <c r="H227" s="5" t="str">
        <f t="shared" si="20"/>
        <v>det_565</v>
      </c>
      <c r="I227" s="5" t="str">
        <f t="shared" si="21"/>
        <v>W:\Performance Measurement\1. Freeway\1. raw data\2010_new\data files\det_565.txt</v>
      </c>
      <c r="J227" s="5" t="str">
        <f t="shared" si="22"/>
        <v>W:\Performance Measurement\1. Freeway\1. raw data\2010_new\data files\det_565.xlsx</v>
      </c>
      <c r="K227" s="5"/>
      <c r="L227" s="47">
        <v>222</v>
      </c>
      <c r="M227" s="39" t="s">
        <v>72</v>
      </c>
      <c r="N227" s="77">
        <v>507</v>
      </c>
      <c r="O227" s="10">
        <v>3</v>
      </c>
      <c r="P227" s="10">
        <v>1</v>
      </c>
      <c r="Q227" s="19">
        <v>1</v>
      </c>
      <c r="R227" s="8" t="s">
        <v>167</v>
      </c>
      <c r="S227" s="19">
        <v>1</v>
      </c>
      <c r="T227" s="83" t="s">
        <v>226</v>
      </c>
      <c r="U227" s="22">
        <v>1</v>
      </c>
      <c r="V227" s="68"/>
      <c r="W227" s="37">
        <v>1</v>
      </c>
      <c r="X227" s="5"/>
      <c r="Y227" s="26">
        <v>543</v>
      </c>
      <c r="Z227" s="25">
        <v>3</v>
      </c>
      <c r="AA227" s="25">
        <v>1</v>
      </c>
      <c r="AB227" s="19">
        <v>1</v>
      </c>
      <c r="AC227" s="39"/>
      <c r="AH227" s="93" t="s">
        <v>72</v>
      </c>
      <c r="AI227" s="89">
        <v>507</v>
      </c>
      <c r="AJ227" s="102">
        <v>3</v>
      </c>
      <c r="AK227" s="101">
        <v>1</v>
      </c>
      <c r="AL227" s="95" t="b">
        <f t="shared" si="23"/>
        <v>1</v>
      </c>
      <c r="AM227" s="95" t="b">
        <f t="shared" si="24"/>
        <v>1</v>
      </c>
    </row>
    <row r="228" spans="4:39" x14ac:dyDescent="0.25">
      <c r="D228" s="8">
        <v>224</v>
      </c>
      <c r="E228" s="10">
        <v>566</v>
      </c>
      <c r="F228" s="10">
        <v>3</v>
      </c>
      <c r="G228" s="10">
        <v>1</v>
      </c>
      <c r="H228" s="5" t="str">
        <f t="shared" si="20"/>
        <v>det_566</v>
      </c>
      <c r="I228" s="5" t="str">
        <f t="shared" si="21"/>
        <v>W:\Performance Measurement\1. Freeway\1. raw data\2010_new\data files\det_566.txt</v>
      </c>
      <c r="J228" s="5" t="str">
        <f t="shared" si="22"/>
        <v>W:\Performance Measurement\1. Freeway\1. raw data\2010_new\data files\det_566.xlsx</v>
      </c>
      <c r="K228" s="5"/>
      <c r="L228" s="47">
        <v>223</v>
      </c>
      <c r="M228" s="40" t="s">
        <v>73</v>
      </c>
      <c r="N228" s="18">
        <v>549</v>
      </c>
      <c r="O228" s="10">
        <v>4</v>
      </c>
      <c r="P228" s="10">
        <v>1</v>
      </c>
      <c r="Q228" s="21">
        <v>1</v>
      </c>
      <c r="R228" s="67" t="s">
        <v>117</v>
      </c>
      <c r="S228" s="19">
        <v>1</v>
      </c>
      <c r="T228" s="19">
        <v>1</v>
      </c>
      <c r="U228" s="22">
        <v>1</v>
      </c>
      <c r="V228" s="68"/>
      <c r="W228" s="37">
        <v>1</v>
      </c>
      <c r="X228" s="5"/>
      <c r="Y228" s="26">
        <v>544</v>
      </c>
      <c r="Z228" s="25">
        <v>3</v>
      </c>
      <c r="AA228" s="25">
        <v>1</v>
      </c>
      <c r="AB228" s="20">
        <v>1</v>
      </c>
      <c r="AC228" s="39"/>
      <c r="AH228" s="91" t="s">
        <v>73</v>
      </c>
      <c r="AI228" s="100">
        <v>549</v>
      </c>
      <c r="AJ228" s="102">
        <v>4</v>
      </c>
      <c r="AK228" s="101">
        <v>1</v>
      </c>
      <c r="AL228" s="95" t="b">
        <f t="shared" si="23"/>
        <v>1</v>
      </c>
      <c r="AM228" s="95" t="b">
        <f t="shared" si="24"/>
        <v>1</v>
      </c>
    </row>
    <row r="229" spans="4:39" x14ac:dyDescent="0.25">
      <c r="D229" s="8">
        <v>225</v>
      </c>
      <c r="E229" s="10">
        <v>567</v>
      </c>
      <c r="F229" s="10">
        <v>4</v>
      </c>
      <c r="G229" s="10">
        <v>1</v>
      </c>
      <c r="H229" s="5" t="str">
        <f t="shared" si="20"/>
        <v>det_567</v>
      </c>
      <c r="I229" s="5" t="str">
        <f t="shared" si="21"/>
        <v>W:\Performance Measurement\1. Freeway\1. raw data\2010_new\data files\det_567.txt</v>
      </c>
      <c r="J229" s="5" t="str">
        <f t="shared" si="22"/>
        <v>W:\Performance Measurement\1. Freeway\1. raw data\2010_new\data files\det_567.xlsx</v>
      </c>
      <c r="K229" s="5"/>
      <c r="L229" s="47">
        <v>224</v>
      </c>
      <c r="M229" s="40" t="s">
        <v>74</v>
      </c>
      <c r="N229" s="10">
        <v>550</v>
      </c>
      <c r="O229" s="10">
        <v>3</v>
      </c>
      <c r="P229" s="10">
        <v>1</v>
      </c>
      <c r="Q229" s="21">
        <v>1</v>
      </c>
      <c r="R229" s="67" t="s">
        <v>117</v>
      </c>
      <c r="S229" s="19">
        <v>1</v>
      </c>
      <c r="T229" s="19">
        <v>1</v>
      </c>
      <c r="U229" s="22">
        <v>1</v>
      </c>
      <c r="V229" s="52"/>
      <c r="W229" s="37">
        <v>1</v>
      </c>
      <c r="X229" s="5"/>
      <c r="Y229" s="26">
        <v>545</v>
      </c>
      <c r="Z229" s="25">
        <v>3</v>
      </c>
      <c r="AA229" s="25">
        <v>1</v>
      </c>
      <c r="AB229" s="20">
        <v>1</v>
      </c>
      <c r="AC229" s="39"/>
      <c r="AH229" s="91" t="s">
        <v>74</v>
      </c>
      <c r="AI229" s="94">
        <v>550</v>
      </c>
      <c r="AJ229" s="102">
        <v>3</v>
      </c>
      <c r="AK229" s="101">
        <v>1</v>
      </c>
      <c r="AL229" s="95" t="b">
        <f t="shared" si="23"/>
        <v>1</v>
      </c>
      <c r="AM229" s="95" t="b">
        <f t="shared" si="24"/>
        <v>1</v>
      </c>
    </row>
    <row r="230" spans="4:39" x14ac:dyDescent="0.25">
      <c r="D230" s="8">
        <v>226</v>
      </c>
      <c r="E230" s="10">
        <v>568</v>
      </c>
      <c r="F230" s="10">
        <v>3</v>
      </c>
      <c r="G230" s="10">
        <v>1</v>
      </c>
      <c r="H230" s="5" t="str">
        <f t="shared" si="20"/>
        <v>det_568</v>
      </c>
      <c r="I230" s="5" t="str">
        <f t="shared" si="21"/>
        <v>W:\Performance Measurement\1. Freeway\1. raw data\2010_new\data files\det_568.txt</v>
      </c>
      <c r="J230" s="5" t="str">
        <f t="shared" si="22"/>
        <v>W:\Performance Measurement\1. Freeway\1. raw data\2010_new\data files\det_568.xlsx</v>
      </c>
      <c r="K230" s="5"/>
      <c r="L230" s="47">
        <v>225</v>
      </c>
      <c r="M230" s="40" t="s">
        <v>73</v>
      </c>
      <c r="N230" s="10">
        <v>551</v>
      </c>
      <c r="O230" s="10">
        <v>3</v>
      </c>
      <c r="P230" s="10">
        <v>1</v>
      </c>
      <c r="Q230" s="21">
        <v>1</v>
      </c>
      <c r="R230" s="67" t="s">
        <v>117</v>
      </c>
      <c r="S230" s="19">
        <v>1</v>
      </c>
      <c r="T230" s="19">
        <v>1</v>
      </c>
      <c r="U230" s="22">
        <v>1</v>
      </c>
      <c r="V230" s="52"/>
      <c r="W230" s="37">
        <v>1</v>
      </c>
      <c r="X230" s="5"/>
      <c r="Y230" s="26">
        <v>546</v>
      </c>
      <c r="Z230" s="25">
        <v>3</v>
      </c>
      <c r="AA230" s="25">
        <v>1</v>
      </c>
      <c r="AB230" s="20">
        <v>1</v>
      </c>
      <c r="AC230" s="39"/>
      <c r="AH230" s="91" t="s">
        <v>73</v>
      </c>
      <c r="AI230" s="94">
        <v>551</v>
      </c>
      <c r="AJ230" s="102">
        <v>3</v>
      </c>
      <c r="AK230" s="101">
        <v>1</v>
      </c>
      <c r="AL230" s="95" t="b">
        <f t="shared" si="23"/>
        <v>1</v>
      </c>
      <c r="AM230" s="95" t="b">
        <f t="shared" si="24"/>
        <v>1</v>
      </c>
    </row>
    <row r="231" spans="4:39" x14ac:dyDescent="0.25">
      <c r="D231" s="8">
        <v>227</v>
      </c>
      <c r="E231" s="10">
        <v>569</v>
      </c>
      <c r="F231" s="10">
        <v>3</v>
      </c>
      <c r="G231" s="10">
        <v>1</v>
      </c>
      <c r="H231" s="5" t="str">
        <f t="shared" si="20"/>
        <v>det_569</v>
      </c>
      <c r="I231" s="5" t="str">
        <f t="shared" si="21"/>
        <v>W:\Performance Measurement\1. Freeway\1. raw data\2010_new\data files\det_569.txt</v>
      </c>
      <c r="J231" s="5" t="str">
        <f t="shared" si="22"/>
        <v>W:\Performance Measurement\1. Freeway\1. raw data\2010_new\data files\det_569.xlsx</v>
      </c>
      <c r="K231" s="5"/>
      <c r="L231" s="47">
        <v>226</v>
      </c>
      <c r="M231" s="40" t="s">
        <v>74</v>
      </c>
      <c r="N231" s="10">
        <v>552</v>
      </c>
      <c r="O231" s="10">
        <v>3</v>
      </c>
      <c r="P231" s="10">
        <v>1</v>
      </c>
      <c r="Q231" s="21">
        <v>1</v>
      </c>
      <c r="R231" s="67" t="s">
        <v>117</v>
      </c>
      <c r="S231" s="19">
        <v>1</v>
      </c>
      <c r="T231" s="19">
        <v>1</v>
      </c>
      <c r="U231" s="22">
        <v>1</v>
      </c>
      <c r="V231" s="52"/>
      <c r="W231" s="37">
        <v>1</v>
      </c>
      <c r="X231" s="5"/>
      <c r="Y231" s="26">
        <v>547</v>
      </c>
      <c r="Z231" s="25">
        <v>3</v>
      </c>
      <c r="AA231" s="25">
        <v>1</v>
      </c>
      <c r="AB231" s="24">
        <v>1</v>
      </c>
      <c r="AC231" s="39"/>
      <c r="AH231" s="91" t="s">
        <v>74</v>
      </c>
      <c r="AI231" s="94">
        <v>552</v>
      </c>
      <c r="AJ231" s="102">
        <v>3</v>
      </c>
      <c r="AK231" s="101">
        <v>1</v>
      </c>
      <c r="AL231" s="95" t="b">
        <f t="shared" si="23"/>
        <v>1</v>
      </c>
      <c r="AM231" s="95" t="b">
        <f t="shared" si="24"/>
        <v>1</v>
      </c>
    </row>
    <row r="232" spans="4:39" x14ac:dyDescent="0.25">
      <c r="D232" s="8">
        <v>228</v>
      </c>
      <c r="E232" s="18">
        <v>586</v>
      </c>
      <c r="F232" s="10">
        <v>2</v>
      </c>
      <c r="G232" s="10">
        <v>0</v>
      </c>
      <c r="H232" s="5" t="str">
        <f t="shared" si="20"/>
        <v>det_586</v>
      </c>
      <c r="I232" s="5" t="str">
        <f t="shared" si="21"/>
        <v>W:\Performance Measurement\1. Freeway\1. raw data\2010_new\data files\det_586.txt</v>
      </c>
      <c r="J232" s="5" t="str">
        <f t="shared" si="22"/>
        <v>W:\Performance Measurement\1. Freeway\1. raw data\2010_new\data files\det_586.xlsx</v>
      </c>
      <c r="K232" s="5"/>
      <c r="L232" s="47">
        <v>227</v>
      </c>
      <c r="M232" s="40" t="s">
        <v>73</v>
      </c>
      <c r="N232" s="10">
        <v>553</v>
      </c>
      <c r="O232" s="10">
        <v>3</v>
      </c>
      <c r="P232" s="10">
        <v>1</v>
      </c>
      <c r="Q232" s="21">
        <v>1</v>
      </c>
      <c r="R232" s="67" t="s">
        <v>117</v>
      </c>
      <c r="S232" s="19">
        <v>1</v>
      </c>
      <c r="T232" s="19">
        <v>1</v>
      </c>
      <c r="U232" s="22">
        <v>1</v>
      </c>
      <c r="V232" s="52"/>
      <c r="W232" s="37">
        <v>1</v>
      </c>
      <c r="X232" s="5"/>
      <c r="Y232" s="26">
        <v>548</v>
      </c>
      <c r="Z232" s="25">
        <v>1</v>
      </c>
      <c r="AA232" s="25">
        <v>0</v>
      </c>
      <c r="AB232" s="23">
        <v>12</v>
      </c>
      <c r="AC232" s="39"/>
      <c r="AH232" s="91" t="s">
        <v>73</v>
      </c>
      <c r="AI232" s="94">
        <v>553</v>
      </c>
      <c r="AJ232" s="102">
        <v>3</v>
      </c>
      <c r="AK232" s="101">
        <v>1</v>
      </c>
      <c r="AL232" s="95" t="b">
        <f t="shared" si="23"/>
        <v>1</v>
      </c>
      <c r="AM232" s="95" t="b">
        <f t="shared" si="24"/>
        <v>1</v>
      </c>
    </row>
    <row r="233" spans="4:39" x14ac:dyDescent="0.25">
      <c r="D233" s="8">
        <v>229</v>
      </c>
      <c r="E233" s="10">
        <v>587</v>
      </c>
      <c r="F233" s="10">
        <v>3</v>
      </c>
      <c r="G233" s="10">
        <v>0</v>
      </c>
      <c r="H233" s="5" t="str">
        <f t="shared" si="20"/>
        <v>det_587</v>
      </c>
      <c r="I233" s="5" t="str">
        <f t="shared" si="21"/>
        <v>W:\Performance Measurement\1. Freeway\1. raw data\2010_new\data files\det_587.txt</v>
      </c>
      <c r="J233" s="5" t="str">
        <f t="shared" si="22"/>
        <v>W:\Performance Measurement\1. Freeway\1. raw data\2010_new\data files\det_587.xlsx</v>
      </c>
      <c r="K233" s="5"/>
      <c r="L233" s="47">
        <v>228</v>
      </c>
      <c r="M233" s="40" t="s">
        <v>74</v>
      </c>
      <c r="N233" s="10">
        <v>554</v>
      </c>
      <c r="O233" s="10">
        <v>3</v>
      </c>
      <c r="P233" s="10">
        <v>1</v>
      </c>
      <c r="Q233" s="21">
        <v>1</v>
      </c>
      <c r="R233" s="67" t="s">
        <v>117</v>
      </c>
      <c r="S233" s="19">
        <v>1</v>
      </c>
      <c r="T233" s="19">
        <v>1</v>
      </c>
      <c r="U233" s="22">
        <v>1</v>
      </c>
      <c r="V233" s="71" t="s">
        <v>160</v>
      </c>
      <c r="W233" s="37">
        <v>1</v>
      </c>
      <c r="X233" s="5"/>
      <c r="Y233" s="27">
        <v>549</v>
      </c>
      <c r="Z233" s="25">
        <v>4</v>
      </c>
      <c r="AA233" s="25">
        <v>1</v>
      </c>
      <c r="AB233" s="22">
        <v>1</v>
      </c>
      <c r="AC233" s="39"/>
      <c r="AH233" s="91" t="s">
        <v>74</v>
      </c>
      <c r="AI233" s="94">
        <v>554</v>
      </c>
      <c r="AJ233" s="102">
        <v>3</v>
      </c>
      <c r="AK233" s="101">
        <v>1</v>
      </c>
      <c r="AL233" s="95" t="b">
        <f t="shared" si="23"/>
        <v>1</v>
      </c>
      <c r="AM233" s="95" t="b">
        <f t="shared" si="24"/>
        <v>1</v>
      </c>
    </row>
    <row r="234" spans="4:39" x14ac:dyDescent="0.25">
      <c r="D234" s="8">
        <v>230</v>
      </c>
      <c r="E234" s="10">
        <v>588</v>
      </c>
      <c r="F234" s="10">
        <v>3</v>
      </c>
      <c r="G234" s="10">
        <v>0</v>
      </c>
      <c r="H234" s="5" t="str">
        <f t="shared" si="20"/>
        <v>det_588</v>
      </c>
      <c r="I234" s="5" t="str">
        <f t="shared" si="21"/>
        <v>W:\Performance Measurement\1. Freeway\1. raw data\2010_new\data files\det_588.txt</v>
      </c>
      <c r="J234" s="5" t="str">
        <f t="shared" si="22"/>
        <v>W:\Performance Measurement\1. Freeway\1. raw data\2010_new\data files\det_588.xlsx</v>
      </c>
      <c r="K234" s="5"/>
      <c r="L234" s="47">
        <v>229</v>
      </c>
      <c r="M234" s="40" t="s">
        <v>73</v>
      </c>
      <c r="N234" s="10">
        <v>555</v>
      </c>
      <c r="O234" s="10">
        <v>3</v>
      </c>
      <c r="P234" s="10">
        <v>1</v>
      </c>
      <c r="Q234" s="21">
        <v>1</v>
      </c>
      <c r="R234" s="67" t="s">
        <v>128</v>
      </c>
      <c r="S234" s="19">
        <v>1</v>
      </c>
      <c r="T234" s="19">
        <v>1</v>
      </c>
      <c r="U234" s="22">
        <v>1</v>
      </c>
      <c r="V234" s="52"/>
      <c r="W234" s="37">
        <v>1</v>
      </c>
      <c r="X234" s="5"/>
      <c r="Y234" s="25">
        <v>550</v>
      </c>
      <c r="Z234" s="25">
        <v>3</v>
      </c>
      <c r="AA234" s="25">
        <v>1</v>
      </c>
      <c r="AB234" s="22">
        <v>1</v>
      </c>
      <c r="AC234" s="39"/>
      <c r="AH234" s="91" t="s">
        <v>73</v>
      </c>
      <c r="AI234" s="94">
        <v>555</v>
      </c>
      <c r="AJ234" s="102">
        <v>3</v>
      </c>
      <c r="AK234" s="101">
        <v>1</v>
      </c>
      <c r="AL234" s="95" t="b">
        <f t="shared" si="23"/>
        <v>1</v>
      </c>
      <c r="AM234" s="95" t="b">
        <f t="shared" si="24"/>
        <v>1</v>
      </c>
    </row>
    <row r="235" spans="4:39" x14ac:dyDescent="0.25">
      <c r="D235" s="8">
        <v>231</v>
      </c>
      <c r="E235" s="18">
        <v>579</v>
      </c>
      <c r="F235" s="10">
        <v>3</v>
      </c>
      <c r="G235" s="10">
        <v>0</v>
      </c>
      <c r="H235" s="5" t="str">
        <f t="shared" si="20"/>
        <v>det_579</v>
      </c>
      <c r="I235" s="5" t="str">
        <f t="shared" si="21"/>
        <v>W:\Performance Measurement\1. Freeway\1. raw data\2010_new\data files\det_579.txt</v>
      </c>
      <c r="J235" s="5" t="str">
        <f t="shared" si="22"/>
        <v>W:\Performance Measurement\1. Freeway\1. raw data\2010_new\data files\det_579.xlsx</v>
      </c>
      <c r="K235" s="5"/>
      <c r="L235" s="47">
        <v>230</v>
      </c>
      <c r="M235" s="40" t="s">
        <v>74</v>
      </c>
      <c r="N235" s="10">
        <v>556</v>
      </c>
      <c r="O235" s="10">
        <v>3</v>
      </c>
      <c r="P235" s="10">
        <v>1</v>
      </c>
      <c r="Q235" s="22">
        <v>1</v>
      </c>
      <c r="R235" s="67" t="s">
        <v>117</v>
      </c>
      <c r="S235" s="19">
        <v>1</v>
      </c>
      <c r="T235" s="19">
        <v>1</v>
      </c>
      <c r="U235" s="22">
        <v>1</v>
      </c>
      <c r="V235" s="52"/>
      <c r="W235" s="37">
        <v>1</v>
      </c>
      <c r="X235" s="5"/>
      <c r="Y235" s="25">
        <v>551</v>
      </c>
      <c r="Z235" s="25">
        <v>3</v>
      </c>
      <c r="AA235" s="25">
        <v>1</v>
      </c>
      <c r="AB235" s="22">
        <v>1</v>
      </c>
      <c r="AC235" s="39"/>
      <c r="AH235" s="22" t="s">
        <v>74</v>
      </c>
      <c r="AI235" s="97">
        <v>556</v>
      </c>
      <c r="AJ235" s="102">
        <v>3</v>
      </c>
      <c r="AK235" s="101">
        <v>1</v>
      </c>
      <c r="AL235" s="95" t="b">
        <f t="shared" si="23"/>
        <v>1</v>
      </c>
      <c r="AM235" s="95" t="b">
        <f t="shared" si="24"/>
        <v>1</v>
      </c>
    </row>
    <row r="236" spans="4:39" x14ac:dyDescent="0.25">
      <c r="D236" s="8">
        <v>232</v>
      </c>
      <c r="E236" s="10">
        <v>580</v>
      </c>
      <c r="F236" s="10">
        <v>3</v>
      </c>
      <c r="G236" s="10">
        <v>0</v>
      </c>
      <c r="H236" s="5" t="str">
        <f t="shared" si="20"/>
        <v>det_580</v>
      </c>
      <c r="I236" s="5" t="str">
        <f t="shared" si="21"/>
        <v>W:\Performance Measurement\1. Freeway\1. raw data\2010_new\data files\det_580.txt</v>
      </c>
      <c r="J236" s="5" t="str">
        <f t="shared" si="22"/>
        <v>W:\Performance Measurement\1. Freeway\1. raw data\2010_new\data files\det_580.xlsx</v>
      </c>
      <c r="K236" s="5"/>
      <c r="L236" s="47">
        <v>231</v>
      </c>
      <c r="M236" s="40" t="s">
        <v>73</v>
      </c>
      <c r="N236" s="10">
        <v>557</v>
      </c>
      <c r="O236" s="10">
        <v>3</v>
      </c>
      <c r="P236" s="10">
        <v>1</v>
      </c>
      <c r="Q236" s="22">
        <v>1</v>
      </c>
      <c r="R236" s="67" t="s">
        <v>117</v>
      </c>
      <c r="S236" s="19">
        <v>1</v>
      </c>
      <c r="T236" s="19">
        <v>1</v>
      </c>
      <c r="U236" s="22">
        <v>1</v>
      </c>
      <c r="V236" s="70"/>
      <c r="W236" s="37">
        <v>1</v>
      </c>
      <c r="X236" s="5"/>
      <c r="Y236" s="25">
        <v>552</v>
      </c>
      <c r="Z236" s="25">
        <v>3</v>
      </c>
      <c r="AA236" s="25">
        <v>1</v>
      </c>
      <c r="AB236" s="22">
        <v>1</v>
      </c>
      <c r="AC236" s="40"/>
      <c r="AH236" s="22" t="s">
        <v>73</v>
      </c>
      <c r="AI236" s="97">
        <v>557</v>
      </c>
      <c r="AJ236" s="102">
        <v>3</v>
      </c>
      <c r="AK236" s="101">
        <v>1</v>
      </c>
      <c r="AL236" s="95" t="b">
        <f t="shared" si="23"/>
        <v>1</v>
      </c>
      <c r="AM236" s="95" t="b">
        <f t="shared" si="24"/>
        <v>1</v>
      </c>
    </row>
    <row r="237" spans="4:39" x14ac:dyDescent="0.25">
      <c r="D237" s="8">
        <v>233</v>
      </c>
      <c r="E237" s="10">
        <v>581</v>
      </c>
      <c r="F237" s="10">
        <v>3</v>
      </c>
      <c r="G237" s="10">
        <v>0</v>
      </c>
      <c r="H237" s="5" t="str">
        <f t="shared" si="20"/>
        <v>det_581</v>
      </c>
      <c r="I237" s="5" t="str">
        <f t="shared" si="21"/>
        <v>W:\Performance Measurement\1. Freeway\1. raw data\2010_new\data files\det_581.txt</v>
      </c>
      <c r="J237" s="5" t="str">
        <f t="shared" si="22"/>
        <v>W:\Performance Measurement\1. Freeway\1. raw data\2010_new\data files\det_581.xlsx</v>
      </c>
      <c r="K237" s="5"/>
      <c r="L237" s="47">
        <v>232</v>
      </c>
      <c r="M237" s="40" t="s">
        <v>74</v>
      </c>
      <c r="N237" s="10">
        <v>570</v>
      </c>
      <c r="O237" s="10">
        <v>3</v>
      </c>
      <c r="P237" s="10">
        <v>1</v>
      </c>
      <c r="Q237" s="22">
        <v>1</v>
      </c>
      <c r="R237" s="67" t="s">
        <v>117</v>
      </c>
      <c r="S237" s="19">
        <v>1</v>
      </c>
      <c r="T237" s="19">
        <v>1</v>
      </c>
      <c r="U237" s="22">
        <v>1</v>
      </c>
      <c r="V237" s="58" t="s">
        <v>118</v>
      </c>
      <c r="W237" s="37">
        <v>1</v>
      </c>
      <c r="X237" s="5"/>
      <c r="Y237" s="25">
        <v>553</v>
      </c>
      <c r="Z237" s="25">
        <v>3</v>
      </c>
      <c r="AA237" s="25">
        <v>1</v>
      </c>
      <c r="AB237" s="22">
        <v>1</v>
      </c>
      <c r="AC237" s="40"/>
      <c r="AH237" s="22" t="s">
        <v>74</v>
      </c>
      <c r="AI237" s="97">
        <v>570</v>
      </c>
      <c r="AJ237" s="102">
        <v>3</v>
      </c>
      <c r="AK237" s="101">
        <v>1</v>
      </c>
      <c r="AL237" s="95" t="b">
        <f t="shared" si="23"/>
        <v>1</v>
      </c>
      <c r="AM237" s="95" t="b">
        <f t="shared" si="24"/>
        <v>1</v>
      </c>
    </row>
    <row r="238" spans="4:39" x14ac:dyDescent="0.25">
      <c r="D238" s="8">
        <v>234</v>
      </c>
      <c r="E238" s="10">
        <v>582</v>
      </c>
      <c r="F238" s="10">
        <v>3</v>
      </c>
      <c r="G238" s="10">
        <v>0</v>
      </c>
      <c r="H238" s="5" t="str">
        <f t="shared" si="20"/>
        <v>det_582</v>
      </c>
      <c r="I238" s="5" t="str">
        <f t="shared" si="21"/>
        <v>W:\Performance Measurement\1. Freeway\1. raw data\2010_new\data files\det_582.txt</v>
      </c>
      <c r="J238" s="5" t="str">
        <f t="shared" si="22"/>
        <v>W:\Performance Measurement\1. Freeway\1. raw data\2010_new\data files\det_582.xlsx</v>
      </c>
      <c r="K238" s="5"/>
      <c r="L238" s="47">
        <v>233</v>
      </c>
      <c r="M238" s="40" t="s">
        <v>74</v>
      </c>
      <c r="N238" s="10">
        <v>571</v>
      </c>
      <c r="O238" s="10">
        <v>3</v>
      </c>
      <c r="P238" s="10">
        <v>1</v>
      </c>
      <c r="Q238" s="22">
        <v>1</v>
      </c>
      <c r="R238" s="67" t="s">
        <v>117</v>
      </c>
      <c r="S238" s="19">
        <v>1</v>
      </c>
      <c r="T238" s="19">
        <v>1</v>
      </c>
      <c r="U238" s="22">
        <v>1</v>
      </c>
      <c r="V238" s="70"/>
      <c r="W238" s="37">
        <v>1</v>
      </c>
      <c r="X238" s="5"/>
      <c r="Y238" s="25">
        <v>554</v>
      </c>
      <c r="Z238" s="25">
        <v>3</v>
      </c>
      <c r="AA238" s="25">
        <v>1</v>
      </c>
      <c r="AB238" s="22">
        <v>1</v>
      </c>
      <c r="AC238" s="40"/>
      <c r="AH238" s="22" t="s">
        <v>74</v>
      </c>
      <c r="AI238" s="97">
        <v>571</v>
      </c>
      <c r="AJ238" s="102">
        <v>3</v>
      </c>
      <c r="AK238" s="101">
        <v>1</v>
      </c>
      <c r="AL238" s="95" t="b">
        <f t="shared" si="23"/>
        <v>1</v>
      </c>
      <c r="AM238" s="95" t="b">
        <f t="shared" si="24"/>
        <v>1</v>
      </c>
    </row>
    <row r="239" spans="4:39" x14ac:dyDescent="0.25">
      <c r="D239" s="8">
        <v>235</v>
      </c>
      <c r="E239" s="10">
        <v>583</v>
      </c>
      <c r="F239" s="10">
        <v>3</v>
      </c>
      <c r="G239" s="10">
        <v>0</v>
      </c>
      <c r="H239" s="5" t="str">
        <f t="shared" si="20"/>
        <v>det_583</v>
      </c>
      <c r="I239" s="5" t="str">
        <f t="shared" si="21"/>
        <v>W:\Performance Measurement\1. Freeway\1. raw data\2010_new\data files\det_583.txt</v>
      </c>
      <c r="J239" s="5" t="str">
        <f t="shared" si="22"/>
        <v>W:\Performance Measurement\1. Freeway\1. raw data\2010_new\data files\det_583.xlsx</v>
      </c>
      <c r="K239" s="5"/>
      <c r="L239" s="47">
        <v>234</v>
      </c>
      <c r="M239" s="40" t="s">
        <v>74</v>
      </c>
      <c r="N239" s="10">
        <v>572</v>
      </c>
      <c r="O239" s="10">
        <v>3</v>
      </c>
      <c r="P239" s="10">
        <v>1</v>
      </c>
      <c r="Q239" s="22">
        <v>1</v>
      </c>
      <c r="R239" s="67" t="s">
        <v>249</v>
      </c>
      <c r="S239" s="19">
        <v>1</v>
      </c>
      <c r="T239" s="19" t="s">
        <v>42</v>
      </c>
      <c r="U239" s="22">
        <v>1</v>
      </c>
      <c r="V239" s="70"/>
      <c r="W239" s="37">
        <v>1</v>
      </c>
      <c r="X239" s="5"/>
      <c r="Y239" s="25">
        <v>555</v>
      </c>
      <c r="Z239" s="25">
        <v>3</v>
      </c>
      <c r="AA239" s="25">
        <v>1</v>
      </c>
      <c r="AB239" s="22">
        <v>1</v>
      </c>
      <c r="AC239" s="40"/>
      <c r="AH239" s="22" t="s">
        <v>74</v>
      </c>
      <c r="AI239" s="97">
        <v>572</v>
      </c>
      <c r="AJ239" s="102">
        <v>3</v>
      </c>
      <c r="AK239" s="101">
        <v>1</v>
      </c>
      <c r="AL239" s="95" t="b">
        <f t="shared" si="23"/>
        <v>1</v>
      </c>
      <c r="AM239" s="95" t="b">
        <f t="shared" si="24"/>
        <v>1</v>
      </c>
    </row>
    <row r="240" spans="4:39" x14ac:dyDescent="0.25">
      <c r="D240" s="8">
        <v>236</v>
      </c>
      <c r="E240" s="10">
        <v>584</v>
      </c>
      <c r="F240" s="10">
        <v>3</v>
      </c>
      <c r="G240" s="10">
        <v>0</v>
      </c>
      <c r="H240" s="5" t="str">
        <f t="shared" si="20"/>
        <v>det_584</v>
      </c>
      <c r="I240" s="5" t="str">
        <f t="shared" si="21"/>
        <v>W:\Performance Measurement\1. Freeway\1. raw data\2010_new\data files\det_584.txt</v>
      </c>
      <c r="J240" s="5" t="str">
        <f t="shared" si="22"/>
        <v>W:\Performance Measurement\1. Freeway\1. raw data\2010_new\data files\det_584.xlsx</v>
      </c>
      <c r="K240" s="5"/>
      <c r="L240" s="47">
        <v>235</v>
      </c>
      <c r="M240" s="40" t="s">
        <v>74</v>
      </c>
      <c r="N240" s="10">
        <v>573</v>
      </c>
      <c r="O240" s="10">
        <v>3</v>
      </c>
      <c r="P240" s="10">
        <v>1</v>
      </c>
      <c r="Q240" s="22">
        <v>1</v>
      </c>
      <c r="R240" s="67" t="s">
        <v>247</v>
      </c>
      <c r="S240" s="19">
        <v>1</v>
      </c>
      <c r="T240" s="19">
        <v>1</v>
      </c>
      <c r="U240" s="22">
        <v>1</v>
      </c>
      <c r="V240" s="70"/>
      <c r="W240" s="37">
        <v>1</v>
      </c>
      <c r="X240" s="5"/>
      <c r="Y240" s="25">
        <v>556</v>
      </c>
      <c r="Z240" s="25">
        <v>3</v>
      </c>
      <c r="AA240" s="25">
        <v>1</v>
      </c>
      <c r="AB240" s="22">
        <v>1</v>
      </c>
      <c r="AC240" s="40"/>
      <c r="AH240" s="22" t="s">
        <v>74</v>
      </c>
      <c r="AI240" s="97">
        <v>573</v>
      </c>
      <c r="AJ240" s="102">
        <v>3</v>
      </c>
      <c r="AK240" s="101">
        <v>1</v>
      </c>
      <c r="AL240" s="95" t="b">
        <f t="shared" si="23"/>
        <v>1</v>
      </c>
      <c r="AM240" s="95" t="b">
        <f t="shared" si="24"/>
        <v>1</v>
      </c>
    </row>
    <row r="241" spans="4:39" x14ac:dyDescent="0.25">
      <c r="D241" s="8">
        <v>237</v>
      </c>
      <c r="E241" s="10">
        <v>585</v>
      </c>
      <c r="F241" s="10">
        <v>2</v>
      </c>
      <c r="G241" s="10">
        <v>0</v>
      </c>
      <c r="H241" s="5" t="str">
        <f t="shared" si="20"/>
        <v>det_585</v>
      </c>
      <c r="I241" s="5" t="str">
        <f t="shared" si="21"/>
        <v>W:\Performance Measurement\1. Freeway\1. raw data\2010_new\data files\det_585.txt</v>
      </c>
      <c r="J241" s="5" t="str">
        <f t="shared" si="22"/>
        <v>W:\Performance Measurement\1. Freeway\1. raw data\2010_new\data files\det_585.xlsx</v>
      </c>
      <c r="K241" s="5"/>
      <c r="L241" s="47">
        <v>236</v>
      </c>
      <c r="M241" s="40" t="s">
        <v>74</v>
      </c>
      <c r="N241" s="10">
        <v>574</v>
      </c>
      <c r="O241" s="10">
        <v>3</v>
      </c>
      <c r="P241" s="10">
        <v>1</v>
      </c>
      <c r="Q241" s="22">
        <v>1</v>
      </c>
      <c r="R241" s="67" t="s">
        <v>247</v>
      </c>
      <c r="S241" s="19">
        <v>1</v>
      </c>
      <c r="T241" s="19">
        <v>1</v>
      </c>
      <c r="U241" s="22">
        <v>1</v>
      </c>
      <c r="V241" s="58" t="s">
        <v>171</v>
      </c>
      <c r="W241" s="37">
        <v>1</v>
      </c>
      <c r="X241" s="5"/>
      <c r="Y241" s="25">
        <v>557</v>
      </c>
      <c r="Z241" s="25">
        <v>3</v>
      </c>
      <c r="AA241" s="25">
        <v>1</v>
      </c>
      <c r="AB241" s="22">
        <v>1</v>
      </c>
      <c r="AC241" s="40"/>
      <c r="AH241" s="22" t="s">
        <v>74</v>
      </c>
      <c r="AI241" s="97">
        <v>574</v>
      </c>
      <c r="AJ241" s="102">
        <v>3</v>
      </c>
      <c r="AK241" s="101">
        <v>1</v>
      </c>
      <c r="AL241" s="95" t="b">
        <f t="shared" si="23"/>
        <v>1</v>
      </c>
      <c r="AM241" s="95" t="b">
        <f t="shared" si="24"/>
        <v>1</v>
      </c>
    </row>
    <row r="242" spans="4:39" x14ac:dyDescent="0.25">
      <c r="D242" s="8">
        <v>238</v>
      </c>
      <c r="E242" s="10">
        <v>527</v>
      </c>
      <c r="F242" s="10">
        <v>3</v>
      </c>
      <c r="G242" s="10">
        <v>1</v>
      </c>
      <c r="H242" s="5" t="str">
        <f t="shared" si="20"/>
        <v>det_527</v>
      </c>
      <c r="I242" s="5" t="str">
        <f t="shared" si="21"/>
        <v>W:\Performance Measurement\1. Freeway\1. raw data\2010_new\data files\det_527.txt</v>
      </c>
      <c r="J242" s="5" t="str">
        <f t="shared" si="22"/>
        <v>W:\Performance Measurement\1. Freeway\1. raw data\2010_new\data files\det_527.xlsx</v>
      </c>
      <c r="K242" s="5"/>
      <c r="L242" s="47">
        <v>237</v>
      </c>
      <c r="M242" s="40" t="s">
        <v>74</v>
      </c>
      <c r="N242" s="10">
        <v>575</v>
      </c>
      <c r="O242" s="10">
        <v>3</v>
      </c>
      <c r="P242" s="10">
        <v>1</v>
      </c>
      <c r="Q242" s="22">
        <v>1</v>
      </c>
      <c r="R242" s="67" t="s">
        <v>117</v>
      </c>
      <c r="S242" s="19">
        <v>1</v>
      </c>
      <c r="T242" s="19">
        <v>1</v>
      </c>
      <c r="U242" s="22">
        <v>1</v>
      </c>
      <c r="V242" s="8"/>
      <c r="W242" s="37">
        <v>1</v>
      </c>
      <c r="X242" s="5"/>
      <c r="Y242" s="25">
        <v>558</v>
      </c>
      <c r="Z242" s="25">
        <v>3</v>
      </c>
      <c r="AA242" s="25">
        <v>1</v>
      </c>
      <c r="AB242" s="22">
        <v>1</v>
      </c>
      <c r="AC242" s="40"/>
      <c r="AH242" s="22" t="s">
        <v>74</v>
      </c>
      <c r="AI242" s="97">
        <v>575</v>
      </c>
      <c r="AJ242" s="102">
        <v>3</v>
      </c>
      <c r="AK242" s="101">
        <v>1</v>
      </c>
      <c r="AL242" s="95" t="b">
        <f t="shared" si="23"/>
        <v>1</v>
      </c>
      <c r="AM242" s="95" t="b">
        <f t="shared" si="24"/>
        <v>1</v>
      </c>
    </row>
    <row r="243" spans="4:39" x14ac:dyDescent="0.25">
      <c r="D243" s="8">
        <v>239</v>
      </c>
      <c r="E243" s="10">
        <v>528</v>
      </c>
      <c r="F243" s="10">
        <v>5</v>
      </c>
      <c r="G243" s="10">
        <v>1</v>
      </c>
      <c r="H243" s="5" t="str">
        <f t="shared" si="20"/>
        <v>det_528</v>
      </c>
      <c r="I243" s="5" t="str">
        <f t="shared" si="21"/>
        <v>W:\Performance Measurement\1. Freeway\1. raw data\2010_new\data files\det_528.txt</v>
      </c>
      <c r="J243" s="5" t="str">
        <f t="shared" si="22"/>
        <v>W:\Performance Measurement\1. Freeway\1. raw data\2010_new\data files\det_528.xlsx</v>
      </c>
      <c r="K243" s="5"/>
      <c r="L243" s="47">
        <v>238</v>
      </c>
      <c r="M243" s="40" t="s">
        <v>74</v>
      </c>
      <c r="N243" s="10">
        <v>576</v>
      </c>
      <c r="O243" s="10">
        <v>3</v>
      </c>
      <c r="P243" s="10">
        <v>1</v>
      </c>
      <c r="Q243" s="22">
        <v>1</v>
      </c>
      <c r="R243" s="67" t="s">
        <v>128</v>
      </c>
      <c r="S243" s="19">
        <v>1</v>
      </c>
      <c r="T243" s="19">
        <v>1</v>
      </c>
      <c r="U243" s="22">
        <v>1</v>
      </c>
      <c r="V243" s="58" t="s">
        <v>172</v>
      </c>
      <c r="W243" s="37">
        <v>1</v>
      </c>
      <c r="X243" s="5"/>
      <c r="Y243" s="25">
        <v>559</v>
      </c>
      <c r="Z243" s="25">
        <v>3</v>
      </c>
      <c r="AA243" s="25">
        <v>1</v>
      </c>
      <c r="AB243" s="22">
        <v>1</v>
      </c>
      <c r="AC243" s="40"/>
      <c r="AH243" s="22" t="s">
        <v>74</v>
      </c>
      <c r="AI243" s="97">
        <v>576</v>
      </c>
      <c r="AJ243" s="102">
        <v>3</v>
      </c>
      <c r="AK243" s="101">
        <v>1</v>
      </c>
      <c r="AL243" s="95" t="b">
        <f t="shared" si="23"/>
        <v>1</v>
      </c>
      <c r="AM243" s="95" t="b">
        <f t="shared" si="24"/>
        <v>1</v>
      </c>
    </row>
    <row r="244" spans="4:39" x14ac:dyDescent="0.25">
      <c r="D244" s="8">
        <v>240</v>
      </c>
      <c r="E244" s="10">
        <v>529</v>
      </c>
      <c r="F244" s="10">
        <v>4</v>
      </c>
      <c r="G244" s="10">
        <v>1</v>
      </c>
      <c r="H244" s="5" t="str">
        <f t="shared" si="20"/>
        <v>det_529</v>
      </c>
      <c r="I244" s="5" t="str">
        <f t="shared" si="21"/>
        <v>W:\Performance Measurement\1. Freeway\1. raw data\2010_new\data files\det_529.txt</v>
      </c>
      <c r="J244" s="5" t="str">
        <f t="shared" si="22"/>
        <v>W:\Performance Measurement\1. Freeway\1. raw data\2010_new\data files\det_529.xlsx</v>
      </c>
      <c r="K244" s="5"/>
      <c r="L244" s="47">
        <v>239</v>
      </c>
      <c r="M244" s="40" t="s">
        <v>74</v>
      </c>
      <c r="N244" s="10">
        <v>577</v>
      </c>
      <c r="O244" s="10">
        <v>3</v>
      </c>
      <c r="P244" s="10">
        <v>1</v>
      </c>
      <c r="Q244" s="22">
        <v>1</v>
      </c>
      <c r="R244" s="67" t="s">
        <v>117</v>
      </c>
      <c r="S244" s="19">
        <v>1</v>
      </c>
      <c r="T244" s="19">
        <v>1</v>
      </c>
      <c r="U244" s="22">
        <v>1</v>
      </c>
      <c r="V244" s="70"/>
      <c r="W244" s="37">
        <v>1</v>
      </c>
      <c r="X244" s="5"/>
      <c r="Y244" s="25">
        <v>560</v>
      </c>
      <c r="Z244" s="25">
        <v>3</v>
      </c>
      <c r="AA244" s="25">
        <v>1</v>
      </c>
      <c r="AB244" s="22">
        <v>1</v>
      </c>
      <c r="AC244" s="40"/>
      <c r="AH244" s="22" t="s">
        <v>74</v>
      </c>
      <c r="AI244" s="97">
        <v>577</v>
      </c>
      <c r="AJ244" s="102">
        <v>3</v>
      </c>
      <c r="AK244" s="101">
        <v>1</v>
      </c>
      <c r="AL244" s="95" t="b">
        <f t="shared" si="23"/>
        <v>1</v>
      </c>
      <c r="AM244" s="95" t="b">
        <f t="shared" si="24"/>
        <v>1</v>
      </c>
    </row>
    <row r="245" spans="4:39" x14ac:dyDescent="0.25">
      <c r="D245" s="8">
        <v>241</v>
      </c>
      <c r="E245" s="10">
        <v>531</v>
      </c>
      <c r="F245" s="10">
        <v>3</v>
      </c>
      <c r="G245" s="10">
        <v>1</v>
      </c>
      <c r="H245" s="5" t="str">
        <f t="shared" ref="H245:H249" si="25">"det_"&amp;E245&amp;""</f>
        <v>det_531</v>
      </c>
      <c r="I245" s="5" t="str">
        <f t="shared" ref="I245:I249" si="26">$B$5&amp;"\"&amp;H245&amp;".txt"</f>
        <v>W:\Performance Measurement\1. Freeway\1. raw data\2010_new\data files\det_531.txt</v>
      </c>
      <c r="J245" s="5" t="str">
        <f t="shared" ref="J245:J249" si="27">$B$5&amp;"\"&amp;H245&amp;".xlsx"</f>
        <v>W:\Performance Measurement\1. Freeway\1. raw data\2010_new\data files\det_531.xlsx</v>
      </c>
      <c r="K245" s="5"/>
      <c r="L245" s="47">
        <v>240</v>
      </c>
      <c r="M245" s="40" t="s">
        <v>74</v>
      </c>
      <c r="N245" s="10">
        <v>578</v>
      </c>
      <c r="O245" s="10">
        <v>4</v>
      </c>
      <c r="P245" s="10">
        <v>1</v>
      </c>
      <c r="Q245" s="22">
        <v>1</v>
      </c>
      <c r="R245" s="67" t="s">
        <v>117</v>
      </c>
      <c r="S245" s="19">
        <v>1</v>
      </c>
      <c r="T245" s="19">
        <v>1</v>
      </c>
      <c r="U245" s="23">
        <v>14</v>
      </c>
      <c r="V245" s="67" t="s">
        <v>188</v>
      </c>
      <c r="W245" s="37">
        <v>1</v>
      </c>
      <c r="X245" s="5"/>
      <c r="Y245" s="25">
        <v>561</v>
      </c>
      <c r="Z245" s="25">
        <v>4</v>
      </c>
      <c r="AA245" s="25">
        <v>1</v>
      </c>
      <c r="AB245" s="22">
        <v>1</v>
      </c>
      <c r="AC245" s="40"/>
      <c r="AH245" s="22" t="s">
        <v>74</v>
      </c>
      <c r="AI245" s="97">
        <v>578</v>
      </c>
      <c r="AJ245" s="102">
        <v>4</v>
      </c>
      <c r="AK245" s="101">
        <v>1</v>
      </c>
      <c r="AL245" s="95" t="b">
        <f t="shared" si="23"/>
        <v>1</v>
      </c>
      <c r="AM245" s="95" t="b">
        <f t="shared" si="24"/>
        <v>1</v>
      </c>
    </row>
    <row r="246" spans="4:39" x14ac:dyDescent="0.25">
      <c r="D246" s="8">
        <v>242</v>
      </c>
      <c r="E246" s="42">
        <v>63</v>
      </c>
      <c r="F246" s="10">
        <v>4</v>
      </c>
      <c r="G246" s="10">
        <v>1</v>
      </c>
      <c r="H246" s="5" t="str">
        <f t="shared" si="25"/>
        <v>det_63</v>
      </c>
      <c r="I246" s="5" t="str">
        <f t="shared" si="26"/>
        <v>W:\Performance Measurement\1. Freeway\1. raw data\2010_new\data files\det_63.txt</v>
      </c>
      <c r="J246" s="5" t="str">
        <f t="shared" si="27"/>
        <v>W:\Performance Measurement\1. Freeway\1. raw data\2010_new\data files\det_63.xlsx</v>
      </c>
      <c r="K246" s="5"/>
      <c r="L246" s="47">
        <v>241</v>
      </c>
      <c r="M246" s="39" t="s">
        <v>73</v>
      </c>
      <c r="N246" s="10">
        <v>255</v>
      </c>
      <c r="O246" s="10">
        <v>3</v>
      </c>
      <c r="P246" s="29">
        <v>1</v>
      </c>
      <c r="Q246" s="24">
        <v>1</v>
      </c>
      <c r="R246" s="67" t="s">
        <v>117</v>
      </c>
      <c r="S246" s="19">
        <v>1</v>
      </c>
      <c r="T246" s="19">
        <v>1</v>
      </c>
      <c r="U246" s="22">
        <v>1</v>
      </c>
      <c r="V246" s="70"/>
      <c r="W246" s="37">
        <v>1</v>
      </c>
      <c r="X246" s="5"/>
      <c r="Y246" s="25">
        <v>562</v>
      </c>
      <c r="Z246" s="25">
        <v>3</v>
      </c>
      <c r="AA246" s="25">
        <v>1</v>
      </c>
      <c r="AB246" s="22">
        <v>1</v>
      </c>
      <c r="AC246" s="40"/>
      <c r="AH246" s="23" t="s">
        <v>73</v>
      </c>
      <c r="AI246" s="84">
        <v>255</v>
      </c>
      <c r="AJ246" s="102">
        <v>3</v>
      </c>
      <c r="AK246" s="101">
        <v>1</v>
      </c>
      <c r="AL246" s="95" t="b">
        <f t="shared" si="23"/>
        <v>1</v>
      </c>
      <c r="AM246" s="95" t="b">
        <f t="shared" si="24"/>
        <v>1</v>
      </c>
    </row>
    <row r="247" spans="4:39" x14ac:dyDescent="0.25">
      <c r="D247" s="8">
        <v>243</v>
      </c>
      <c r="E247" s="42">
        <v>47</v>
      </c>
      <c r="F247" s="10">
        <v>5</v>
      </c>
      <c r="G247" s="10">
        <v>1</v>
      </c>
      <c r="H247" s="5" t="str">
        <f t="shared" si="25"/>
        <v>det_47</v>
      </c>
      <c r="I247" s="5" t="str">
        <f t="shared" si="26"/>
        <v>W:\Performance Measurement\1. Freeway\1. raw data\2010_new\data files\det_47.txt</v>
      </c>
      <c r="J247" s="5" t="str">
        <f t="shared" si="27"/>
        <v>W:\Performance Measurement\1. Freeway\1. raw data\2010_new\data files\det_47.xlsx</v>
      </c>
      <c r="K247" s="5"/>
      <c r="L247" s="47">
        <v>242</v>
      </c>
      <c r="M247" s="40" t="s">
        <v>75</v>
      </c>
      <c r="N247" s="10">
        <v>558</v>
      </c>
      <c r="O247" s="10">
        <v>3</v>
      </c>
      <c r="P247" s="10">
        <v>1</v>
      </c>
      <c r="Q247" s="22">
        <v>1</v>
      </c>
      <c r="R247" s="67" t="s">
        <v>117</v>
      </c>
      <c r="S247" s="19">
        <v>1</v>
      </c>
      <c r="T247" s="19">
        <v>1</v>
      </c>
      <c r="U247" s="22">
        <v>1</v>
      </c>
      <c r="V247" s="70"/>
      <c r="W247" s="37">
        <v>1</v>
      </c>
      <c r="X247" s="5"/>
      <c r="Y247" s="25">
        <v>563</v>
      </c>
      <c r="Z247" s="25">
        <v>4</v>
      </c>
      <c r="AA247" s="25">
        <v>1</v>
      </c>
      <c r="AB247" s="22">
        <v>1</v>
      </c>
      <c r="AC247" s="40"/>
      <c r="AH247" s="22" t="s">
        <v>75</v>
      </c>
      <c r="AI247" s="97">
        <v>558</v>
      </c>
      <c r="AJ247" s="102">
        <v>3</v>
      </c>
      <c r="AK247" s="101">
        <v>1</v>
      </c>
      <c r="AL247" s="95" t="b">
        <f t="shared" si="23"/>
        <v>1</v>
      </c>
      <c r="AM247" s="95" t="b">
        <f t="shared" si="24"/>
        <v>1</v>
      </c>
    </row>
    <row r="248" spans="4:39" x14ac:dyDescent="0.25">
      <c r="D248" s="8">
        <v>244</v>
      </c>
      <c r="E248" s="42">
        <v>41</v>
      </c>
      <c r="F248" s="10">
        <v>6</v>
      </c>
      <c r="G248" s="10">
        <v>1</v>
      </c>
      <c r="H248" s="5" t="str">
        <f t="shared" si="25"/>
        <v>det_41</v>
      </c>
      <c r="I248" s="5" t="str">
        <f t="shared" si="26"/>
        <v>W:\Performance Measurement\1. Freeway\1. raw data\2010_new\data files\det_41.txt</v>
      </c>
      <c r="J248" s="5" t="str">
        <f t="shared" si="27"/>
        <v>W:\Performance Measurement\1. Freeway\1. raw data\2010_new\data files\det_41.xlsx</v>
      </c>
      <c r="K248" s="5"/>
      <c r="L248" s="47">
        <v>243</v>
      </c>
      <c r="M248" s="40" t="s">
        <v>75</v>
      </c>
      <c r="N248" s="10">
        <v>559</v>
      </c>
      <c r="O248" s="10">
        <v>3</v>
      </c>
      <c r="P248" s="10">
        <v>1</v>
      </c>
      <c r="Q248" s="22">
        <v>1</v>
      </c>
      <c r="R248" s="67" t="s">
        <v>117</v>
      </c>
      <c r="S248" s="19">
        <v>1</v>
      </c>
      <c r="T248" s="19">
        <v>1</v>
      </c>
      <c r="U248" s="22">
        <v>1</v>
      </c>
      <c r="V248" s="70"/>
      <c r="W248" s="37">
        <v>1</v>
      </c>
      <c r="X248" s="5"/>
      <c r="Y248" s="25">
        <v>564</v>
      </c>
      <c r="Z248" s="25">
        <v>3</v>
      </c>
      <c r="AA248" s="25">
        <v>1</v>
      </c>
      <c r="AB248" s="22">
        <v>1</v>
      </c>
      <c r="AC248" s="40"/>
      <c r="AH248" s="22" t="s">
        <v>75</v>
      </c>
      <c r="AI248" s="97">
        <v>559</v>
      </c>
      <c r="AJ248" s="102">
        <v>3</v>
      </c>
      <c r="AK248" s="101">
        <v>1</v>
      </c>
      <c r="AL248" s="95" t="b">
        <f t="shared" si="23"/>
        <v>1</v>
      </c>
      <c r="AM248" s="95" t="b">
        <f t="shared" si="24"/>
        <v>1</v>
      </c>
    </row>
    <row r="249" spans="4:39" x14ac:dyDescent="0.25">
      <c r="D249" s="8">
        <v>245</v>
      </c>
      <c r="E249" s="43">
        <v>410</v>
      </c>
      <c r="F249" s="10">
        <v>4</v>
      </c>
      <c r="G249" s="10">
        <v>1</v>
      </c>
      <c r="H249" s="5" t="str">
        <f t="shared" si="25"/>
        <v>det_410</v>
      </c>
      <c r="I249" s="5" t="str">
        <f t="shared" si="26"/>
        <v>W:\Performance Measurement\1. Freeway\1. raw data\2010_new\data files\det_410.txt</v>
      </c>
      <c r="J249" s="5" t="str">
        <f t="shared" si="27"/>
        <v>W:\Performance Measurement\1. Freeway\1. raw data\2010_new\data files\det_410.xlsx</v>
      </c>
      <c r="K249" s="5"/>
      <c r="L249" s="47">
        <v>244</v>
      </c>
      <c r="M249" s="40" t="s">
        <v>75</v>
      </c>
      <c r="N249" s="10">
        <v>560</v>
      </c>
      <c r="O249" s="10">
        <v>3</v>
      </c>
      <c r="P249" s="10">
        <v>1</v>
      </c>
      <c r="Q249" s="22">
        <v>1</v>
      </c>
      <c r="R249" s="67" t="s">
        <v>117</v>
      </c>
      <c r="S249" s="19">
        <v>1</v>
      </c>
      <c r="T249" s="19">
        <v>1</v>
      </c>
      <c r="U249" s="22">
        <v>1</v>
      </c>
      <c r="V249" s="70"/>
      <c r="W249" s="37">
        <v>1</v>
      </c>
      <c r="X249" s="5"/>
      <c r="Y249" s="25">
        <v>565</v>
      </c>
      <c r="Z249" s="25">
        <v>4</v>
      </c>
      <c r="AA249" s="25">
        <v>1</v>
      </c>
      <c r="AB249" s="22">
        <v>1</v>
      </c>
      <c r="AC249" s="40"/>
      <c r="AH249" s="22" t="s">
        <v>75</v>
      </c>
      <c r="AI249" s="97">
        <v>560</v>
      </c>
      <c r="AJ249" s="102">
        <v>3</v>
      </c>
      <c r="AK249" s="101">
        <v>1</v>
      </c>
      <c r="AL249" s="95" t="b">
        <f t="shared" si="23"/>
        <v>1</v>
      </c>
      <c r="AM249" s="95" t="b">
        <f t="shared" si="24"/>
        <v>1</v>
      </c>
    </row>
    <row r="250" spans="4:39" x14ac:dyDescent="0.25">
      <c r="D250" s="8">
        <v>246</v>
      </c>
      <c r="E250" s="33">
        <v>39</v>
      </c>
      <c r="F250" s="10">
        <v>3</v>
      </c>
      <c r="G250" s="10">
        <v>0</v>
      </c>
      <c r="H250" s="5" t="str">
        <f t="shared" ref="H250:H282" si="28">"det_"&amp;E250&amp;""</f>
        <v>det_39</v>
      </c>
      <c r="I250" s="5" t="str">
        <f t="shared" ref="I250:I282" si="29">$B$5&amp;"\"&amp;H250&amp;".txt"</f>
        <v>W:\Performance Measurement\1. Freeway\1. raw data\2010_new\data files\det_39.txt</v>
      </c>
      <c r="J250" s="5" t="str">
        <f t="shared" ref="J250:J282" si="30">$B$5&amp;"\"&amp;H250&amp;".xlsx"</f>
        <v>W:\Performance Measurement\1. Freeway\1. raw data\2010_new\data files\det_39.xlsx</v>
      </c>
      <c r="L250" s="47">
        <v>245</v>
      </c>
      <c r="M250" s="40" t="s">
        <v>75</v>
      </c>
      <c r="N250" s="10">
        <v>561</v>
      </c>
      <c r="O250" s="10">
        <v>4</v>
      </c>
      <c r="P250" s="10">
        <v>1</v>
      </c>
      <c r="Q250" s="22">
        <v>1</v>
      </c>
      <c r="R250" s="67" t="s">
        <v>117</v>
      </c>
      <c r="S250" s="19">
        <v>1</v>
      </c>
      <c r="T250" s="19">
        <v>1</v>
      </c>
      <c r="U250" s="22">
        <v>1</v>
      </c>
      <c r="V250" s="70"/>
      <c r="W250" s="37">
        <v>1</v>
      </c>
      <c r="Y250" s="25">
        <v>566</v>
      </c>
      <c r="Z250" s="25">
        <v>3</v>
      </c>
      <c r="AA250" s="25">
        <v>1</v>
      </c>
      <c r="AB250" s="22">
        <v>1</v>
      </c>
      <c r="AC250" s="40"/>
      <c r="AH250" s="22" t="s">
        <v>75</v>
      </c>
      <c r="AI250" s="97">
        <v>561</v>
      </c>
      <c r="AJ250" s="102">
        <v>4</v>
      </c>
      <c r="AK250" s="101">
        <v>1</v>
      </c>
      <c r="AL250" s="95" t="b">
        <f t="shared" si="23"/>
        <v>1</v>
      </c>
      <c r="AM250" s="95" t="b">
        <f t="shared" si="24"/>
        <v>1</v>
      </c>
    </row>
    <row r="251" spans="4:39" x14ac:dyDescent="0.25">
      <c r="D251" s="8">
        <v>247</v>
      </c>
      <c r="E251" s="33">
        <v>336</v>
      </c>
      <c r="F251" s="10">
        <v>3</v>
      </c>
      <c r="G251" s="10">
        <v>1</v>
      </c>
      <c r="H251" s="5" t="str">
        <f t="shared" si="28"/>
        <v>det_336</v>
      </c>
      <c r="I251" s="5" t="str">
        <f t="shared" si="29"/>
        <v>W:\Performance Measurement\1. Freeway\1. raw data\2010_new\data files\det_336.txt</v>
      </c>
      <c r="J251" s="5" t="str">
        <f t="shared" si="30"/>
        <v>W:\Performance Measurement\1. Freeway\1. raw data\2010_new\data files\det_336.xlsx</v>
      </c>
      <c r="L251" s="47">
        <v>246</v>
      </c>
      <c r="M251" s="40" t="s">
        <v>75</v>
      </c>
      <c r="N251" s="10">
        <v>562</v>
      </c>
      <c r="O251" s="10">
        <v>3</v>
      </c>
      <c r="P251" s="10">
        <v>1</v>
      </c>
      <c r="Q251" s="22">
        <v>1</v>
      </c>
      <c r="R251" s="67" t="s">
        <v>117</v>
      </c>
      <c r="S251" s="19">
        <v>1</v>
      </c>
      <c r="T251" s="19">
        <v>1</v>
      </c>
      <c r="U251" s="22">
        <v>1</v>
      </c>
      <c r="V251" s="70"/>
      <c r="W251" s="37">
        <v>1</v>
      </c>
      <c r="Y251" s="25">
        <v>567</v>
      </c>
      <c r="Z251" s="25">
        <v>4</v>
      </c>
      <c r="AA251" s="25">
        <v>1</v>
      </c>
      <c r="AB251" s="22">
        <v>1</v>
      </c>
      <c r="AC251" s="40"/>
      <c r="AH251" s="22" t="s">
        <v>75</v>
      </c>
      <c r="AI251" s="97">
        <v>562</v>
      </c>
      <c r="AJ251" s="102">
        <v>3</v>
      </c>
      <c r="AK251" s="101">
        <v>1</v>
      </c>
      <c r="AL251" s="95" t="b">
        <f t="shared" si="23"/>
        <v>1</v>
      </c>
      <c r="AM251" s="95" t="b">
        <f t="shared" si="24"/>
        <v>1</v>
      </c>
    </row>
    <row r="252" spans="4:39" x14ac:dyDescent="0.25">
      <c r="D252" s="8">
        <v>248</v>
      </c>
      <c r="E252" s="33">
        <v>312</v>
      </c>
      <c r="F252" s="10">
        <v>3</v>
      </c>
      <c r="G252" s="10">
        <v>1</v>
      </c>
      <c r="H252" s="5" t="str">
        <f t="shared" si="28"/>
        <v>det_312</v>
      </c>
      <c r="I252" s="5" t="str">
        <f t="shared" si="29"/>
        <v>W:\Performance Measurement\1. Freeway\1. raw data\2010_new\data files\det_312.txt</v>
      </c>
      <c r="J252" s="5" t="str">
        <f t="shared" si="30"/>
        <v>W:\Performance Measurement\1. Freeway\1. raw data\2010_new\data files\det_312.xlsx</v>
      </c>
      <c r="L252" s="47">
        <v>247</v>
      </c>
      <c r="M252" s="40" t="s">
        <v>75</v>
      </c>
      <c r="N252" s="10">
        <v>563</v>
      </c>
      <c r="O252" s="10">
        <v>4</v>
      </c>
      <c r="P252" s="10">
        <v>1</v>
      </c>
      <c r="Q252" s="22">
        <v>1</v>
      </c>
      <c r="R252" s="67" t="s">
        <v>117</v>
      </c>
      <c r="S252" s="19">
        <v>1</v>
      </c>
      <c r="T252" s="19">
        <v>1</v>
      </c>
      <c r="U252" s="22">
        <v>1</v>
      </c>
      <c r="V252" s="58" t="s">
        <v>173</v>
      </c>
      <c r="W252" s="37">
        <v>1</v>
      </c>
      <c r="Y252" s="25">
        <v>568</v>
      </c>
      <c r="Z252" s="25">
        <v>3</v>
      </c>
      <c r="AA252" s="25">
        <v>1</v>
      </c>
      <c r="AB252" s="22">
        <v>1</v>
      </c>
      <c r="AC252" s="40"/>
      <c r="AH252" s="22" t="s">
        <v>75</v>
      </c>
      <c r="AI252" s="97">
        <v>563</v>
      </c>
      <c r="AJ252" s="102">
        <v>4</v>
      </c>
      <c r="AK252" s="101">
        <v>1</v>
      </c>
      <c r="AL252" s="95" t="b">
        <f t="shared" si="23"/>
        <v>1</v>
      </c>
      <c r="AM252" s="95" t="b">
        <f t="shared" si="24"/>
        <v>1</v>
      </c>
    </row>
    <row r="253" spans="4:39" x14ac:dyDescent="0.25">
      <c r="D253" s="8">
        <v>249</v>
      </c>
      <c r="E253" s="33">
        <v>502</v>
      </c>
      <c r="F253" s="10">
        <v>3</v>
      </c>
      <c r="G253" s="10">
        <v>1</v>
      </c>
      <c r="H253" s="5" t="str">
        <f t="shared" si="28"/>
        <v>det_502</v>
      </c>
      <c r="I253" s="5" t="str">
        <f t="shared" si="29"/>
        <v>W:\Performance Measurement\1. Freeway\1. raw data\2010_new\data files\det_502.txt</v>
      </c>
      <c r="J253" s="5" t="str">
        <f t="shared" si="30"/>
        <v>W:\Performance Measurement\1. Freeway\1. raw data\2010_new\data files\det_502.xlsx</v>
      </c>
      <c r="L253" s="47">
        <v>248</v>
      </c>
      <c r="M253" s="40" t="s">
        <v>75</v>
      </c>
      <c r="N253" s="10">
        <v>564</v>
      </c>
      <c r="O253" s="10">
        <v>3</v>
      </c>
      <c r="P253" s="10">
        <v>1</v>
      </c>
      <c r="Q253" s="22">
        <v>1</v>
      </c>
      <c r="R253" s="67" t="s">
        <v>216</v>
      </c>
      <c r="S253" s="19">
        <v>1</v>
      </c>
      <c r="T253" s="19">
        <v>1</v>
      </c>
      <c r="U253" s="22">
        <v>1</v>
      </c>
      <c r="V253" s="58" t="s">
        <v>173</v>
      </c>
      <c r="W253" s="37">
        <v>1</v>
      </c>
      <c r="Y253" s="25">
        <v>569</v>
      </c>
      <c r="Z253" s="25">
        <v>3</v>
      </c>
      <c r="AA253" s="25">
        <v>1</v>
      </c>
      <c r="AB253" s="22">
        <v>1</v>
      </c>
      <c r="AC253" s="40"/>
      <c r="AH253" s="22" t="s">
        <v>75</v>
      </c>
      <c r="AI253" s="97">
        <v>564</v>
      </c>
      <c r="AJ253" s="102">
        <v>3</v>
      </c>
      <c r="AK253" s="101">
        <v>1</v>
      </c>
      <c r="AL253" s="95" t="b">
        <f t="shared" si="23"/>
        <v>1</v>
      </c>
      <c r="AM253" s="95" t="b">
        <f t="shared" si="24"/>
        <v>1</v>
      </c>
    </row>
    <row r="254" spans="4:39" x14ac:dyDescent="0.25">
      <c r="D254" s="8">
        <v>250</v>
      </c>
      <c r="E254" s="33">
        <v>537</v>
      </c>
      <c r="F254" s="10">
        <v>5</v>
      </c>
      <c r="G254" s="10">
        <v>1</v>
      </c>
      <c r="H254" s="5" t="str">
        <f t="shared" si="28"/>
        <v>det_537</v>
      </c>
      <c r="I254" s="5" t="str">
        <f t="shared" si="29"/>
        <v>W:\Performance Measurement\1. Freeway\1. raw data\2010_new\data files\det_537.txt</v>
      </c>
      <c r="J254" s="5" t="str">
        <f t="shared" si="30"/>
        <v>W:\Performance Measurement\1. Freeway\1. raw data\2010_new\data files\det_537.xlsx</v>
      </c>
      <c r="L254" s="47">
        <v>249</v>
      </c>
      <c r="M254" s="40" t="s">
        <v>75</v>
      </c>
      <c r="N254" s="10">
        <v>565</v>
      </c>
      <c r="O254" s="10">
        <v>4</v>
      </c>
      <c r="P254" s="10">
        <v>1</v>
      </c>
      <c r="Q254" s="22">
        <v>1</v>
      </c>
      <c r="R254" s="67" t="s">
        <v>216</v>
      </c>
      <c r="S254" s="19">
        <v>1</v>
      </c>
      <c r="T254" s="19">
        <v>1</v>
      </c>
      <c r="U254" s="22">
        <v>1</v>
      </c>
      <c r="V254" s="58" t="s">
        <v>173</v>
      </c>
      <c r="W254" s="37">
        <v>1</v>
      </c>
      <c r="Y254" s="25">
        <v>570</v>
      </c>
      <c r="Z254" s="25">
        <v>3</v>
      </c>
      <c r="AA254" s="25">
        <v>1</v>
      </c>
      <c r="AB254" s="22">
        <v>1</v>
      </c>
      <c r="AC254" s="40"/>
      <c r="AH254" s="22" t="s">
        <v>75</v>
      </c>
      <c r="AI254" s="97">
        <v>565</v>
      </c>
      <c r="AJ254" s="102">
        <v>4</v>
      </c>
      <c r="AK254" s="101">
        <v>1</v>
      </c>
      <c r="AL254" s="95" t="b">
        <f t="shared" si="23"/>
        <v>1</v>
      </c>
      <c r="AM254" s="95" t="b">
        <f t="shared" si="24"/>
        <v>1</v>
      </c>
    </row>
    <row r="255" spans="4:39" x14ac:dyDescent="0.25">
      <c r="D255" s="8">
        <v>251</v>
      </c>
      <c r="E255" s="33">
        <v>169</v>
      </c>
      <c r="F255" s="10">
        <v>3</v>
      </c>
      <c r="G255" s="10">
        <v>0</v>
      </c>
      <c r="H255" s="5" t="str">
        <f t="shared" si="28"/>
        <v>det_169</v>
      </c>
      <c r="I255" s="5" t="str">
        <f t="shared" si="29"/>
        <v>W:\Performance Measurement\1. Freeway\1. raw data\2010_new\data files\det_169.txt</v>
      </c>
      <c r="J255" s="5" t="str">
        <f t="shared" si="30"/>
        <v>W:\Performance Measurement\1. Freeway\1. raw data\2010_new\data files\det_169.xlsx</v>
      </c>
      <c r="L255" s="47">
        <v>250</v>
      </c>
      <c r="M255" s="40" t="s">
        <v>75</v>
      </c>
      <c r="N255" s="10">
        <v>566</v>
      </c>
      <c r="O255" s="10">
        <v>3</v>
      </c>
      <c r="P255" s="10">
        <v>1</v>
      </c>
      <c r="Q255" s="22">
        <v>1</v>
      </c>
      <c r="R255" s="67" t="s">
        <v>216</v>
      </c>
      <c r="S255" s="19">
        <v>1</v>
      </c>
      <c r="T255" s="19">
        <v>1</v>
      </c>
      <c r="U255" s="22">
        <v>1</v>
      </c>
      <c r="V255" s="58" t="s">
        <v>173</v>
      </c>
      <c r="W255" s="37">
        <v>1</v>
      </c>
      <c r="Y255" s="25">
        <v>571</v>
      </c>
      <c r="Z255" s="25">
        <v>3</v>
      </c>
      <c r="AA255" s="25">
        <v>1</v>
      </c>
      <c r="AB255" s="22">
        <v>1</v>
      </c>
      <c r="AC255" s="40"/>
      <c r="AH255" s="22" t="s">
        <v>75</v>
      </c>
      <c r="AI255" s="97">
        <v>566</v>
      </c>
      <c r="AJ255" s="102">
        <v>3</v>
      </c>
      <c r="AK255" s="101">
        <v>1</v>
      </c>
      <c r="AL255" s="95" t="b">
        <f t="shared" si="23"/>
        <v>1</v>
      </c>
      <c r="AM255" s="95" t="b">
        <f t="shared" si="24"/>
        <v>1</v>
      </c>
    </row>
    <row r="256" spans="4:39" x14ac:dyDescent="0.25">
      <c r="D256" s="8">
        <v>252</v>
      </c>
      <c r="E256" s="33">
        <v>167</v>
      </c>
      <c r="F256" s="10">
        <v>2</v>
      </c>
      <c r="G256" s="10">
        <v>0</v>
      </c>
      <c r="H256" s="5" t="str">
        <f t="shared" si="28"/>
        <v>det_167</v>
      </c>
      <c r="I256" s="5" t="str">
        <f t="shared" si="29"/>
        <v>W:\Performance Measurement\1. Freeway\1. raw data\2010_new\data files\det_167.txt</v>
      </c>
      <c r="J256" s="5" t="str">
        <f t="shared" si="30"/>
        <v>W:\Performance Measurement\1. Freeway\1. raw data\2010_new\data files\det_167.xlsx</v>
      </c>
      <c r="L256" s="47">
        <v>251</v>
      </c>
      <c r="M256" s="40" t="s">
        <v>75</v>
      </c>
      <c r="N256" s="10">
        <v>567</v>
      </c>
      <c r="O256" s="10">
        <v>4</v>
      </c>
      <c r="P256" s="10">
        <v>1</v>
      </c>
      <c r="Q256" s="22">
        <v>1</v>
      </c>
      <c r="R256" s="67" t="s">
        <v>216</v>
      </c>
      <c r="S256" s="19">
        <v>1</v>
      </c>
      <c r="T256" s="19">
        <v>1</v>
      </c>
      <c r="U256" s="22">
        <v>1</v>
      </c>
      <c r="V256" s="58" t="s">
        <v>174</v>
      </c>
      <c r="W256" s="37">
        <v>1</v>
      </c>
      <c r="Y256" s="25">
        <v>572</v>
      </c>
      <c r="Z256" s="25">
        <v>3</v>
      </c>
      <c r="AA256" s="25">
        <v>1</v>
      </c>
      <c r="AB256" s="22">
        <v>1</v>
      </c>
      <c r="AC256" s="40"/>
      <c r="AH256" s="22" t="s">
        <v>75</v>
      </c>
      <c r="AI256" s="97">
        <v>567</v>
      </c>
      <c r="AJ256" s="102">
        <v>4</v>
      </c>
      <c r="AK256" s="101">
        <v>1</v>
      </c>
      <c r="AL256" s="95" t="b">
        <f t="shared" si="23"/>
        <v>1</v>
      </c>
      <c r="AM256" s="95" t="b">
        <f t="shared" si="24"/>
        <v>1</v>
      </c>
    </row>
    <row r="257" spans="4:39" x14ac:dyDescent="0.25">
      <c r="D257" s="8">
        <v>253</v>
      </c>
      <c r="E257" s="41">
        <v>601</v>
      </c>
      <c r="F257" s="10">
        <v>3</v>
      </c>
      <c r="G257" s="10">
        <v>0</v>
      </c>
      <c r="H257" s="5" t="str">
        <f t="shared" si="28"/>
        <v>det_601</v>
      </c>
      <c r="I257" s="5" t="str">
        <f t="shared" si="29"/>
        <v>W:\Performance Measurement\1. Freeway\1. raw data\2010_new\data files\det_601.txt</v>
      </c>
      <c r="J257" s="5" t="str">
        <f t="shared" si="30"/>
        <v>W:\Performance Measurement\1. Freeway\1. raw data\2010_new\data files\det_601.xlsx</v>
      </c>
      <c r="L257" s="47">
        <v>252</v>
      </c>
      <c r="M257" s="40" t="s">
        <v>75</v>
      </c>
      <c r="N257" s="10">
        <v>568</v>
      </c>
      <c r="O257" s="10">
        <v>3</v>
      </c>
      <c r="P257" s="10">
        <v>1</v>
      </c>
      <c r="Q257" s="22">
        <v>1</v>
      </c>
      <c r="R257" s="67" t="s">
        <v>216</v>
      </c>
      <c r="S257" s="19">
        <v>1</v>
      </c>
      <c r="T257" s="19">
        <v>1</v>
      </c>
      <c r="U257" s="22">
        <v>1</v>
      </c>
      <c r="V257" s="58" t="s">
        <v>173</v>
      </c>
      <c r="W257" s="37">
        <v>1</v>
      </c>
      <c r="Y257" s="25">
        <v>573</v>
      </c>
      <c r="Z257" s="25">
        <v>3</v>
      </c>
      <c r="AA257" s="25">
        <v>1</v>
      </c>
      <c r="AB257" s="22">
        <v>1</v>
      </c>
      <c r="AC257" s="40"/>
      <c r="AH257" s="22" t="s">
        <v>75</v>
      </c>
      <c r="AI257" s="97">
        <v>568</v>
      </c>
      <c r="AJ257" s="102">
        <v>3</v>
      </c>
      <c r="AK257" s="101">
        <v>1</v>
      </c>
      <c r="AL257" s="95" t="b">
        <f t="shared" si="23"/>
        <v>1</v>
      </c>
      <c r="AM257" s="95" t="b">
        <f t="shared" si="24"/>
        <v>1</v>
      </c>
    </row>
    <row r="258" spans="4:39" x14ac:dyDescent="0.25">
      <c r="D258" s="8">
        <v>254</v>
      </c>
      <c r="E258" s="41">
        <v>602</v>
      </c>
      <c r="F258" s="10">
        <v>3</v>
      </c>
      <c r="G258" s="10">
        <v>1</v>
      </c>
      <c r="H258" s="5" t="str">
        <f t="shared" si="28"/>
        <v>det_602</v>
      </c>
      <c r="I258" s="5" t="str">
        <f t="shared" si="29"/>
        <v>W:\Performance Measurement\1. Freeway\1. raw data\2010_new\data files\det_602.txt</v>
      </c>
      <c r="J258" s="5" t="str">
        <f t="shared" si="30"/>
        <v>W:\Performance Measurement\1. Freeway\1. raw data\2010_new\data files\det_602.xlsx</v>
      </c>
      <c r="L258" s="47">
        <v>253</v>
      </c>
      <c r="M258" s="40" t="s">
        <v>75</v>
      </c>
      <c r="N258" s="10">
        <v>569</v>
      </c>
      <c r="O258" s="10">
        <v>3</v>
      </c>
      <c r="P258" s="10">
        <v>1</v>
      </c>
      <c r="Q258" s="22">
        <v>1</v>
      </c>
      <c r="R258" s="67" t="s">
        <v>216</v>
      </c>
      <c r="S258" s="19">
        <v>1</v>
      </c>
      <c r="T258" s="19">
        <v>1</v>
      </c>
      <c r="U258" s="22"/>
      <c r="W258" s="75"/>
      <c r="Y258" s="25">
        <v>574</v>
      </c>
      <c r="Z258" s="25">
        <v>3</v>
      </c>
      <c r="AA258" s="25">
        <v>1</v>
      </c>
      <c r="AB258" s="22">
        <v>1</v>
      </c>
      <c r="AC258" s="40"/>
      <c r="AH258" s="22" t="s">
        <v>75</v>
      </c>
      <c r="AI258" s="97">
        <v>569</v>
      </c>
      <c r="AJ258" s="102">
        <v>3</v>
      </c>
      <c r="AK258" s="101">
        <v>1</v>
      </c>
      <c r="AL258" s="95" t="b">
        <f t="shared" si="23"/>
        <v>1</v>
      </c>
      <c r="AM258" s="95" t="b">
        <f t="shared" si="24"/>
        <v>1</v>
      </c>
    </row>
    <row r="259" spans="4:39" x14ac:dyDescent="0.25">
      <c r="D259" s="8">
        <v>255</v>
      </c>
      <c r="E259" s="41">
        <v>603</v>
      </c>
      <c r="F259" s="10">
        <v>3</v>
      </c>
      <c r="G259" s="10">
        <v>1</v>
      </c>
      <c r="H259" s="5" t="str">
        <f t="shared" si="28"/>
        <v>det_603</v>
      </c>
      <c r="I259" s="5" t="str">
        <f t="shared" si="29"/>
        <v>W:\Performance Measurement\1. Freeway\1. raw data\2010_new\data files\det_603.txt</v>
      </c>
      <c r="J259" s="5" t="str">
        <f t="shared" si="30"/>
        <v>W:\Performance Measurement\1. Freeway\1. raw data\2010_new\data files\det_603.xlsx</v>
      </c>
      <c r="L259" s="47">
        <v>254</v>
      </c>
      <c r="M259" s="40" t="s">
        <v>76</v>
      </c>
      <c r="N259" s="10">
        <v>601</v>
      </c>
      <c r="O259" s="10">
        <v>3</v>
      </c>
      <c r="P259" s="10">
        <v>0</v>
      </c>
      <c r="Q259" s="22">
        <v>1</v>
      </c>
      <c r="R259" s="67" t="s">
        <v>250</v>
      </c>
      <c r="S259" s="19">
        <v>1</v>
      </c>
      <c r="T259" s="21">
        <v>0</v>
      </c>
      <c r="U259" s="22">
        <v>1</v>
      </c>
      <c r="V259" s="52"/>
      <c r="W259" s="37"/>
      <c r="Y259" s="25">
        <v>575</v>
      </c>
      <c r="Z259" s="25">
        <v>3</v>
      </c>
      <c r="AA259" s="25">
        <v>1</v>
      </c>
      <c r="AB259" s="22">
        <v>1</v>
      </c>
      <c r="AC259" s="40"/>
      <c r="AH259" s="22" t="s">
        <v>76</v>
      </c>
      <c r="AI259" s="85">
        <v>601</v>
      </c>
      <c r="AJ259" s="102">
        <v>3</v>
      </c>
      <c r="AK259" s="101">
        <v>0</v>
      </c>
      <c r="AL259" s="95" t="b">
        <f t="shared" si="23"/>
        <v>1</v>
      </c>
      <c r="AM259" s="95" t="b">
        <f t="shared" si="24"/>
        <v>1</v>
      </c>
    </row>
    <row r="260" spans="4:39" x14ac:dyDescent="0.25">
      <c r="D260" s="8">
        <v>256</v>
      </c>
      <c r="E260" s="41">
        <v>604</v>
      </c>
      <c r="F260" s="10">
        <v>3</v>
      </c>
      <c r="G260" s="10">
        <v>1</v>
      </c>
      <c r="H260" s="5" t="str">
        <f t="shared" si="28"/>
        <v>det_604</v>
      </c>
      <c r="I260" s="5" t="str">
        <f t="shared" si="29"/>
        <v>W:\Performance Measurement\1. Freeway\1. raw data\2010_new\data files\det_604.txt</v>
      </c>
      <c r="J260" s="5" t="str">
        <f t="shared" si="30"/>
        <v>W:\Performance Measurement\1. Freeway\1. raw data\2010_new\data files\det_604.xlsx</v>
      </c>
      <c r="L260" s="47">
        <v>255</v>
      </c>
      <c r="M260" s="40" t="s">
        <v>76</v>
      </c>
      <c r="N260" s="10">
        <v>602</v>
      </c>
      <c r="O260" s="10">
        <v>3</v>
      </c>
      <c r="P260" s="10">
        <v>1</v>
      </c>
      <c r="Q260" s="22">
        <v>1</v>
      </c>
      <c r="R260" s="67" t="s">
        <v>240</v>
      </c>
      <c r="S260" s="19">
        <v>1</v>
      </c>
      <c r="T260" s="21">
        <v>1</v>
      </c>
      <c r="U260" s="22">
        <v>1</v>
      </c>
      <c r="V260" s="52"/>
      <c r="W260" s="37"/>
      <c r="Y260" s="25">
        <v>576</v>
      </c>
      <c r="Z260" s="25">
        <v>3</v>
      </c>
      <c r="AA260" s="25">
        <v>1</v>
      </c>
      <c r="AB260" s="22">
        <v>1</v>
      </c>
      <c r="AC260" s="40"/>
      <c r="AH260" s="22" t="s">
        <v>76</v>
      </c>
      <c r="AI260" s="85">
        <v>602</v>
      </c>
      <c r="AJ260" s="102">
        <v>3</v>
      </c>
      <c r="AK260" s="101">
        <v>1</v>
      </c>
      <c r="AL260" s="95" t="b">
        <f t="shared" ref="AL260:AL306" si="31">O260=AJ260</f>
        <v>1</v>
      </c>
      <c r="AM260" s="95" t="b">
        <f t="shared" ref="AM260:AM306" si="32">P260=AK260</f>
        <v>1</v>
      </c>
    </row>
    <row r="261" spans="4:39" x14ac:dyDescent="0.25">
      <c r="D261" s="8">
        <v>257</v>
      </c>
      <c r="E261" s="41">
        <v>605</v>
      </c>
      <c r="F261" s="10">
        <v>3</v>
      </c>
      <c r="G261" s="10">
        <v>1</v>
      </c>
      <c r="H261" s="5" t="str">
        <f t="shared" si="28"/>
        <v>det_605</v>
      </c>
      <c r="I261" s="5" t="str">
        <f t="shared" si="29"/>
        <v>W:\Performance Measurement\1. Freeway\1. raw data\2010_new\data files\det_605.txt</v>
      </c>
      <c r="J261" s="5" t="str">
        <f t="shared" si="30"/>
        <v>W:\Performance Measurement\1. Freeway\1. raw data\2010_new\data files\det_605.xlsx</v>
      </c>
      <c r="L261" s="47">
        <v>256</v>
      </c>
      <c r="M261" s="40" t="s">
        <v>76</v>
      </c>
      <c r="N261" s="10">
        <v>603</v>
      </c>
      <c r="O261" s="10">
        <v>3</v>
      </c>
      <c r="P261" s="10">
        <v>1</v>
      </c>
      <c r="Q261" s="22">
        <v>1</v>
      </c>
      <c r="R261" s="67" t="s">
        <v>240</v>
      </c>
      <c r="S261" s="19">
        <v>1</v>
      </c>
      <c r="T261" s="21">
        <v>1</v>
      </c>
      <c r="U261" s="21">
        <v>1</v>
      </c>
      <c r="V261" s="68"/>
      <c r="W261" s="37"/>
      <c r="Y261" s="25">
        <v>577</v>
      </c>
      <c r="Z261" s="25">
        <v>3</v>
      </c>
      <c r="AA261" s="25">
        <v>1</v>
      </c>
      <c r="AB261" s="22">
        <v>1</v>
      </c>
      <c r="AC261" s="40"/>
      <c r="AH261" s="22" t="s">
        <v>76</v>
      </c>
      <c r="AI261" s="85">
        <v>603</v>
      </c>
      <c r="AJ261" s="102">
        <v>3</v>
      </c>
      <c r="AK261" s="101">
        <v>1</v>
      </c>
      <c r="AL261" s="95" t="b">
        <f t="shared" si="31"/>
        <v>1</v>
      </c>
      <c r="AM261" s="95" t="b">
        <f t="shared" si="32"/>
        <v>1</v>
      </c>
    </row>
    <row r="262" spans="4:39" x14ac:dyDescent="0.25">
      <c r="D262" s="8">
        <v>258</v>
      </c>
      <c r="E262" s="41">
        <v>606</v>
      </c>
      <c r="F262" s="10">
        <v>3</v>
      </c>
      <c r="G262" s="10">
        <v>1</v>
      </c>
      <c r="H262" s="5" t="str">
        <f t="shared" si="28"/>
        <v>det_606</v>
      </c>
      <c r="I262" s="5" t="str">
        <f t="shared" si="29"/>
        <v>W:\Performance Measurement\1. Freeway\1. raw data\2010_new\data files\det_606.txt</v>
      </c>
      <c r="J262" s="5" t="str">
        <f t="shared" si="30"/>
        <v>W:\Performance Measurement\1. Freeway\1. raw data\2010_new\data files\det_606.xlsx</v>
      </c>
      <c r="L262" s="47">
        <v>257</v>
      </c>
      <c r="M262" s="40" t="s">
        <v>76</v>
      </c>
      <c r="N262" s="10">
        <v>604</v>
      </c>
      <c r="O262" s="10">
        <v>3</v>
      </c>
      <c r="P262" s="10">
        <v>1</v>
      </c>
      <c r="Q262" s="22">
        <v>1</v>
      </c>
      <c r="R262" s="67" t="s">
        <v>240</v>
      </c>
      <c r="S262" s="19">
        <v>1</v>
      </c>
      <c r="T262" s="21">
        <v>1</v>
      </c>
      <c r="U262" s="21">
        <v>1</v>
      </c>
      <c r="V262" s="52"/>
      <c r="W262" s="21"/>
      <c r="Y262" s="25">
        <v>578</v>
      </c>
      <c r="Z262" s="25">
        <v>3</v>
      </c>
      <c r="AA262" s="25">
        <v>1</v>
      </c>
      <c r="AB262" s="22">
        <v>1</v>
      </c>
      <c r="AC262" s="40"/>
      <c r="AH262" s="22" t="s">
        <v>76</v>
      </c>
      <c r="AI262" s="85">
        <v>604</v>
      </c>
      <c r="AJ262" s="102">
        <v>3</v>
      </c>
      <c r="AK262" s="101">
        <v>1</v>
      </c>
      <c r="AL262" s="95" t="b">
        <f t="shared" si="31"/>
        <v>1</v>
      </c>
      <c r="AM262" s="95" t="b">
        <f t="shared" si="32"/>
        <v>1</v>
      </c>
    </row>
    <row r="263" spans="4:39" x14ac:dyDescent="0.25">
      <c r="D263" s="8">
        <v>259</v>
      </c>
      <c r="E263" s="41">
        <v>594</v>
      </c>
      <c r="F263" s="10">
        <v>3</v>
      </c>
      <c r="G263" s="10">
        <v>1</v>
      </c>
      <c r="H263" s="5" t="str">
        <f t="shared" si="28"/>
        <v>det_594</v>
      </c>
      <c r="I263" s="5" t="str">
        <f t="shared" si="29"/>
        <v>W:\Performance Measurement\1. Freeway\1. raw data\2010_new\data files\det_594.txt</v>
      </c>
      <c r="J263" s="5" t="str">
        <f t="shared" si="30"/>
        <v>W:\Performance Measurement\1. Freeway\1. raw data\2010_new\data files\det_594.xlsx</v>
      </c>
      <c r="L263" s="47">
        <v>258</v>
      </c>
      <c r="M263" s="40" t="s">
        <v>76</v>
      </c>
      <c r="N263" s="10">
        <v>605</v>
      </c>
      <c r="O263" s="10">
        <v>3</v>
      </c>
      <c r="P263" s="10">
        <v>1</v>
      </c>
      <c r="Q263" s="22">
        <v>1</v>
      </c>
      <c r="R263" s="67" t="s">
        <v>240</v>
      </c>
      <c r="S263" s="19">
        <v>1</v>
      </c>
      <c r="T263" s="21">
        <v>1</v>
      </c>
      <c r="U263" s="21">
        <v>1</v>
      </c>
      <c r="V263" s="68"/>
      <c r="W263" s="37"/>
      <c r="Y263" s="27">
        <v>579</v>
      </c>
      <c r="Z263" s="25">
        <v>3</v>
      </c>
      <c r="AA263" s="25">
        <v>0</v>
      </c>
      <c r="AB263" s="22">
        <v>13</v>
      </c>
      <c r="AC263" s="40"/>
      <c r="AH263" s="22" t="s">
        <v>76</v>
      </c>
      <c r="AI263" s="85">
        <v>605</v>
      </c>
      <c r="AJ263" s="102">
        <v>3</v>
      </c>
      <c r="AK263" s="101">
        <v>1</v>
      </c>
      <c r="AL263" s="95" t="b">
        <f t="shared" si="31"/>
        <v>1</v>
      </c>
      <c r="AM263" s="95" t="b">
        <f t="shared" si="32"/>
        <v>1</v>
      </c>
    </row>
    <row r="264" spans="4:39" x14ac:dyDescent="0.25">
      <c r="D264" s="8">
        <v>260</v>
      </c>
      <c r="E264" s="41">
        <v>595</v>
      </c>
      <c r="F264" s="10">
        <v>3</v>
      </c>
      <c r="G264" s="10">
        <v>1</v>
      </c>
      <c r="H264" s="5" t="str">
        <f t="shared" si="28"/>
        <v>det_595</v>
      </c>
      <c r="I264" s="5" t="str">
        <f t="shared" si="29"/>
        <v>W:\Performance Measurement\1. Freeway\1. raw data\2010_new\data files\det_595.txt</v>
      </c>
      <c r="J264" s="5" t="str">
        <f t="shared" si="30"/>
        <v>W:\Performance Measurement\1. Freeway\1. raw data\2010_new\data files\det_595.xlsx</v>
      </c>
      <c r="L264" s="47">
        <v>259</v>
      </c>
      <c r="M264" s="40" t="s">
        <v>76</v>
      </c>
      <c r="N264" s="10">
        <v>606</v>
      </c>
      <c r="O264" s="10">
        <v>3</v>
      </c>
      <c r="P264" s="10">
        <v>1</v>
      </c>
      <c r="Q264" s="22">
        <v>1</v>
      </c>
      <c r="R264" s="67" t="s">
        <v>240</v>
      </c>
      <c r="S264" s="19">
        <v>1</v>
      </c>
      <c r="T264" s="21">
        <v>1</v>
      </c>
      <c r="U264" s="21">
        <v>1</v>
      </c>
      <c r="V264" s="68"/>
      <c r="W264" s="37"/>
      <c r="Y264" s="25">
        <v>580</v>
      </c>
      <c r="Z264" s="25">
        <v>3</v>
      </c>
      <c r="AA264" s="25">
        <v>0</v>
      </c>
      <c r="AB264" s="22">
        <v>1</v>
      </c>
      <c r="AC264" s="40"/>
      <c r="AH264" s="22" t="s">
        <v>76</v>
      </c>
      <c r="AI264" s="85">
        <v>606</v>
      </c>
      <c r="AJ264" s="102">
        <v>3</v>
      </c>
      <c r="AK264" s="101">
        <v>1</v>
      </c>
      <c r="AL264" s="95" t="b">
        <f t="shared" si="31"/>
        <v>1</v>
      </c>
      <c r="AM264" s="95" t="b">
        <f t="shared" si="32"/>
        <v>1</v>
      </c>
    </row>
    <row r="265" spans="4:39" x14ac:dyDescent="0.25">
      <c r="D265" s="8">
        <v>261</v>
      </c>
      <c r="E265" s="41">
        <v>596</v>
      </c>
      <c r="F265" s="10">
        <v>3</v>
      </c>
      <c r="G265" s="10">
        <v>1</v>
      </c>
      <c r="H265" s="5" t="str">
        <f t="shared" si="28"/>
        <v>det_596</v>
      </c>
      <c r="I265" s="5" t="str">
        <f t="shared" si="29"/>
        <v>W:\Performance Measurement\1. Freeway\1. raw data\2010_new\data files\det_596.txt</v>
      </c>
      <c r="J265" s="5" t="str">
        <f t="shared" si="30"/>
        <v>W:\Performance Measurement\1. Freeway\1. raw data\2010_new\data files\det_596.xlsx</v>
      </c>
      <c r="L265" s="47">
        <v>260</v>
      </c>
      <c r="M265" s="40" t="s">
        <v>76</v>
      </c>
      <c r="N265" s="10">
        <v>594</v>
      </c>
      <c r="O265" s="10">
        <v>3</v>
      </c>
      <c r="P265" s="10">
        <v>1</v>
      </c>
      <c r="Q265" s="22">
        <v>1</v>
      </c>
      <c r="R265" s="67" t="s">
        <v>86</v>
      </c>
      <c r="S265" s="19">
        <v>1</v>
      </c>
      <c r="T265" s="21">
        <v>1</v>
      </c>
      <c r="U265" s="21">
        <v>1</v>
      </c>
      <c r="V265" s="68"/>
      <c r="W265" s="37"/>
      <c r="Y265" s="25">
        <v>581</v>
      </c>
      <c r="Z265" s="25">
        <v>3</v>
      </c>
      <c r="AA265" s="25">
        <v>0</v>
      </c>
      <c r="AB265" s="22">
        <v>1</v>
      </c>
      <c r="AC265" s="40"/>
      <c r="AH265" s="22" t="s">
        <v>76</v>
      </c>
      <c r="AI265" s="85">
        <v>594</v>
      </c>
      <c r="AJ265" s="102">
        <v>3</v>
      </c>
      <c r="AK265" s="101">
        <v>1</v>
      </c>
      <c r="AL265" s="95" t="b">
        <f t="shared" si="31"/>
        <v>1</v>
      </c>
      <c r="AM265" s="95" t="b">
        <f t="shared" si="32"/>
        <v>1</v>
      </c>
    </row>
    <row r="266" spans="4:39" x14ac:dyDescent="0.25">
      <c r="D266" s="8">
        <v>262</v>
      </c>
      <c r="E266" s="41">
        <v>597</v>
      </c>
      <c r="F266" s="10">
        <v>3</v>
      </c>
      <c r="G266" s="10">
        <v>1</v>
      </c>
      <c r="H266" s="5" t="str">
        <f t="shared" si="28"/>
        <v>det_597</v>
      </c>
      <c r="I266" s="5" t="str">
        <f t="shared" si="29"/>
        <v>W:\Performance Measurement\1. Freeway\1. raw data\2010_new\data files\det_597.txt</v>
      </c>
      <c r="J266" s="5" t="str">
        <f t="shared" si="30"/>
        <v>W:\Performance Measurement\1. Freeway\1. raw data\2010_new\data files\det_597.xlsx</v>
      </c>
      <c r="L266" s="47">
        <v>261</v>
      </c>
      <c r="M266" s="40" t="s">
        <v>76</v>
      </c>
      <c r="N266" s="10">
        <v>595</v>
      </c>
      <c r="O266" s="10">
        <v>3</v>
      </c>
      <c r="P266" s="10">
        <v>1</v>
      </c>
      <c r="Q266" s="22">
        <v>1</v>
      </c>
      <c r="R266" s="67" t="s">
        <v>240</v>
      </c>
      <c r="S266" s="19">
        <v>1</v>
      </c>
      <c r="T266" s="21">
        <v>1</v>
      </c>
      <c r="U266" s="21">
        <v>1</v>
      </c>
      <c r="V266" s="68"/>
      <c r="W266" s="37"/>
      <c r="Y266" s="25">
        <v>582</v>
      </c>
      <c r="Z266" s="25">
        <v>3</v>
      </c>
      <c r="AA266" s="25">
        <v>0</v>
      </c>
      <c r="AB266" s="22">
        <v>1</v>
      </c>
      <c r="AC266" s="40"/>
      <c r="AH266" s="22" t="s">
        <v>76</v>
      </c>
      <c r="AI266" s="85">
        <v>595</v>
      </c>
      <c r="AJ266" s="102">
        <v>3</v>
      </c>
      <c r="AK266" s="101">
        <v>1</v>
      </c>
      <c r="AL266" s="95" t="b">
        <f t="shared" si="31"/>
        <v>1</v>
      </c>
      <c r="AM266" s="95" t="b">
        <f t="shared" si="32"/>
        <v>1</v>
      </c>
    </row>
    <row r="267" spans="4:39" x14ac:dyDescent="0.25">
      <c r="D267" s="8">
        <v>263</v>
      </c>
      <c r="E267" s="41">
        <v>598</v>
      </c>
      <c r="F267" s="10">
        <v>3</v>
      </c>
      <c r="G267" s="10">
        <v>1</v>
      </c>
      <c r="H267" s="5" t="str">
        <f t="shared" si="28"/>
        <v>det_598</v>
      </c>
      <c r="I267" s="5" t="str">
        <f t="shared" si="29"/>
        <v>W:\Performance Measurement\1. Freeway\1. raw data\2010_new\data files\det_598.txt</v>
      </c>
      <c r="J267" s="5" t="str">
        <f t="shared" si="30"/>
        <v>W:\Performance Measurement\1. Freeway\1. raw data\2010_new\data files\det_598.xlsx</v>
      </c>
      <c r="L267" s="47">
        <v>262</v>
      </c>
      <c r="M267" s="40" t="s">
        <v>76</v>
      </c>
      <c r="N267" s="10">
        <v>596</v>
      </c>
      <c r="O267" s="10">
        <v>3</v>
      </c>
      <c r="P267" s="10">
        <v>1</v>
      </c>
      <c r="Q267" s="22">
        <v>1</v>
      </c>
      <c r="R267" s="67" t="s">
        <v>86</v>
      </c>
      <c r="S267" s="19">
        <v>1</v>
      </c>
      <c r="T267" s="21">
        <v>1</v>
      </c>
      <c r="U267" s="21">
        <v>1</v>
      </c>
      <c r="V267" s="68"/>
      <c r="W267" s="37"/>
      <c r="Y267" s="25">
        <v>583</v>
      </c>
      <c r="Z267" s="25">
        <v>3</v>
      </c>
      <c r="AA267" s="25">
        <v>0</v>
      </c>
      <c r="AB267" s="22">
        <v>1</v>
      </c>
      <c r="AC267" s="40"/>
      <c r="AH267" s="22" t="s">
        <v>76</v>
      </c>
      <c r="AI267" s="85">
        <v>596</v>
      </c>
      <c r="AJ267" s="102">
        <v>3</v>
      </c>
      <c r="AK267" s="101">
        <v>1</v>
      </c>
      <c r="AL267" s="95" t="b">
        <f t="shared" si="31"/>
        <v>1</v>
      </c>
      <c r="AM267" s="95" t="b">
        <f t="shared" si="32"/>
        <v>1</v>
      </c>
    </row>
    <row r="268" spans="4:39" x14ac:dyDescent="0.25">
      <c r="D268" s="8">
        <v>264</v>
      </c>
      <c r="E268" s="41">
        <v>599</v>
      </c>
      <c r="F268" s="10">
        <v>3</v>
      </c>
      <c r="G268" s="10">
        <v>1</v>
      </c>
      <c r="H268" s="5" t="str">
        <f t="shared" si="28"/>
        <v>det_599</v>
      </c>
      <c r="I268" s="5" t="str">
        <f t="shared" si="29"/>
        <v>W:\Performance Measurement\1. Freeway\1. raw data\2010_new\data files\det_599.txt</v>
      </c>
      <c r="J268" s="5" t="str">
        <f t="shared" si="30"/>
        <v>W:\Performance Measurement\1. Freeway\1. raw data\2010_new\data files\det_599.xlsx</v>
      </c>
      <c r="L268" s="47">
        <v>263</v>
      </c>
      <c r="M268" s="40" t="s">
        <v>76</v>
      </c>
      <c r="N268" s="10">
        <v>597</v>
      </c>
      <c r="O268" s="10">
        <v>3</v>
      </c>
      <c r="P268" s="10">
        <v>1</v>
      </c>
      <c r="Q268" s="22">
        <v>1</v>
      </c>
      <c r="R268" s="67" t="s">
        <v>86</v>
      </c>
      <c r="S268" s="19">
        <v>1</v>
      </c>
      <c r="T268" s="21">
        <v>1</v>
      </c>
      <c r="U268" s="21">
        <v>1</v>
      </c>
      <c r="V268" s="68"/>
      <c r="W268" s="37"/>
      <c r="Y268" s="25">
        <v>584</v>
      </c>
      <c r="Z268" s="25">
        <v>3</v>
      </c>
      <c r="AA268" s="25">
        <v>0</v>
      </c>
      <c r="AB268" s="22">
        <v>1</v>
      </c>
      <c r="AC268" s="40"/>
      <c r="AH268" s="22" t="s">
        <v>76</v>
      </c>
      <c r="AI268" s="85">
        <v>597</v>
      </c>
      <c r="AJ268" s="102">
        <v>3</v>
      </c>
      <c r="AK268" s="101">
        <v>1</v>
      </c>
      <c r="AL268" s="95" t="b">
        <f t="shared" si="31"/>
        <v>1</v>
      </c>
      <c r="AM268" s="95" t="b">
        <f t="shared" si="32"/>
        <v>1</v>
      </c>
    </row>
    <row r="269" spans="4:39" x14ac:dyDescent="0.25">
      <c r="D269" s="8">
        <v>265</v>
      </c>
      <c r="E269" s="41">
        <v>600</v>
      </c>
      <c r="F269" s="10">
        <v>3</v>
      </c>
      <c r="G269" s="10">
        <v>1</v>
      </c>
      <c r="H269" s="5" t="str">
        <f t="shared" si="28"/>
        <v>det_600</v>
      </c>
      <c r="I269" s="5" t="str">
        <f t="shared" si="29"/>
        <v>W:\Performance Measurement\1. Freeway\1. raw data\2010_new\data files\det_600.txt</v>
      </c>
      <c r="J269" s="5" t="str">
        <f t="shared" si="30"/>
        <v>W:\Performance Measurement\1. Freeway\1. raw data\2010_new\data files\det_600.xlsx</v>
      </c>
      <c r="L269" s="47">
        <v>264</v>
      </c>
      <c r="M269" s="40" t="s">
        <v>76</v>
      </c>
      <c r="N269" s="10">
        <v>598</v>
      </c>
      <c r="O269" s="10">
        <v>3</v>
      </c>
      <c r="P269" s="10">
        <v>1</v>
      </c>
      <c r="Q269" s="22">
        <v>1</v>
      </c>
      <c r="R269" s="67" t="s">
        <v>86</v>
      </c>
      <c r="S269" s="19">
        <v>1</v>
      </c>
      <c r="T269" s="21">
        <v>1</v>
      </c>
      <c r="U269" s="21">
        <v>1</v>
      </c>
      <c r="V269" s="68"/>
      <c r="W269" s="37"/>
      <c r="Y269" s="25">
        <v>585</v>
      </c>
      <c r="Z269" s="25">
        <v>2</v>
      </c>
      <c r="AA269" s="25">
        <v>0</v>
      </c>
      <c r="AB269" s="22">
        <v>12</v>
      </c>
      <c r="AC269" s="40"/>
      <c r="AH269" s="22" t="s">
        <v>76</v>
      </c>
      <c r="AI269" s="85">
        <v>598</v>
      </c>
      <c r="AJ269" s="102">
        <v>3</v>
      </c>
      <c r="AK269" s="101">
        <v>1</v>
      </c>
      <c r="AL269" s="95" t="b">
        <f t="shared" si="31"/>
        <v>1</v>
      </c>
      <c r="AM269" s="95" t="b">
        <f t="shared" si="32"/>
        <v>1</v>
      </c>
    </row>
    <row r="270" spans="4:39" x14ac:dyDescent="0.25">
      <c r="D270" s="8">
        <v>266</v>
      </c>
      <c r="E270" s="33">
        <v>589</v>
      </c>
      <c r="F270" s="10">
        <v>3</v>
      </c>
      <c r="G270" s="10">
        <v>0</v>
      </c>
      <c r="H270" s="5" t="str">
        <f t="shared" si="28"/>
        <v>det_589</v>
      </c>
      <c r="I270" s="5" t="str">
        <f t="shared" si="29"/>
        <v>W:\Performance Measurement\1. Freeway\1. raw data\2010_new\data files\det_589.txt</v>
      </c>
      <c r="J270" s="5" t="str">
        <f t="shared" si="30"/>
        <v>W:\Performance Measurement\1. Freeway\1. raw data\2010_new\data files\det_589.xlsx</v>
      </c>
      <c r="L270" s="47">
        <v>265</v>
      </c>
      <c r="M270" s="40" t="s">
        <v>76</v>
      </c>
      <c r="N270" s="10">
        <v>599</v>
      </c>
      <c r="O270" s="10">
        <v>3</v>
      </c>
      <c r="P270" s="10">
        <v>1</v>
      </c>
      <c r="Q270" s="22">
        <v>1</v>
      </c>
      <c r="R270" s="67" t="s">
        <v>251</v>
      </c>
      <c r="S270" s="19">
        <v>1</v>
      </c>
      <c r="T270" s="21" t="s">
        <v>42</v>
      </c>
      <c r="U270" s="21" t="s">
        <v>44</v>
      </c>
      <c r="V270" s="80"/>
      <c r="Y270" s="27">
        <v>586</v>
      </c>
      <c r="Z270" s="25">
        <v>2</v>
      </c>
      <c r="AA270" s="25">
        <v>0</v>
      </c>
      <c r="AB270" s="22">
        <v>12</v>
      </c>
      <c r="AC270" s="40"/>
      <c r="AH270" s="22" t="s">
        <v>76</v>
      </c>
      <c r="AI270" s="85">
        <v>599</v>
      </c>
      <c r="AJ270" s="102">
        <v>3</v>
      </c>
      <c r="AK270" s="101">
        <v>1</v>
      </c>
      <c r="AL270" s="95" t="b">
        <f t="shared" si="31"/>
        <v>1</v>
      </c>
      <c r="AM270" s="95" t="b">
        <f t="shared" si="32"/>
        <v>1</v>
      </c>
    </row>
    <row r="271" spans="4:39" x14ac:dyDescent="0.25">
      <c r="D271" s="8">
        <v>267</v>
      </c>
      <c r="E271" s="33">
        <v>590</v>
      </c>
      <c r="F271" s="10">
        <v>3</v>
      </c>
      <c r="G271" s="10">
        <v>0</v>
      </c>
      <c r="H271" s="5" t="str">
        <f t="shared" si="28"/>
        <v>det_590</v>
      </c>
      <c r="I271" s="5" t="str">
        <f t="shared" si="29"/>
        <v>W:\Performance Measurement\1. Freeway\1. raw data\2010_new\data files\det_590.txt</v>
      </c>
      <c r="J271" s="5" t="str">
        <f t="shared" si="30"/>
        <v>W:\Performance Measurement\1. Freeway\1. raw data\2010_new\data files\det_590.xlsx</v>
      </c>
      <c r="L271" s="47">
        <v>266</v>
      </c>
      <c r="M271" s="40" t="s">
        <v>76</v>
      </c>
      <c r="N271" s="10">
        <v>600</v>
      </c>
      <c r="O271" s="10">
        <v>3</v>
      </c>
      <c r="P271" s="10">
        <v>1</v>
      </c>
      <c r="Q271" s="22">
        <v>1</v>
      </c>
      <c r="R271" s="92" t="s">
        <v>264</v>
      </c>
      <c r="S271" s="19">
        <v>1</v>
      </c>
      <c r="T271" s="91" t="s">
        <v>263</v>
      </c>
      <c r="U271" s="21">
        <v>12</v>
      </c>
      <c r="V271" s="80"/>
      <c r="Y271" s="25">
        <v>587</v>
      </c>
      <c r="Z271" s="25">
        <v>3</v>
      </c>
      <c r="AA271" s="25">
        <v>0</v>
      </c>
      <c r="AB271" s="22">
        <v>1</v>
      </c>
      <c r="AC271" s="40"/>
      <c r="AH271" s="22" t="s">
        <v>76</v>
      </c>
      <c r="AI271" s="85">
        <v>600</v>
      </c>
      <c r="AJ271" s="102">
        <v>3</v>
      </c>
      <c r="AK271" s="101">
        <v>1</v>
      </c>
      <c r="AL271" s="95" t="b">
        <f t="shared" si="31"/>
        <v>1</v>
      </c>
      <c r="AM271" s="95" t="b">
        <f t="shared" si="32"/>
        <v>1</v>
      </c>
    </row>
    <row r="272" spans="4:39" x14ac:dyDescent="0.25">
      <c r="D272" s="8">
        <v>268</v>
      </c>
      <c r="E272" s="33">
        <v>591</v>
      </c>
      <c r="F272" s="10">
        <v>3</v>
      </c>
      <c r="G272" s="10">
        <v>0</v>
      </c>
      <c r="H272" s="5" t="str">
        <f t="shared" si="28"/>
        <v>det_591</v>
      </c>
      <c r="I272" s="5" t="str">
        <f t="shared" si="29"/>
        <v>W:\Performance Measurement\1. Freeway\1. raw data\2010_new\data files\det_591.txt</v>
      </c>
      <c r="J272" s="5" t="str">
        <f t="shared" si="30"/>
        <v>W:\Performance Measurement\1. Freeway\1. raw data\2010_new\data files\det_591.xlsx</v>
      </c>
      <c r="L272" s="47">
        <v>267</v>
      </c>
      <c r="M272" s="40" t="s">
        <v>77</v>
      </c>
      <c r="N272" s="18">
        <v>586</v>
      </c>
      <c r="O272" s="10">
        <v>2</v>
      </c>
      <c r="P272" s="10">
        <v>0</v>
      </c>
      <c r="Q272" s="22">
        <v>1</v>
      </c>
      <c r="R272" s="96" t="s">
        <v>117</v>
      </c>
      <c r="S272" s="93">
        <v>1</v>
      </c>
      <c r="T272" s="87" t="s">
        <v>226</v>
      </c>
      <c r="U272" s="21">
        <v>1</v>
      </c>
      <c r="V272" s="52"/>
      <c r="W272" s="37"/>
      <c r="Y272" s="25">
        <v>588</v>
      </c>
      <c r="Z272" s="25">
        <v>3</v>
      </c>
      <c r="AA272" s="25">
        <v>0</v>
      </c>
      <c r="AB272" s="22">
        <v>1</v>
      </c>
      <c r="AC272" s="40"/>
      <c r="AH272" s="22" t="s">
        <v>77</v>
      </c>
      <c r="AI272" s="85">
        <v>586</v>
      </c>
      <c r="AJ272" s="102">
        <v>2</v>
      </c>
      <c r="AK272" s="101">
        <v>0</v>
      </c>
      <c r="AL272" s="95" t="b">
        <f t="shared" si="31"/>
        <v>1</v>
      </c>
      <c r="AM272" s="95" t="b">
        <f t="shared" si="32"/>
        <v>1</v>
      </c>
    </row>
    <row r="273" spans="4:39" x14ac:dyDescent="0.25">
      <c r="D273" s="8">
        <v>269</v>
      </c>
      <c r="E273" s="33">
        <v>592</v>
      </c>
      <c r="F273" s="10">
        <v>3</v>
      </c>
      <c r="G273" s="10">
        <v>0</v>
      </c>
      <c r="H273" s="5" t="str">
        <f t="shared" si="28"/>
        <v>det_592</v>
      </c>
      <c r="I273" s="5" t="str">
        <f t="shared" si="29"/>
        <v>W:\Performance Measurement\1. Freeway\1. raw data\2010_new\data files\det_592.txt</v>
      </c>
      <c r="J273" s="5" t="str">
        <f t="shared" si="30"/>
        <v>W:\Performance Measurement\1. Freeway\1. raw data\2010_new\data files\det_592.xlsx</v>
      </c>
      <c r="L273" s="47">
        <v>268</v>
      </c>
      <c r="M273" s="40" t="s">
        <v>77</v>
      </c>
      <c r="N273" s="10">
        <v>587</v>
      </c>
      <c r="O273" s="10">
        <v>3</v>
      </c>
      <c r="P273" s="10">
        <v>0</v>
      </c>
      <c r="Q273" s="22">
        <v>1</v>
      </c>
      <c r="R273" s="96" t="s">
        <v>265</v>
      </c>
      <c r="S273" s="93">
        <v>1</v>
      </c>
      <c r="T273" s="94" t="s">
        <v>226</v>
      </c>
      <c r="U273" s="21">
        <v>1</v>
      </c>
      <c r="V273" s="52"/>
      <c r="W273" s="37"/>
      <c r="Y273" s="25">
        <v>589</v>
      </c>
      <c r="Z273" s="25">
        <v>3</v>
      </c>
      <c r="AA273" s="25">
        <v>0</v>
      </c>
      <c r="AB273" s="22">
        <v>1</v>
      </c>
      <c r="AC273" s="40"/>
      <c r="AH273" s="22" t="s">
        <v>77</v>
      </c>
      <c r="AI273" s="97">
        <v>587</v>
      </c>
      <c r="AJ273" s="102">
        <v>3</v>
      </c>
      <c r="AK273" s="101">
        <v>0</v>
      </c>
      <c r="AL273" s="95" t="b">
        <f t="shared" si="31"/>
        <v>1</v>
      </c>
      <c r="AM273" s="95" t="b">
        <f t="shared" si="32"/>
        <v>1</v>
      </c>
    </row>
    <row r="274" spans="4:39" x14ac:dyDescent="0.25">
      <c r="D274" s="8">
        <v>270</v>
      </c>
      <c r="E274" s="33">
        <v>593</v>
      </c>
      <c r="F274" s="10">
        <v>3</v>
      </c>
      <c r="G274" s="10">
        <v>0</v>
      </c>
      <c r="H274" s="5" t="str">
        <f t="shared" si="28"/>
        <v>det_593</v>
      </c>
      <c r="I274" s="5" t="str">
        <f t="shared" si="29"/>
        <v>W:\Performance Measurement\1. Freeway\1. raw data\2010_new\data files\det_593.txt</v>
      </c>
      <c r="J274" s="5" t="str">
        <f t="shared" si="30"/>
        <v>W:\Performance Measurement\1. Freeway\1. raw data\2010_new\data files\det_593.xlsx</v>
      </c>
      <c r="L274" s="47">
        <v>269</v>
      </c>
      <c r="M274" s="40" t="s">
        <v>77</v>
      </c>
      <c r="N274" s="10">
        <v>588</v>
      </c>
      <c r="O274" s="10">
        <v>3</v>
      </c>
      <c r="P274" s="10">
        <v>0</v>
      </c>
      <c r="Q274" s="22">
        <v>1</v>
      </c>
      <c r="R274" s="96" t="s">
        <v>265</v>
      </c>
      <c r="S274" s="93">
        <v>1</v>
      </c>
      <c r="T274" s="87" t="s">
        <v>226</v>
      </c>
      <c r="U274" s="21">
        <v>1</v>
      </c>
      <c r="V274" s="52"/>
      <c r="W274" s="37"/>
      <c r="Y274" s="25">
        <v>590</v>
      </c>
      <c r="Z274" s="25">
        <v>3</v>
      </c>
      <c r="AA274" s="25">
        <v>0</v>
      </c>
      <c r="AB274" s="22">
        <v>1</v>
      </c>
      <c r="AC274" s="40"/>
      <c r="AH274" s="22" t="s">
        <v>77</v>
      </c>
      <c r="AI274" s="97">
        <v>588</v>
      </c>
      <c r="AJ274" s="102">
        <v>3</v>
      </c>
      <c r="AK274" s="101">
        <v>0</v>
      </c>
      <c r="AL274" s="95" t="b">
        <f t="shared" si="31"/>
        <v>1</v>
      </c>
      <c r="AM274" s="95" t="b">
        <f t="shared" si="32"/>
        <v>1</v>
      </c>
    </row>
    <row r="275" spans="4:39" x14ac:dyDescent="0.25">
      <c r="D275" s="8">
        <v>271</v>
      </c>
      <c r="E275" s="33">
        <v>530</v>
      </c>
      <c r="F275" s="10">
        <v>3</v>
      </c>
      <c r="G275" s="10">
        <v>1</v>
      </c>
      <c r="H275" s="5" t="str">
        <f t="shared" si="28"/>
        <v>det_530</v>
      </c>
      <c r="I275" s="5" t="str">
        <f t="shared" si="29"/>
        <v>W:\Performance Measurement\1. Freeway\1. raw data\2010_new\data files\det_530.txt</v>
      </c>
      <c r="J275" s="5" t="str">
        <f t="shared" si="30"/>
        <v>W:\Performance Measurement\1. Freeway\1. raw data\2010_new\data files\det_530.xlsx</v>
      </c>
      <c r="L275" s="47">
        <v>270</v>
      </c>
      <c r="M275" s="40" t="s">
        <v>77</v>
      </c>
      <c r="N275" s="33">
        <v>589</v>
      </c>
      <c r="O275" s="10">
        <v>3</v>
      </c>
      <c r="P275" s="10">
        <v>0</v>
      </c>
      <c r="Q275" s="22">
        <v>1</v>
      </c>
      <c r="R275" s="96" t="s">
        <v>265</v>
      </c>
      <c r="S275" s="93">
        <v>1</v>
      </c>
      <c r="T275" s="94" t="s">
        <v>226</v>
      </c>
      <c r="U275" s="22">
        <v>1</v>
      </c>
      <c r="V275" s="52"/>
      <c r="W275" s="37"/>
      <c r="Y275" s="25">
        <v>591</v>
      </c>
      <c r="Z275" s="25">
        <v>3</v>
      </c>
      <c r="AA275" s="25">
        <v>0</v>
      </c>
      <c r="AB275" s="22">
        <v>1</v>
      </c>
      <c r="AC275" s="40"/>
      <c r="AH275" s="22" t="s">
        <v>77</v>
      </c>
      <c r="AI275" s="97">
        <v>589</v>
      </c>
      <c r="AJ275" s="102">
        <v>3</v>
      </c>
      <c r="AK275" s="101">
        <v>0</v>
      </c>
      <c r="AL275" s="95" t="b">
        <f t="shared" si="31"/>
        <v>1</v>
      </c>
      <c r="AM275" s="95" t="b">
        <f t="shared" si="32"/>
        <v>1</v>
      </c>
    </row>
    <row r="276" spans="4:39" x14ac:dyDescent="0.25">
      <c r="D276" s="8">
        <v>272</v>
      </c>
      <c r="E276" s="10"/>
      <c r="F276" s="10"/>
      <c r="G276" s="10"/>
      <c r="H276" s="5" t="str">
        <f t="shared" si="28"/>
        <v>det_</v>
      </c>
      <c r="I276" s="5" t="str">
        <f t="shared" si="29"/>
        <v>W:\Performance Measurement\1. Freeway\1. raw data\2010_new\data files\det_.txt</v>
      </c>
      <c r="J276" s="5" t="str">
        <f t="shared" si="30"/>
        <v>W:\Performance Measurement\1. Freeway\1. raw data\2010_new\data files\det_.xlsx</v>
      </c>
      <c r="L276" s="47">
        <v>271</v>
      </c>
      <c r="M276" s="40" t="s">
        <v>77</v>
      </c>
      <c r="N276" s="33">
        <v>590</v>
      </c>
      <c r="O276" s="10">
        <v>3</v>
      </c>
      <c r="P276" s="10">
        <v>0</v>
      </c>
      <c r="Q276" s="22">
        <v>1</v>
      </c>
      <c r="R276" s="96" t="s">
        <v>87</v>
      </c>
      <c r="S276" s="93">
        <v>1</v>
      </c>
      <c r="T276" s="87" t="s">
        <v>226</v>
      </c>
      <c r="U276" s="22">
        <v>1</v>
      </c>
      <c r="V276" s="52"/>
      <c r="W276" s="37"/>
      <c r="Y276" s="25">
        <v>592</v>
      </c>
      <c r="Z276" s="25">
        <v>3</v>
      </c>
      <c r="AA276" s="25">
        <v>0</v>
      </c>
      <c r="AB276" s="22">
        <v>1</v>
      </c>
      <c r="AC276" s="40"/>
      <c r="AH276" s="22" t="s">
        <v>77</v>
      </c>
      <c r="AI276" s="97">
        <v>590</v>
      </c>
      <c r="AJ276" s="102">
        <v>3</v>
      </c>
      <c r="AK276" s="101">
        <v>0</v>
      </c>
      <c r="AL276" s="95" t="b">
        <f t="shared" si="31"/>
        <v>1</v>
      </c>
      <c r="AM276" s="95" t="b">
        <f t="shared" si="32"/>
        <v>1</v>
      </c>
    </row>
    <row r="277" spans="4:39" x14ac:dyDescent="0.25">
      <c r="D277" s="8">
        <v>273</v>
      </c>
      <c r="E277" s="10"/>
      <c r="F277" s="10"/>
      <c r="G277" s="10"/>
      <c r="H277" s="5" t="str">
        <f t="shared" si="28"/>
        <v>det_</v>
      </c>
      <c r="I277" s="5" t="str">
        <f t="shared" si="29"/>
        <v>W:\Performance Measurement\1. Freeway\1. raw data\2010_new\data files\det_.txt</v>
      </c>
      <c r="J277" s="5" t="str">
        <f t="shared" si="30"/>
        <v>W:\Performance Measurement\1. Freeway\1. raw data\2010_new\data files\det_.xlsx</v>
      </c>
      <c r="L277" s="47">
        <v>272</v>
      </c>
      <c r="M277" s="40" t="s">
        <v>77</v>
      </c>
      <c r="N277" s="33">
        <v>591</v>
      </c>
      <c r="O277" s="10">
        <v>3</v>
      </c>
      <c r="P277" s="10">
        <v>0</v>
      </c>
      <c r="Q277" s="22">
        <v>1</v>
      </c>
      <c r="R277" s="96" t="s">
        <v>209</v>
      </c>
      <c r="S277" s="93">
        <v>1</v>
      </c>
      <c r="T277" s="94" t="s">
        <v>226</v>
      </c>
      <c r="U277" s="22">
        <v>1</v>
      </c>
      <c r="V277" s="52"/>
      <c r="W277" s="37"/>
      <c r="Y277" s="25">
        <v>593</v>
      </c>
      <c r="Z277" s="25">
        <v>3</v>
      </c>
      <c r="AA277" s="25">
        <v>0</v>
      </c>
      <c r="AB277" s="22">
        <v>1</v>
      </c>
      <c r="AC277" s="40"/>
      <c r="AH277" s="22" t="s">
        <v>77</v>
      </c>
      <c r="AI277" s="97">
        <v>591</v>
      </c>
      <c r="AJ277" s="102">
        <v>3</v>
      </c>
      <c r="AK277" s="101">
        <v>0</v>
      </c>
      <c r="AL277" s="95" t="b">
        <f t="shared" si="31"/>
        <v>1</v>
      </c>
      <c r="AM277" s="95" t="b">
        <f t="shared" si="32"/>
        <v>1</v>
      </c>
    </row>
    <row r="278" spans="4:39" x14ac:dyDescent="0.25">
      <c r="D278" s="8">
        <v>274</v>
      </c>
      <c r="E278" s="10"/>
      <c r="F278" s="10"/>
      <c r="G278" s="10"/>
      <c r="H278" s="5" t="str">
        <f t="shared" si="28"/>
        <v>det_</v>
      </c>
      <c r="I278" s="5" t="str">
        <f t="shared" si="29"/>
        <v>W:\Performance Measurement\1. Freeway\1. raw data\2010_new\data files\det_.txt</v>
      </c>
      <c r="J278" s="5" t="str">
        <f t="shared" si="30"/>
        <v>W:\Performance Measurement\1. Freeway\1. raw data\2010_new\data files\det_.xlsx</v>
      </c>
      <c r="L278" s="47">
        <v>273</v>
      </c>
      <c r="M278" s="40" t="s">
        <v>77</v>
      </c>
      <c r="N278" s="33">
        <v>592</v>
      </c>
      <c r="O278" s="10">
        <v>3</v>
      </c>
      <c r="P278" s="10">
        <v>0</v>
      </c>
      <c r="Q278" s="22">
        <v>1</v>
      </c>
      <c r="R278" s="96" t="s">
        <v>266</v>
      </c>
      <c r="S278" s="93">
        <v>1</v>
      </c>
      <c r="T278" s="87" t="s">
        <v>226</v>
      </c>
      <c r="U278" s="22">
        <v>1</v>
      </c>
      <c r="V278" s="52"/>
      <c r="W278" s="37"/>
      <c r="Y278" s="27">
        <v>594</v>
      </c>
      <c r="Z278" s="25">
        <v>3</v>
      </c>
      <c r="AA278" s="25">
        <v>1</v>
      </c>
      <c r="AB278" s="22">
        <v>1</v>
      </c>
      <c r="AC278" s="40"/>
      <c r="AH278" s="22" t="s">
        <v>77</v>
      </c>
      <c r="AI278" s="97">
        <v>592</v>
      </c>
      <c r="AJ278" s="102">
        <v>3</v>
      </c>
      <c r="AK278" s="101">
        <v>0</v>
      </c>
      <c r="AL278" s="95" t="b">
        <f t="shared" si="31"/>
        <v>1</v>
      </c>
      <c r="AM278" s="95" t="b">
        <f t="shared" si="32"/>
        <v>1</v>
      </c>
    </row>
    <row r="279" spans="4:39" x14ac:dyDescent="0.25">
      <c r="D279" s="8">
        <v>275</v>
      </c>
      <c r="E279" s="10"/>
      <c r="F279" s="10"/>
      <c r="G279" s="10"/>
      <c r="H279" s="5" t="str">
        <f t="shared" si="28"/>
        <v>det_</v>
      </c>
      <c r="I279" s="5" t="str">
        <f t="shared" si="29"/>
        <v>W:\Performance Measurement\1. Freeway\1. raw data\2010_new\data files\det_.txt</v>
      </c>
      <c r="J279" s="5" t="str">
        <f t="shared" si="30"/>
        <v>W:\Performance Measurement\1. Freeway\1. raw data\2010_new\data files\det_.xlsx</v>
      </c>
      <c r="L279" s="47">
        <v>274</v>
      </c>
      <c r="M279" s="40" t="s">
        <v>77</v>
      </c>
      <c r="N279" s="33">
        <v>593</v>
      </c>
      <c r="O279" s="10">
        <v>3</v>
      </c>
      <c r="P279" s="10">
        <v>0</v>
      </c>
      <c r="Q279" s="22">
        <v>1</v>
      </c>
      <c r="R279" s="96" t="s">
        <v>267</v>
      </c>
      <c r="S279" s="93">
        <v>1</v>
      </c>
      <c r="T279" s="94" t="s">
        <v>226</v>
      </c>
      <c r="U279" s="22">
        <v>13</v>
      </c>
      <c r="V279" s="74"/>
      <c r="W279" s="75"/>
      <c r="Y279" s="27">
        <v>595</v>
      </c>
      <c r="Z279" s="25">
        <v>3</v>
      </c>
      <c r="AA279" s="25">
        <v>1</v>
      </c>
      <c r="AB279" s="22">
        <v>1</v>
      </c>
      <c r="AC279" s="40"/>
      <c r="AH279" s="22" t="s">
        <v>77</v>
      </c>
      <c r="AI279" s="97">
        <v>593</v>
      </c>
      <c r="AJ279" s="102">
        <v>3</v>
      </c>
      <c r="AK279" s="101">
        <v>0</v>
      </c>
      <c r="AL279" s="95" t="b">
        <f t="shared" si="31"/>
        <v>1</v>
      </c>
      <c r="AM279" s="95" t="b">
        <f t="shared" si="32"/>
        <v>1</v>
      </c>
    </row>
    <row r="280" spans="4:39" x14ac:dyDescent="0.25">
      <c r="D280" s="8">
        <v>276</v>
      </c>
      <c r="E280" s="10"/>
      <c r="F280" s="10"/>
      <c r="G280" s="10"/>
      <c r="H280" s="5" t="str">
        <f t="shared" si="28"/>
        <v>det_</v>
      </c>
      <c r="I280" s="5" t="str">
        <f t="shared" si="29"/>
        <v>W:\Performance Measurement\1. Freeway\1. raw data\2010_new\data files\det_.txt</v>
      </c>
      <c r="J280" s="5" t="str">
        <f t="shared" si="30"/>
        <v>W:\Performance Measurement\1. Freeway\1. raw data\2010_new\data files\det_.xlsx</v>
      </c>
      <c r="L280" s="47">
        <v>275</v>
      </c>
      <c r="M280" s="40" t="s">
        <v>77</v>
      </c>
      <c r="N280" s="18">
        <v>579</v>
      </c>
      <c r="O280" s="10">
        <v>3</v>
      </c>
      <c r="P280" s="10">
        <v>0</v>
      </c>
      <c r="Q280" s="22">
        <v>1</v>
      </c>
      <c r="R280" s="96" t="s">
        <v>86</v>
      </c>
      <c r="S280" s="93">
        <v>1</v>
      </c>
      <c r="T280" s="87" t="s">
        <v>226</v>
      </c>
      <c r="U280" s="22">
        <v>1</v>
      </c>
      <c r="V280" s="52"/>
      <c r="W280" s="37"/>
      <c r="Y280" s="27">
        <v>596</v>
      </c>
      <c r="Z280" s="25">
        <v>3</v>
      </c>
      <c r="AA280" s="25">
        <v>1</v>
      </c>
      <c r="AB280" s="22">
        <v>1</v>
      </c>
      <c r="AC280" s="40"/>
      <c r="AH280" s="22" t="s">
        <v>77</v>
      </c>
      <c r="AI280" s="85">
        <v>579</v>
      </c>
      <c r="AJ280" s="102">
        <v>3</v>
      </c>
      <c r="AK280" s="101">
        <v>0</v>
      </c>
      <c r="AL280" s="95" t="b">
        <f t="shared" si="31"/>
        <v>1</v>
      </c>
      <c r="AM280" s="95" t="b">
        <f t="shared" si="32"/>
        <v>1</v>
      </c>
    </row>
    <row r="281" spans="4:39" x14ac:dyDescent="0.25">
      <c r="D281" s="8">
        <v>277</v>
      </c>
      <c r="E281" s="10"/>
      <c r="F281" s="10"/>
      <c r="G281" s="10"/>
      <c r="H281" s="5" t="str">
        <f t="shared" si="28"/>
        <v>det_</v>
      </c>
      <c r="I281" s="5" t="str">
        <f t="shared" si="29"/>
        <v>W:\Performance Measurement\1. Freeway\1. raw data\2010_new\data files\det_.txt</v>
      </c>
      <c r="J281" s="5" t="str">
        <f t="shared" si="30"/>
        <v>W:\Performance Measurement\1. Freeway\1. raw data\2010_new\data files\det_.xlsx</v>
      </c>
      <c r="L281" s="47">
        <v>276</v>
      </c>
      <c r="M281" s="40" t="s">
        <v>77</v>
      </c>
      <c r="N281" s="10">
        <v>580</v>
      </c>
      <c r="O281" s="10">
        <v>3</v>
      </c>
      <c r="P281" s="10">
        <v>0</v>
      </c>
      <c r="Q281" s="22">
        <v>1</v>
      </c>
      <c r="R281" s="96" t="s">
        <v>268</v>
      </c>
      <c r="S281" s="93">
        <v>1</v>
      </c>
      <c r="T281" s="94" t="s">
        <v>226</v>
      </c>
      <c r="U281" s="22">
        <v>1</v>
      </c>
      <c r="V281" s="52"/>
      <c r="W281" s="37"/>
      <c r="Y281" s="27">
        <v>597</v>
      </c>
      <c r="Z281" s="25">
        <v>3</v>
      </c>
      <c r="AA281" s="25">
        <v>1</v>
      </c>
      <c r="AB281" s="22">
        <v>1</v>
      </c>
      <c r="AC281" s="40"/>
      <c r="AH281" s="22" t="s">
        <v>77</v>
      </c>
      <c r="AI281" s="97">
        <v>580</v>
      </c>
      <c r="AJ281" s="102">
        <v>3</v>
      </c>
      <c r="AK281" s="101">
        <v>0</v>
      </c>
      <c r="AL281" s="95" t="b">
        <f t="shared" si="31"/>
        <v>1</v>
      </c>
      <c r="AM281" s="95" t="b">
        <f t="shared" si="32"/>
        <v>1</v>
      </c>
    </row>
    <row r="282" spans="4:39" x14ac:dyDescent="0.25">
      <c r="D282" s="8">
        <v>278</v>
      </c>
      <c r="E282" s="10"/>
      <c r="F282" s="10"/>
      <c r="G282" s="10"/>
      <c r="H282" s="5" t="str">
        <f t="shared" si="28"/>
        <v>det_</v>
      </c>
      <c r="I282" s="5" t="str">
        <f t="shared" si="29"/>
        <v>W:\Performance Measurement\1. Freeway\1. raw data\2010_new\data files\det_.txt</v>
      </c>
      <c r="J282" s="5" t="str">
        <f t="shared" si="30"/>
        <v>W:\Performance Measurement\1. Freeway\1. raw data\2010_new\data files\det_.xlsx</v>
      </c>
      <c r="L282" s="47">
        <v>277</v>
      </c>
      <c r="M282" s="40" t="s">
        <v>77</v>
      </c>
      <c r="N282" s="10">
        <v>581</v>
      </c>
      <c r="O282" s="10">
        <v>3</v>
      </c>
      <c r="P282" s="10">
        <v>0</v>
      </c>
      <c r="Q282" s="22">
        <v>1</v>
      </c>
      <c r="R282" s="96" t="s">
        <v>117</v>
      </c>
      <c r="S282" s="93">
        <v>1</v>
      </c>
      <c r="T282" s="87" t="s">
        <v>226</v>
      </c>
      <c r="U282" s="22">
        <v>1</v>
      </c>
      <c r="V282" s="52"/>
      <c r="W282" s="37"/>
      <c r="Y282" s="27">
        <v>598</v>
      </c>
      <c r="Z282" s="25">
        <v>3</v>
      </c>
      <c r="AA282" s="25">
        <v>1</v>
      </c>
      <c r="AB282" s="22">
        <v>1</v>
      </c>
      <c r="AC282" s="40"/>
      <c r="AH282" s="22" t="s">
        <v>77</v>
      </c>
      <c r="AI282" s="97">
        <v>581</v>
      </c>
      <c r="AJ282" s="102">
        <v>3</v>
      </c>
      <c r="AK282" s="101">
        <v>0</v>
      </c>
      <c r="AL282" s="95" t="b">
        <f t="shared" si="31"/>
        <v>1</v>
      </c>
      <c r="AM282" s="95" t="b">
        <f t="shared" si="32"/>
        <v>1</v>
      </c>
    </row>
    <row r="283" spans="4:39" x14ac:dyDescent="0.25">
      <c r="D283" s="95"/>
      <c r="E283" s="10"/>
      <c r="F283" s="10"/>
      <c r="G283" s="10"/>
      <c r="L283" s="47">
        <v>278</v>
      </c>
      <c r="M283" s="40" t="s">
        <v>77</v>
      </c>
      <c r="N283" s="10">
        <v>582</v>
      </c>
      <c r="O283" s="10">
        <v>3</v>
      </c>
      <c r="P283" s="10">
        <v>0</v>
      </c>
      <c r="Q283" s="22">
        <v>1</v>
      </c>
      <c r="R283" s="96" t="s">
        <v>268</v>
      </c>
      <c r="S283" s="93">
        <v>1</v>
      </c>
      <c r="T283" s="94" t="s">
        <v>226</v>
      </c>
      <c r="U283" s="22">
        <v>1</v>
      </c>
      <c r="V283" s="52"/>
      <c r="W283" s="37"/>
      <c r="Y283" s="27">
        <v>599</v>
      </c>
      <c r="Z283" s="25">
        <v>3</v>
      </c>
      <c r="AA283" s="25">
        <v>1</v>
      </c>
      <c r="AB283" s="22">
        <v>1</v>
      </c>
      <c r="AC283" s="40"/>
      <c r="AH283" s="22" t="s">
        <v>77</v>
      </c>
      <c r="AI283" s="97">
        <v>582</v>
      </c>
      <c r="AJ283" s="102">
        <v>3</v>
      </c>
      <c r="AK283" s="101">
        <v>0</v>
      </c>
      <c r="AL283" s="95" t="b">
        <f t="shared" si="31"/>
        <v>1</v>
      </c>
      <c r="AM283" s="95" t="b">
        <f t="shared" si="32"/>
        <v>1</v>
      </c>
    </row>
    <row r="284" spans="4:39" x14ac:dyDescent="0.25">
      <c r="D284" s="95"/>
      <c r="E284" s="10"/>
      <c r="F284" s="10"/>
      <c r="G284" s="10"/>
      <c r="L284" s="47">
        <v>279</v>
      </c>
      <c r="M284" s="40" t="s">
        <v>77</v>
      </c>
      <c r="N284" s="10">
        <v>583</v>
      </c>
      <c r="O284" s="10">
        <v>3</v>
      </c>
      <c r="P284" s="10">
        <v>0</v>
      </c>
      <c r="Q284" s="22">
        <v>1</v>
      </c>
      <c r="R284" s="96" t="s">
        <v>117</v>
      </c>
      <c r="S284" s="93">
        <v>1</v>
      </c>
      <c r="T284" s="87" t="s">
        <v>226</v>
      </c>
      <c r="U284" s="22">
        <v>1</v>
      </c>
      <c r="V284" s="52"/>
      <c r="W284" s="37"/>
      <c r="Y284" s="27">
        <v>600</v>
      </c>
      <c r="Z284" s="25">
        <v>3</v>
      </c>
      <c r="AA284" s="25">
        <v>1</v>
      </c>
      <c r="AB284" s="22" t="s">
        <v>44</v>
      </c>
      <c r="AC284" s="40"/>
      <c r="AH284" s="22" t="s">
        <v>77</v>
      </c>
      <c r="AI284" s="97">
        <v>583</v>
      </c>
      <c r="AJ284" s="102">
        <v>3</v>
      </c>
      <c r="AK284" s="101">
        <v>0</v>
      </c>
      <c r="AL284" s="95" t="b">
        <f t="shared" si="31"/>
        <v>1</v>
      </c>
      <c r="AM284" s="95" t="b">
        <f t="shared" si="32"/>
        <v>1</v>
      </c>
    </row>
    <row r="285" spans="4:39" x14ac:dyDescent="0.25">
      <c r="D285" s="95"/>
      <c r="E285" s="10"/>
      <c r="F285" s="10"/>
      <c r="G285" s="10"/>
      <c r="L285" s="47">
        <v>280</v>
      </c>
      <c r="M285" s="40" t="s">
        <v>77</v>
      </c>
      <c r="N285" s="10">
        <v>584</v>
      </c>
      <c r="O285" s="10">
        <v>3</v>
      </c>
      <c r="P285" s="10">
        <v>0</v>
      </c>
      <c r="Q285" s="22">
        <v>1</v>
      </c>
      <c r="R285" s="96" t="s">
        <v>269</v>
      </c>
      <c r="S285" s="93">
        <v>1</v>
      </c>
      <c r="T285" s="94" t="s">
        <v>226</v>
      </c>
      <c r="U285" s="22">
        <v>12</v>
      </c>
      <c r="V285" s="74"/>
      <c r="W285" s="75"/>
      <c r="Y285" s="27">
        <v>601</v>
      </c>
      <c r="Z285" s="25">
        <v>3</v>
      </c>
      <c r="AA285" s="25">
        <v>0</v>
      </c>
      <c r="AB285" s="22">
        <v>13</v>
      </c>
      <c r="AC285" s="40"/>
      <c r="AH285" s="22" t="s">
        <v>77</v>
      </c>
      <c r="AI285" s="97">
        <v>584</v>
      </c>
      <c r="AJ285" s="102">
        <v>3</v>
      </c>
      <c r="AK285" s="101">
        <v>0</v>
      </c>
      <c r="AL285" s="95" t="b">
        <f t="shared" si="31"/>
        <v>1</v>
      </c>
      <c r="AM285" s="95" t="b">
        <f t="shared" si="32"/>
        <v>1</v>
      </c>
    </row>
    <row r="286" spans="4:39" x14ac:dyDescent="0.25">
      <c r="D286" s="95"/>
      <c r="E286" s="10"/>
      <c r="F286" s="10"/>
      <c r="G286" s="10"/>
      <c r="L286" s="47">
        <v>281</v>
      </c>
      <c r="M286" s="40" t="s">
        <v>77</v>
      </c>
      <c r="N286" s="10">
        <v>585</v>
      </c>
      <c r="O286" s="10">
        <v>2</v>
      </c>
      <c r="P286" s="10">
        <v>0</v>
      </c>
      <c r="Q286" s="22">
        <v>1</v>
      </c>
      <c r="R286" s="96" t="s">
        <v>270</v>
      </c>
      <c r="S286" s="93">
        <v>1</v>
      </c>
      <c r="T286" s="87" t="s">
        <v>226</v>
      </c>
      <c r="U286" s="22" t="s">
        <v>44</v>
      </c>
      <c r="V286" s="74"/>
      <c r="Y286" s="27">
        <v>602</v>
      </c>
      <c r="Z286" s="25">
        <v>3</v>
      </c>
      <c r="AA286" s="25">
        <v>1</v>
      </c>
      <c r="AB286" s="22">
        <v>1</v>
      </c>
      <c r="AC286" s="40"/>
      <c r="AH286" s="22" t="s">
        <v>77</v>
      </c>
      <c r="AI286" s="97">
        <v>585</v>
      </c>
      <c r="AJ286" s="102">
        <v>2</v>
      </c>
      <c r="AK286" s="101">
        <v>0</v>
      </c>
      <c r="AL286" s="95" t="b">
        <f t="shared" si="31"/>
        <v>1</v>
      </c>
      <c r="AM286" s="95" t="b">
        <f t="shared" si="32"/>
        <v>1</v>
      </c>
    </row>
    <row r="287" spans="4:39" x14ac:dyDescent="0.25">
      <c r="D287" s="95"/>
      <c r="E287" s="10"/>
      <c r="F287" s="10"/>
      <c r="G287" s="10"/>
      <c r="L287" s="47">
        <v>282</v>
      </c>
      <c r="M287" s="40" t="s">
        <v>78</v>
      </c>
      <c r="N287" s="78">
        <v>607</v>
      </c>
      <c r="O287" s="10">
        <v>2</v>
      </c>
      <c r="P287" s="10">
        <v>1</v>
      </c>
      <c r="Q287" s="22">
        <v>1</v>
      </c>
      <c r="R287" s="85"/>
      <c r="S287" s="87"/>
      <c r="T287" s="87"/>
      <c r="U287" s="22">
        <v>1</v>
      </c>
      <c r="V287" s="52"/>
      <c r="W287" s="37"/>
      <c r="Y287" s="27">
        <v>603</v>
      </c>
      <c r="Z287" s="25">
        <v>3</v>
      </c>
      <c r="AA287" s="25">
        <v>1</v>
      </c>
      <c r="AB287" s="22">
        <v>1</v>
      </c>
      <c r="AC287" s="40"/>
      <c r="AH287" s="22" t="s">
        <v>78</v>
      </c>
      <c r="AI287" s="85">
        <v>607</v>
      </c>
      <c r="AJ287" s="102">
        <v>3</v>
      </c>
      <c r="AK287" s="101">
        <v>1</v>
      </c>
      <c r="AL287" s="95" t="b">
        <f t="shared" si="31"/>
        <v>0</v>
      </c>
      <c r="AM287" s="95" t="b">
        <f t="shared" si="32"/>
        <v>1</v>
      </c>
    </row>
    <row r="288" spans="4:39" x14ac:dyDescent="0.25">
      <c r="D288" s="95"/>
      <c r="E288" s="10"/>
      <c r="F288" s="10"/>
      <c r="G288" s="10"/>
      <c r="L288" s="47">
        <v>283</v>
      </c>
      <c r="M288" s="40" t="s">
        <v>78</v>
      </c>
      <c r="N288" s="78">
        <v>608</v>
      </c>
      <c r="O288" s="10">
        <v>3</v>
      </c>
      <c r="P288" s="10">
        <v>1</v>
      </c>
      <c r="Q288" s="22">
        <v>1</v>
      </c>
      <c r="R288" s="85"/>
      <c r="S288" s="87"/>
      <c r="T288" s="87"/>
      <c r="U288" s="22">
        <v>1</v>
      </c>
      <c r="V288" s="52"/>
      <c r="W288" s="37"/>
      <c r="Y288" s="27">
        <v>604</v>
      </c>
      <c r="Z288" s="25">
        <v>3</v>
      </c>
      <c r="AA288" s="25">
        <v>1</v>
      </c>
      <c r="AB288" s="22">
        <v>1</v>
      </c>
      <c r="AC288" s="40"/>
      <c r="AH288" s="22" t="s">
        <v>78</v>
      </c>
      <c r="AI288" s="85">
        <v>608</v>
      </c>
      <c r="AJ288" s="102">
        <v>3</v>
      </c>
      <c r="AK288" s="101">
        <v>1</v>
      </c>
      <c r="AL288" s="95" t="b">
        <f t="shared" si="31"/>
        <v>1</v>
      </c>
      <c r="AM288" s="95" t="b">
        <f t="shared" si="32"/>
        <v>1</v>
      </c>
    </row>
    <row r="289" spans="4:39" x14ac:dyDescent="0.25">
      <c r="D289" s="95"/>
      <c r="E289" s="10"/>
      <c r="F289" s="10"/>
      <c r="G289" s="10"/>
      <c r="L289" s="47">
        <v>284</v>
      </c>
      <c r="M289" s="40" t="s">
        <v>78</v>
      </c>
      <c r="N289" s="78">
        <v>609</v>
      </c>
      <c r="O289" s="10">
        <v>3</v>
      </c>
      <c r="P289" s="10">
        <v>1</v>
      </c>
      <c r="Q289" s="22">
        <v>1</v>
      </c>
      <c r="R289" s="85"/>
      <c r="S289" s="87"/>
      <c r="T289" s="87"/>
      <c r="U289" s="22">
        <v>1</v>
      </c>
      <c r="V289" s="52"/>
      <c r="W289" s="37"/>
      <c r="Y289" s="27">
        <v>605</v>
      </c>
      <c r="Z289" s="25">
        <v>3</v>
      </c>
      <c r="AA289" s="25">
        <v>1</v>
      </c>
      <c r="AB289" s="22">
        <v>1</v>
      </c>
      <c r="AC289" s="40"/>
      <c r="AH289" s="22" t="s">
        <v>78</v>
      </c>
      <c r="AI289" s="85">
        <v>609</v>
      </c>
      <c r="AJ289" s="102">
        <v>3</v>
      </c>
      <c r="AK289" s="101">
        <v>1</v>
      </c>
      <c r="AL289" s="95" t="b">
        <f t="shared" si="31"/>
        <v>1</v>
      </c>
      <c r="AM289" s="95" t="b">
        <f t="shared" si="32"/>
        <v>1</v>
      </c>
    </row>
    <row r="290" spans="4:39" x14ac:dyDescent="0.25">
      <c r="E290" s="10"/>
      <c r="F290" s="10"/>
      <c r="G290" s="10"/>
      <c r="L290" s="47">
        <v>285</v>
      </c>
      <c r="M290" s="40" t="s">
        <v>78</v>
      </c>
      <c r="N290" s="78">
        <v>610</v>
      </c>
      <c r="O290" s="10">
        <v>3</v>
      </c>
      <c r="P290" s="10">
        <v>1</v>
      </c>
      <c r="Q290" s="22">
        <v>1</v>
      </c>
      <c r="R290" s="85"/>
      <c r="S290" s="87"/>
      <c r="T290" s="87"/>
      <c r="U290" s="22">
        <v>1</v>
      </c>
      <c r="V290" s="52"/>
      <c r="W290" s="37"/>
      <c r="Y290" s="27">
        <v>606</v>
      </c>
      <c r="Z290" s="25">
        <v>3</v>
      </c>
      <c r="AA290" s="25">
        <v>1</v>
      </c>
      <c r="AB290" s="22">
        <v>1</v>
      </c>
      <c r="AC290" s="40"/>
      <c r="AH290" s="22" t="s">
        <v>78</v>
      </c>
      <c r="AI290" s="85">
        <v>610</v>
      </c>
      <c r="AJ290" s="102">
        <v>3</v>
      </c>
      <c r="AK290" s="101">
        <v>1</v>
      </c>
      <c r="AL290" s="95" t="b">
        <f t="shared" si="31"/>
        <v>1</v>
      </c>
      <c r="AM290" s="95" t="b">
        <f t="shared" si="32"/>
        <v>1</v>
      </c>
    </row>
    <row r="291" spans="4:39" x14ac:dyDescent="0.25">
      <c r="E291" s="10"/>
      <c r="F291" s="10"/>
      <c r="G291" s="10"/>
      <c r="L291" s="47">
        <v>286</v>
      </c>
      <c r="M291" s="40" t="s">
        <v>78</v>
      </c>
      <c r="N291" s="78">
        <v>611</v>
      </c>
      <c r="O291" s="10">
        <v>3</v>
      </c>
      <c r="P291" s="10">
        <v>1</v>
      </c>
      <c r="Q291" s="22">
        <v>1</v>
      </c>
      <c r="R291" s="85"/>
      <c r="S291" s="87"/>
      <c r="T291" s="87"/>
      <c r="U291" s="21">
        <v>1</v>
      </c>
      <c r="V291" s="52"/>
      <c r="W291" s="37"/>
      <c r="Y291" s="28">
        <v>607</v>
      </c>
      <c r="Z291" s="25">
        <v>2</v>
      </c>
      <c r="AA291" s="25">
        <v>1</v>
      </c>
      <c r="AB291" s="22" t="s">
        <v>44</v>
      </c>
      <c r="AC291" s="40"/>
      <c r="AH291" s="22" t="s">
        <v>78</v>
      </c>
      <c r="AI291" s="85">
        <v>611</v>
      </c>
      <c r="AJ291" s="102">
        <v>3</v>
      </c>
      <c r="AK291" s="101">
        <v>1</v>
      </c>
      <c r="AL291" s="95" t="b">
        <f t="shared" si="31"/>
        <v>1</v>
      </c>
      <c r="AM291" s="95" t="b">
        <f t="shared" si="32"/>
        <v>1</v>
      </c>
    </row>
    <row r="292" spans="4:39" x14ac:dyDescent="0.25">
      <c r="E292" s="10"/>
      <c r="F292" s="10"/>
      <c r="G292" s="10"/>
      <c r="L292" s="47">
        <v>287</v>
      </c>
      <c r="M292" s="40" t="s">
        <v>78</v>
      </c>
      <c r="N292" s="78">
        <v>612</v>
      </c>
      <c r="O292" s="10">
        <v>3</v>
      </c>
      <c r="P292" s="10">
        <v>1</v>
      </c>
      <c r="Q292" s="22">
        <v>1</v>
      </c>
      <c r="R292" s="85"/>
      <c r="S292" s="87"/>
      <c r="T292" s="87"/>
      <c r="U292" s="21">
        <v>1</v>
      </c>
      <c r="V292" s="52"/>
      <c r="W292" s="37"/>
      <c r="Y292" s="28">
        <v>608</v>
      </c>
      <c r="Z292" s="25">
        <v>3</v>
      </c>
      <c r="AA292" s="25">
        <v>1</v>
      </c>
      <c r="AB292" s="22">
        <v>1</v>
      </c>
      <c r="AC292" s="40"/>
      <c r="AH292" s="22" t="s">
        <v>78</v>
      </c>
      <c r="AI292" s="85">
        <v>612</v>
      </c>
      <c r="AJ292" s="102">
        <v>3</v>
      </c>
      <c r="AK292" s="101">
        <v>1</v>
      </c>
      <c r="AL292" s="95" t="b">
        <f t="shared" si="31"/>
        <v>1</v>
      </c>
      <c r="AM292" s="95" t="b">
        <f t="shared" si="32"/>
        <v>1</v>
      </c>
    </row>
    <row r="293" spans="4:39" x14ac:dyDescent="0.25">
      <c r="E293" s="10"/>
      <c r="F293" s="10"/>
      <c r="G293" s="10"/>
      <c r="L293" s="47">
        <v>288</v>
      </c>
      <c r="M293" s="40" t="s">
        <v>78</v>
      </c>
      <c r="N293" s="78">
        <v>613</v>
      </c>
      <c r="O293" s="10">
        <v>3</v>
      </c>
      <c r="P293" s="10">
        <v>1</v>
      </c>
      <c r="Q293" s="22">
        <v>1</v>
      </c>
      <c r="R293" s="85"/>
      <c r="S293" s="87"/>
      <c r="T293" s="87"/>
      <c r="U293" s="21">
        <v>1</v>
      </c>
      <c r="V293" s="52"/>
      <c r="W293" s="37"/>
      <c r="Y293" s="28">
        <v>609</v>
      </c>
      <c r="Z293" s="25">
        <v>3</v>
      </c>
      <c r="AA293" s="25">
        <v>1</v>
      </c>
      <c r="AB293" s="22">
        <v>1</v>
      </c>
      <c r="AC293" s="40"/>
      <c r="AH293" s="22" t="s">
        <v>78</v>
      </c>
      <c r="AI293" s="85">
        <v>613</v>
      </c>
      <c r="AJ293" s="102">
        <v>3</v>
      </c>
      <c r="AK293" s="101">
        <v>1</v>
      </c>
      <c r="AL293" s="95" t="b">
        <f t="shared" si="31"/>
        <v>1</v>
      </c>
      <c r="AM293" s="95" t="b">
        <f t="shared" si="32"/>
        <v>1</v>
      </c>
    </row>
    <row r="294" spans="4:39" x14ac:dyDescent="0.25">
      <c r="E294" s="10"/>
      <c r="F294" s="10"/>
      <c r="G294" s="10"/>
      <c r="L294" s="47">
        <v>289</v>
      </c>
      <c r="M294" s="40" t="s">
        <v>78</v>
      </c>
      <c r="N294" s="78">
        <v>614</v>
      </c>
      <c r="O294" s="10">
        <v>3</v>
      </c>
      <c r="P294" s="10">
        <v>1</v>
      </c>
      <c r="Q294" s="22">
        <v>1</v>
      </c>
      <c r="R294" s="85"/>
      <c r="S294" s="87"/>
      <c r="T294" s="87"/>
      <c r="U294" s="21">
        <v>1</v>
      </c>
      <c r="V294" s="68"/>
      <c r="W294" s="37"/>
      <c r="Y294" s="28">
        <v>610</v>
      </c>
      <c r="Z294" s="25">
        <v>3</v>
      </c>
      <c r="AA294" s="25">
        <v>1</v>
      </c>
      <c r="AB294" s="22">
        <v>1</v>
      </c>
      <c r="AC294" s="40"/>
      <c r="AH294" s="22" t="s">
        <v>78</v>
      </c>
      <c r="AI294" s="85">
        <v>614</v>
      </c>
      <c r="AJ294" s="102">
        <v>3</v>
      </c>
      <c r="AK294" s="101">
        <v>1</v>
      </c>
      <c r="AL294" s="95" t="b">
        <f t="shared" si="31"/>
        <v>1</v>
      </c>
      <c r="AM294" s="95" t="b">
        <f t="shared" si="32"/>
        <v>1</v>
      </c>
    </row>
    <row r="295" spans="4:39" x14ac:dyDescent="0.25">
      <c r="E295" s="10"/>
      <c r="F295" s="10"/>
      <c r="G295" s="10"/>
      <c r="L295" s="47">
        <v>290</v>
      </c>
      <c r="M295" s="40" t="s">
        <v>78</v>
      </c>
      <c r="N295" s="78">
        <v>615</v>
      </c>
      <c r="O295" s="10">
        <v>3</v>
      </c>
      <c r="P295" s="10">
        <v>1</v>
      </c>
      <c r="Q295" s="22">
        <v>1</v>
      </c>
      <c r="R295" s="85"/>
      <c r="S295" s="87"/>
      <c r="T295" s="87"/>
      <c r="U295" s="21">
        <v>1</v>
      </c>
      <c r="V295" s="52"/>
      <c r="W295" s="37"/>
      <c r="Y295" s="28">
        <v>611</v>
      </c>
      <c r="Z295" s="25">
        <v>3</v>
      </c>
      <c r="AA295" s="25">
        <v>1</v>
      </c>
      <c r="AB295" s="22">
        <v>1</v>
      </c>
      <c r="AC295" s="40"/>
      <c r="AH295" s="22" t="s">
        <v>78</v>
      </c>
      <c r="AI295" s="85">
        <v>615</v>
      </c>
      <c r="AJ295" s="102">
        <v>3</v>
      </c>
      <c r="AK295" s="101">
        <v>1</v>
      </c>
      <c r="AL295" s="95" t="b">
        <f t="shared" si="31"/>
        <v>1</v>
      </c>
      <c r="AM295" s="95" t="b">
        <f t="shared" si="32"/>
        <v>1</v>
      </c>
    </row>
    <row r="296" spans="4:39" x14ac:dyDescent="0.25">
      <c r="E296" s="10"/>
      <c r="F296" s="10"/>
      <c r="G296" s="10"/>
      <c r="L296" s="47">
        <v>291</v>
      </c>
      <c r="M296" s="40" t="s">
        <v>78</v>
      </c>
      <c r="N296" s="78">
        <v>616</v>
      </c>
      <c r="O296" s="10">
        <v>3</v>
      </c>
      <c r="P296" s="10">
        <v>1</v>
      </c>
      <c r="Q296" s="22">
        <v>1</v>
      </c>
      <c r="R296" s="85"/>
      <c r="S296" s="87"/>
      <c r="T296" s="87"/>
      <c r="U296" s="21">
        <v>1</v>
      </c>
      <c r="V296" s="52"/>
      <c r="W296" s="37"/>
      <c r="Y296" s="28">
        <v>612</v>
      </c>
      <c r="Z296" s="25">
        <v>3</v>
      </c>
      <c r="AA296" s="25">
        <v>1</v>
      </c>
      <c r="AB296" s="22">
        <v>1</v>
      </c>
      <c r="AC296" s="40"/>
      <c r="AH296" s="22" t="s">
        <v>78</v>
      </c>
      <c r="AI296" s="85">
        <v>616</v>
      </c>
      <c r="AJ296" s="102">
        <v>3</v>
      </c>
      <c r="AK296" s="101">
        <v>1</v>
      </c>
      <c r="AL296" s="95" t="b">
        <f t="shared" si="31"/>
        <v>1</v>
      </c>
      <c r="AM296" s="95" t="b">
        <f t="shared" si="32"/>
        <v>1</v>
      </c>
    </row>
    <row r="297" spans="4:39" x14ac:dyDescent="0.25">
      <c r="L297" s="47">
        <v>292</v>
      </c>
      <c r="M297" s="40" t="s">
        <v>78</v>
      </c>
      <c r="N297" s="78">
        <v>617</v>
      </c>
      <c r="O297" s="10">
        <v>3</v>
      </c>
      <c r="P297" s="10">
        <v>1</v>
      </c>
      <c r="Q297" s="22">
        <v>1</v>
      </c>
      <c r="R297" s="85"/>
      <c r="S297" s="87"/>
      <c r="T297" s="87"/>
      <c r="U297" s="21">
        <v>1</v>
      </c>
      <c r="V297" s="52"/>
      <c r="W297" s="37"/>
      <c r="Y297" s="28">
        <v>613</v>
      </c>
      <c r="Z297" s="25">
        <v>3</v>
      </c>
      <c r="AA297" s="25">
        <v>1</v>
      </c>
      <c r="AB297" s="22">
        <v>1</v>
      </c>
      <c r="AC297" s="40"/>
      <c r="AH297" s="22" t="s">
        <v>78</v>
      </c>
      <c r="AI297" s="85">
        <v>617</v>
      </c>
      <c r="AJ297" s="102">
        <v>3</v>
      </c>
      <c r="AK297" s="101">
        <v>1</v>
      </c>
      <c r="AL297" s="95" t="b">
        <f t="shared" si="31"/>
        <v>1</v>
      </c>
      <c r="AM297" s="95" t="b">
        <f t="shared" si="32"/>
        <v>1</v>
      </c>
    </row>
    <row r="298" spans="4:39" x14ac:dyDescent="0.25">
      <c r="L298" s="47">
        <v>293</v>
      </c>
      <c r="M298" s="40" t="s">
        <v>78</v>
      </c>
      <c r="N298" s="78">
        <v>618</v>
      </c>
      <c r="O298" s="10">
        <v>3</v>
      </c>
      <c r="P298" s="10">
        <v>1</v>
      </c>
      <c r="Q298" s="22">
        <v>1</v>
      </c>
      <c r="R298" s="85"/>
      <c r="S298" s="87"/>
      <c r="T298" s="87"/>
      <c r="U298" s="21">
        <v>1</v>
      </c>
      <c r="V298" s="52"/>
      <c r="W298" s="37"/>
      <c r="Y298" s="28">
        <v>614</v>
      </c>
      <c r="Z298" s="25">
        <v>3</v>
      </c>
      <c r="AA298" s="25">
        <v>1</v>
      </c>
      <c r="AB298" s="22">
        <v>1</v>
      </c>
      <c r="AC298" s="40"/>
      <c r="AH298" s="22" t="s">
        <v>78</v>
      </c>
      <c r="AI298" s="85">
        <v>618</v>
      </c>
      <c r="AJ298" s="102">
        <v>3</v>
      </c>
      <c r="AK298" s="101">
        <v>1</v>
      </c>
      <c r="AL298" s="95" t="b">
        <f t="shared" si="31"/>
        <v>1</v>
      </c>
      <c r="AM298" s="95" t="b">
        <f t="shared" si="32"/>
        <v>1</v>
      </c>
    </row>
    <row r="299" spans="4:39" x14ac:dyDescent="0.25">
      <c r="L299" s="47">
        <v>294</v>
      </c>
      <c r="M299" s="40" t="s">
        <v>78</v>
      </c>
      <c r="N299" s="78">
        <v>619</v>
      </c>
      <c r="O299" s="10">
        <v>3</v>
      </c>
      <c r="P299" s="10">
        <v>1</v>
      </c>
      <c r="Q299" s="22">
        <v>1</v>
      </c>
      <c r="R299" s="85"/>
      <c r="S299" s="87"/>
      <c r="T299" s="87"/>
      <c r="U299" s="21">
        <v>1</v>
      </c>
      <c r="V299" s="52"/>
      <c r="W299" s="37"/>
      <c r="Y299" s="28">
        <v>615</v>
      </c>
      <c r="Z299" s="25">
        <v>3</v>
      </c>
      <c r="AA299" s="25">
        <v>1</v>
      </c>
      <c r="AB299" s="22">
        <v>1</v>
      </c>
      <c r="AC299" s="40"/>
      <c r="AH299" s="22" t="s">
        <v>78</v>
      </c>
      <c r="AI299" s="85">
        <v>619</v>
      </c>
      <c r="AJ299" s="102">
        <v>3</v>
      </c>
      <c r="AK299" s="101">
        <v>1</v>
      </c>
      <c r="AL299" s="95" t="b">
        <f t="shared" si="31"/>
        <v>1</v>
      </c>
      <c r="AM299" s="95" t="b">
        <f t="shared" si="32"/>
        <v>1</v>
      </c>
    </row>
    <row r="300" spans="4:39" x14ac:dyDescent="0.25">
      <c r="L300" s="47">
        <v>295</v>
      </c>
      <c r="M300" s="40" t="s">
        <v>78</v>
      </c>
      <c r="N300" s="78">
        <v>620</v>
      </c>
      <c r="O300" s="10">
        <v>3</v>
      </c>
      <c r="P300" s="10">
        <v>1</v>
      </c>
      <c r="Q300" s="22">
        <v>1</v>
      </c>
      <c r="R300" s="85"/>
      <c r="S300" s="87"/>
      <c r="T300" s="87"/>
      <c r="U300" s="21" t="s">
        <v>44</v>
      </c>
      <c r="Y300" s="28">
        <v>616</v>
      </c>
      <c r="Z300" s="25">
        <v>3</v>
      </c>
      <c r="AA300" s="25">
        <v>1</v>
      </c>
      <c r="AB300" s="22">
        <v>1</v>
      </c>
      <c r="AC300" s="40"/>
      <c r="AH300" s="22" t="s">
        <v>78</v>
      </c>
      <c r="AI300" s="85">
        <v>620</v>
      </c>
      <c r="AJ300" s="102">
        <v>3</v>
      </c>
      <c r="AK300" s="101">
        <v>1</v>
      </c>
      <c r="AL300" s="95" t="b">
        <f t="shared" si="31"/>
        <v>1</v>
      </c>
      <c r="AM300" s="95" t="b">
        <f t="shared" si="32"/>
        <v>1</v>
      </c>
    </row>
    <row r="301" spans="4:39" x14ac:dyDescent="0.25">
      <c r="L301" s="47">
        <v>296</v>
      </c>
      <c r="M301" s="40" t="s">
        <v>78</v>
      </c>
      <c r="N301" s="78">
        <v>621</v>
      </c>
      <c r="O301" s="10">
        <v>3</v>
      </c>
      <c r="P301" s="10">
        <v>1</v>
      </c>
      <c r="Q301" s="22">
        <v>1</v>
      </c>
      <c r="R301" s="85"/>
      <c r="S301" s="87"/>
      <c r="T301" s="87"/>
      <c r="U301" s="19" t="s">
        <v>44</v>
      </c>
      <c r="V301" s="74"/>
      <c r="W301" s="75"/>
      <c r="Y301" s="28">
        <v>617</v>
      </c>
      <c r="Z301" s="25">
        <v>3</v>
      </c>
      <c r="AA301" s="25">
        <v>1</v>
      </c>
      <c r="AB301" s="22">
        <v>1</v>
      </c>
      <c r="AC301" s="40"/>
      <c r="AH301" s="22" t="s">
        <v>78</v>
      </c>
      <c r="AI301" s="85">
        <v>621</v>
      </c>
      <c r="AJ301" s="102">
        <v>3</v>
      </c>
      <c r="AK301" s="101">
        <v>1</v>
      </c>
      <c r="AL301" s="95" t="b">
        <f t="shared" si="31"/>
        <v>1</v>
      </c>
      <c r="AM301" s="95" t="b">
        <f t="shared" si="32"/>
        <v>1</v>
      </c>
    </row>
    <row r="302" spans="4:39" x14ac:dyDescent="0.25">
      <c r="L302" s="47">
        <v>297</v>
      </c>
      <c r="M302" s="39" t="s">
        <v>79</v>
      </c>
      <c r="N302" s="10">
        <v>527</v>
      </c>
      <c r="O302" s="10">
        <v>3</v>
      </c>
      <c r="P302" s="10">
        <v>1</v>
      </c>
      <c r="Q302" s="23">
        <v>1</v>
      </c>
      <c r="R302" s="84"/>
      <c r="S302" s="83"/>
      <c r="T302" s="83"/>
      <c r="U302" s="23">
        <v>1</v>
      </c>
      <c r="V302" s="76"/>
      <c r="W302" s="57"/>
      <c r="Y302" s="28">
        <v>618</v>
      </c>
      <c r="Z302" s="25">
        <v>3</v>
      </c>
      <c r="AA302" s="25">
        <v>1</v>
      </c>
      <c r="AB302" s="22">
        <v>1</v>
      </c>
      <c r="AC302" s="40"/>
      <c r="AH302" s="23" t="s">
        <v>79</v>
      </c>
      <c r="AI302" s="84">
        <v>527</v>
      </c>
      <c r="AJ302" s="102">
        <v>3</v>
      </c>
      <c r="AK302" s="101">
        <v>1</v>
      </c>
      <c r="AL302" s="95" t="b">
        <f t="shared" si="31"/>
        <v>1</v>
      </c>
      <c r="AM302" s="95" t="b">
        <f t="shared" si="32"/>
        <v>1</v>
      </c>
    </row>
    <row r="303" spans="4:39" x14ac:dyDescent="0.25">
      <c r="L303" s="47">
        <v>298</v>
      </c>
      <c r="M303" s="39" t="s">
        <v>79</v>
      </c>
      <c r="N303" s="10">
        <v>528</v>
      </c>
      <c r="O303" s="10">
        <v>5</v>
      </c>
      <c r="P303" s="10">
        <v>1</v>
      </c>
      <c r="Q303" s="23">
        <v>1</v>
      </c>
      <c r="R303" s="84"/>
      <c r="S303" s="83"/>
      <c r="T303" s="83"/>
      <c r="U303" s="23">
        <v>1</v>
      </c>
      <c r="V303" s="76"/>
      <c r="W303" s="57"/>
      <c r="Y303" s="28">
        <v>619</v>
      </c>
      <c r="Z303" s="25">
        <v>3</v>
      </c>
      <c r="AA303" s="25">
        <v>1</v>
      </c>
      <c r="AB303" s="22">
        <v>1</v>
      </c>
      <c r="AC303" s="40"/>
      <c r="AH303" s="23" t="s">
        <v>79</v>
      </c>
      <c r="AI303" s="84">
        <v>528</v>
      </c>
      <c r="AJ303" s="102">
        <v>5</v>
      </c>
      <c r="AK303" s="101">
        <v>1</v>
      </c>
      <c r="AL303" s="95" t="b">
        <f t="shared" si="31"/>
        <v>1</v>
      </c>
      <c r="AM303" s="95" t="b">
        <f t="shared" si="32"/>
        <v>1</v>
      </c>
    </row>
    <row r="304" spans="4:39" x14ac:dyDescent="0.25">
      <c r="L304" s="47">
        <v>299</v>
      </c>
      <c r="M304" s="39" t="s">
        <v>79</v>
      </c>
      <c r="N304" s="10">
        <v>529</v>
      </c>
      <c r="O304" s="10">
        <v>4</v>
      </c>
      <c r="P304" s="10">
        <v>1</v>
      </c>
      <c r="Q304" s="23">
        <v>1</v>
      </c>
      <c r="R304" s="84"/>
      <c r="S304" s="83"/>
      <c r="T304" s="83"/>
      <c r="U304" s="23" t="s">
        <v>44</v>
      </c>
      <c r="V304" s="74"/>
      <c r="W304" s="75"/>
      <c r="Y304" s="28">
        <v>620</v>
      </c>
      <c r="Z304" s="25">
        <v>3</v>
      </c>
      <c r="AA304" s="25">
        <v>1</v>
      </c>
      <c r="AB304" s="22">
        <v>1</v>
      </c>
      <c r="AC304" s="40"/>
      <c r="AH304" s="23" t="s">
        <v>79</v>
      </c>
      <c r="AI304" s="84">
        <v>529</v>
      </c>
      <c r="AJ304" s="102">
        <v>4</v>
      </c>
      <c r="AK304" s="101">
        <v>1</v>
      </c>
      <c r="AL304" s="95" t="b">
        <f t="shared" si="31"/>
        <v>1</v>
      </c>
      <c r="AM304" s="95" t="b">
        <f t="shared" si="32"/>
        <v>1</v>
      </c>
    </row>
    <row r="305" spans="12:39" x14ac:dyDescent="0.25">
      <c r="L305" s="47">
        <v>300</v>
      </c>
      <c r="M305" s="39" t="s">
        <v>79</v>
      </c>
      <c r="N305" s="33">
        <v>530</v>
      </c>
      <c r="O305" s="10">
        <v>3</v>
      </c>
      <c r="P305" s="10">
        <v>1</v>
      </c>
      <c r="Q305" s="23">
        <v>1</v>
      </c>
      <c r="R305" s="84"/>
      <c r="S305" s="83"/>
      <c r="T305" s="83"/>
      <c r="U305" s="23">
        <v>1</v>
      </c>
      <c r="V305" s="44"/>
      <c r="W305" s="57"/>
      <c r="Y305" s="28">
        <v>621</v>
      </c>
      <c r="Z305" s="25">
        <v>3</v>
      </c>
      <c r="AA305" s="25">
        <v>1</v>
      </c>
      <c r="AB305" s="22" t="s">
        <v>44</v>
      </c>
      <c r="AC305" s="40"/>
      <c r="AH305" s="23" t="s">
        <v>79</v>
      </c>
      <c r="AI305" s="84">
        <v>530</v>
      </c>
      <c r="AJ305" s="102">
        <v>3</v>
      </c>
      <c r="AK305" s="101">
        <v>1</v>
      </c>
      <c r="AL305" s="95" t="b">
        <f t="shared" si="31"/>
        <v>1</v>
      </c>
      <c r="AM305" s="95" t="b">
        <f t="shared" si="32"/>
        <v>1</v>
      </c>
    </row>
    <row r="306" spans="12:39" x14ac:dyDescent="0.25">
      <c r="L306" s="47">
        <v>301</v>
      </c>
      <c r="M306" s="39" t="s">
        <v>79</v>
      </c>
      <c r="N306" s="10">
        <v>531</v>
      </c>
      <c r="O306" s="10">
        <v>3</v>
      </c>
      <c r="P306" s="10">
        <v>1</v>
      </c>
      <c r="Q306" s="23">
        <v>1</v>
      </c>
      <c r="R306" s="84"/>
      <c r="S306" s="83"/>
      <c r="T306" s="83"/>
      <c r="U306" s="47"/>
      <c r="Y306" s="30">
        <v>12</v>
      </c>
      <c r="Z306" s="10"/>
      <c r="AA306" s="10"/>
      <c r="AB306" s="19"/>
      <c r="AC306" s="40"/>
      <c r="AH306" s="23" t="s">
        <v>79</v>
      </c>
      <c r="AI306" s="84">
        <v>531</v>
      </c>
      <c r="AJ306" s="102">
        <v>3</v>
      </c>
      <c r="AK306" s="101">
        <v>1</v>
      </c>
      <c r="AL306" s="95" t="b">
        <f t="shared" si="31"/>
        <v>1</v>
      </c>
      <c r="AM306" s="95" t="b">
        <f t="shared" si="32"/>
        <v>1</v>
      </c>
    </row>
    <row r="307" spans="12:39" x14ac:dyDescent="0.25">
      <c r="M307" s="47"/>
      <c r="N307" s="47"/>
      <c r="O307" s="47"/>
      <c r="P307" s="47"/>
      <c r="Q307" s="47"/>
      <c r="R307" s="47"/>
      <c r="S307" s="47"/>
      <c r="T307" s="47"/>
      <c r="U307" s="47"/>
      <c r="Y307" s="30">
        <v>13</v>
      </c>
      <c r="Z307" s="10"/>
      <c r="AA307" s="10"/>
      <c r="AB307" s="21"/>
      <c r="AC307" s="40"/>
    </row>
    <row r="308" spans="12:39" x14ac:dyDescent="0.25">
      <c r="M308" s="47"/>
      <c r="N308" s="47"/>
      <c r="O308" s="47"/>
      <c r="P308" s="47"/>
      <c r="Q308" s="47"/>
      <c r="R308" s="47"/>
      <c r="S308" s="47"/>
      <c r="T308" s="47"/>
      <c r="U308" s="47"/>
      <c r="Y308" s="30">
        <v>14</v>
      </c>
      <c r="Z308" s="10"/>
      <c r="AA308" s="10"/>
      <c r="AB308" s="21"/>
      <c r="AC308" s="40"/>
    </row>
    <row r="309" spans="12:39" x14ac:dyDescent="0.25">
      <c r="M309" s="47"/>
      <c r="N309" s="47"/>
      <c r="O309" s="47"/>
      <c r="P309" s="47"/>
      <c r="Q309" s="47"/>
      <c r="R309" s="47"/>
      <c r="S309" s="47"/>
      <c r="T309" s="47"/>
      <c r="U309" s="46"/>
      <c r="Y309" s="25" t="s">
        <v>44</v>
      </c>
      <c r="Z309" s="10"/>
      <c r="AA309" s="10"/>
      <c r="AB309" s="23"/>
      <c r="AC309" s="39"/>
    </row>
    <row r="310" spans="12:39" x14ac:dyDescent="0.25">
      <c r="N310" s="46"/>
      <c r="O310" s="46"/>
      <c r="P310" s="46"/>
      <c r="Q310" s="46"/>
      <c r="R310" s="46"/>
      <c r="S310" s="46"/>
      <c r="T310" s="46"/>
      <c r="U310" s="46"/>
      <c r="Y310" s="27" t="s">
        <v>43</v>
      </c>
      <c r="Z310" s="10"/>
      <c r="AA310" s="10"/>
      <c r="AB310" s="22"/>
      <c r="AC310" s="40"/>
    </row>
    <row r="311" spans="12:39" x14ac:dyDescent="0.25">
      <c r="N311" s="46"/>
      <c r="O311" s="46"/>
      <c r="P311" s="46"/>
      <c r="Q311" s="46"/>
      <c r="R311" s="46"/>
      <c r="S311" s="46"/>
      <c r="T311" s="46"/>
      <c r="U311" s="46"/>
      <c r="Y311" s="25" t="s">
        <v>45</v>
      </c>
      <c r="Z311" s="10"/>
      <c r="AA311" s="10"/>
      <c r="AB311" s="23"/>
      <c r="AC311" s="39"/>
    </row>
    <row r="312" spans="12:39" x14ac:dyDescent="0.25">
      <c r="N312" s="46"/>
      <c r="O312" s="46"/>
      <c r="P312" s="46"/>
      <c r="Q312" s="46"/>
      <c r="R312" s="46"/>
      <c r="S312" s="46"/>
      <c r="T312" s="46"/>
      <c r="U312" s="46"/>
      <c r="Y312" s="25" t="s">
        <v>41</v>
      </c>
      <c r="Z312" s="10"/>
      <c r="AA312" s="10"/>
      <c r="AB312" s="23"/>
      <c r="AC312" s="39"/>
    </row>
    <row r="313" spans="12:39" x14ac:dyDescent="0.25">
      <c r="N313" s="46"/>
      <c r="O313" s="46"/>
      <c r="P313" s="46"/>
      <c r="Q313" s="46"/>
      <c r="R313" s="46"/>
      <c r="S313" s="46"/>
      <c r="T313" s="46"/>
      <c r="U313" s="46"/>
      <c r="V313" s="44"/>
      <c r="W313" s="57"/>
    </row>
    <row r="314" spans="12:39" x14ac:dyDescent="0.25">
      <c r="N314" s="46"/>
      <c r="O314" s="46"/>
      <c r="P314" s="46"/>
      <c r="Q314" s="46"/>
      <c r="R314" s="46"/>
      <c r="S314" s="46"/>
      <c r="T314" s="46"/>
      <c r="U314" s="46"/>
      <c r="V314" s="44"/>
      <c r="W314" s="57"/>
    </row>
    <row r="315" spans="12:39" x14ac:dyDescent="0.25">
      <c r="N315" s="46"/>
      <c r="O315" s="46"/>
      <c r="P315" s="46"/>
      <c r="Q315" s="46"/>
      <c r="R315" s="46"/>
      <c r="S315" s="46"/>
      <c r="T315" s="46"/>
      <c r="U315" s="46"/>
      <c r="V315" s="44"/>
      <c r="W315" s="57"/>
    </row>
    <row r="316" spans="12:39" x14ac:dyDescent="0.25">
      <c r="N316" s="46"/>
      <c r="O316" s="46"/>
      <c r="P316" s="46"/>
      <c r="Q316" s="46"/>
      <c r="R316" s="46"/>
      <c r="S316" s="46"/>
      <c r="T316" s="46"/>
      <c r="U316" s="46"/>
      <c r="V316" s="44"/>
      <c r="W316" s="57"/>
    </row>
    <row r="317" spans="12:39" x14ac:dyDescent="0.25">
      <c r="N317" s="46"/>
      <c r="O317" s="46"/>
      <c r="P317" s="46"/>
      <c r="Q317" s="46"/>
      <c r="R317" s="46"/>
      <c r="S317" s="46"/>
      <c r="T317" s="46"/>
      <c r="U317" s="46"/>
      <c r="V317" s="44"/>
      <c r="W317" s="57"/>
    </row>
    <row r="318" spans="12:39" x14ac:dyDescent="0.25">
      <c r="N318" s="46"/>
      <c r="O318" s="46"/>
      <c r="P318" s="46"/>
      <c r="Q318" s="46"/>
      <c r="R318" s="46"/>
      <c r="S318" s="46"/>
      <c r="T318" s="46"/>
      <c r="U318" s="46"/>
      <c r="V318" s="52"/>
      <c r="W318" s="37"/>
    </row>
    <row r="319" spans="12:39" x14ac:dyDescent="0.25">
      <c r="N319" s="46"/>
      <c r="O319" s="46"/>
      <c r="P319" s="46"/>
      <c r="Q319" s="46"/>
      <c r="R319" s="46"/>
      <c r="S319" s="46"/>
      <c r="T319" s="46"/>
      <c r="U319" s="46"/>
      <c r="V319" s="44"/>
      <c r="W319" s="57"/>
    </row>
    <row r="320" spans="12:39" x14ac:dyDescent="0.25">
      <c r="N320" s="46"/>
      <c r="O320" s="46"/>
      <c r="P320" s="46"/>
      <c r="Q320" s="46"/>
      <c r="R320" s="46"/>
      <c r="S320" s="46"/>
      <c r="T320" s="46"/>
      <c r="U320" s="46"/>
      <c r="V320" s="44"/>
      <c r="W320" s="57"/>
    </row>
    <row r="321" spans="14:23" x14ac:dyDescent="0.25">
      <c r="N321" s="46"/>
      <c r="O321" s="46"/>
      <c r="P321" s="46"/>
      <c r="Q321" s="46"/>
      <c r="R321" s="46"/>
      <c r="S321" s="46"/>
      <c r="T321" s="46"/>
      <c r="U321" s="46"/>
      <c r="V321" s="44"/>
      <c r="W321" s="57"/>
    </row>
    <row r="322" spans="14:23" x14ac:dyDescent="0.25">
      <c r="N322" s="46"/>
      <c r="O322" s="46"/>
      <c r="P322" s="46"/>
      <c r="Q322" s="46"/>
      <c r="R322" s="46"/>
      <c r="S322" s="46"/>
      <c r="T322" s="46"/>
      <c r="U322" s="46"/>
      <c r="V322" s="44"/>
      <c r="W322" s="57"/>
    </row>
    <row r="323" spans="14:23" x14ac:dyDescent="0.25">
      <c r="N323" s="46"/>
      <c r="O323" s="46"/>
      <c r="P323" s="46"/>
      <c r="Q323" s="46"/>
      <c r="R323" s="46"/>
      <c r="S323" s="46"/>
      <c r="T323" s="46"/>
      <c r="U323" s="46"/>
      <c r="V323" s="44"/>
      <c r="W323" s="57"/>
    </row>
    <row r="324" spans="14:23" x14ac:dyDescent="0.25">
      <c r="N324" s="46"/>
      <c r="O324" s="46"/>
      <c r="P324" s="46"/>
      <c r="Q324" s="46"/>
      <c r="R324" s="46"/>
      <c r="S324" s="46"/>
      <c r="T324" s="46"/>
      <c r="U324" s="46"/>
      <c r="V324" s="44"/>
      <c r="W324" s="57"/>
    </row>
    <row r="325" spans="14:23" x14ac:dyDescent="0.25">
      <c r="N325" s="46"/>
      <c r="O325" s="46"/>
      <c r="P325" s="46"/>
      <c r="Q325" s="46"/>
      <c r="R325" s="46"/>
      <c r="S325" s="46"/>
      <c r="T325" s="46"/>
      <c r="U325" s="46"/>
      <c r="V325" s="44"/>
      <c r="W325" s="57"/>
    </row>
    <row r="326" spans="14:23" x14ac:dyDescent="0.25">
      <c r="N326" s="46"/>
      <c r="O326" s="46"/>
      <c r="P326" s="46"/>
      <c r="Q326" s="46"/>
      <c r="R326" s="46"/>
      <c r="S326" s="46"/>
      <c r="T326" s="46"/>
      <c r="U326" s="46"/>
      <c r="V326" s="44"/>
      <c r="W326" s="57"/>
    </row>
    <row r="327" spans="14:23" x14ac:dyDescent="0.25">
      <c r="N327" s="46"/>
      <c r="O327" s="46"/>
      <c r="P327" s="46"/>
      <c r="Q327" s="46"/>
      <c r="R327" s="46"/>
      <c r="S327" s="46"/>
      <c r="T327" s="46"/>
      <c r="U327" s="46"/>
      <c r="V327" s="44"/>
      <c r="W327" s="57"/>
    </row>
    <row r="328" spans="14:23" x14ac:dyDescent="0.25">
      <c r="N328" s="46"/>
      <c r="O328" s="46"/>
      <c r="P328" s="46"/>
      <c r="Q328" s="46"/>
      <c r="R328" s="46"/>
      <c r="S328" s="46"/>
      <c r="T328" s="46"/>
      <c r="U328" s="46"/>
    </row>
    <row r="329" spans="14:23" x14ac:dyDescent="0.25">
      <c r="N329" s="46"/>
      <c r="O329" s="46"/>
      <c r="P329" s="46"/>
      <c r="Q329" s="46"/>
      <c r="R329" s="46"/>
      <c r="S329" s="46"/>
      <c r="T329" s="46"/>
      <c r="U329" s="46"/>
    </row>
    <row r="330" spans="14:23" x14ac:dyDescent="0.25">
      <c r="N330" s="46"/>
      <c r="O330" s="46"/>
      <c r="P330" s="46"/>
      <c r="Q330" s="46"/>
      <c r="R330" s="46"/>
      <c r="S330" s="46"/>
      <c r="T330" s="46"/>
      <c r="U330" s="46"/>
    </row>
    <row r="331" spans="14:23" x14ac:dyDescent="0.25">
      <c r="N331" s="46"/>
      <c r="O331" s="46"/>
      <c r="P331" s="46"/>
      <c r="Q331" s="46"/>
      <c r="R331" s="46"/>
      <c r="S331" s="46"/>
      <c r="T331" s="46"/>
      <c r="U331" s="46"/>
    </row>
    <row r="332" spans="14:23" x14ac:dyDescent="0.25">
      <c r="N332" s="46"/>
      <c r="O332" s="46"/>
      <c r="P332" s="46"/>
      <c r="Q332" s="46"/>
      <c r="R332" s="46"/>
      <c r="S332" s="46"/>
      <c r="T332" s="46"/>
      <c r="U332" s="46"/>
    </row>
    <row r="333" spans="14:23" x14ac:dyDescent="0.25">
      <c r="N333" s="46"/>
      <c r="O333" s="46"/>
      <c r="P333" s="46"/>
      <c r="Q333" s="46"/>
      <c r="R333" s="46"/>
      <c r="S333" s="46"/>
      <c r="T333" s="46"/>
    </row>
  </sheetData>
  <sortState ref="L5:U305">
    <sortCondition ref="L5:L305"/>
  </sortState>
  <mergeCells count="2">
    <mergeCell ref="U3:W3"/>
    <mergeCell ref="Q3:S3"/>
  </mergeCells>
  <conditionalFormatting sqref="V169:V176 V193 V206 V117:V125 V70:V77 R49:R55 R204 R217">
    <cfRule type="cellIs" dxfId="7" priority="15" operator="lessThan">
      <formula>0.95</formula>
    </cfRule>
  </conditionalFormatting>
  <conditionalFormatting sqref="AL4:AM306">
    <cfRule type="cellIs" dxfId="6"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locked="0" defaultSize="0" print="0" autoFill="0" autoPict="0" macro="[0]!Step3">
                <anchor moveWithCells="1" sizeWithCells="1">
                  <from>
                    <xdr:col>1</xdr:col>
                    <xdr:colOff>0</xdr:colOff>
                    <xdr:row>2</xdr:row>
                    <xdr:rowOff>0</xdr:rowOff>
                  </from>
                  <to>
                    <xdr:col>2</xdr:col>
                    <xdr:colOff>638175</xdr:colOff>
                    <xdr:row>3</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X332"/>
  <sheetViews>
    <sheetView topLeftCell="A178" zoomScaleNormal="100" workbookViewId="0">
      <selection activeCell="O128" sqref="O128"/>
    </sheetView>
  </sheetViews>
  <sheetFormatPr defaultRowHeight="15" x14ac:dyDescent="0.25"/>
  <cols>
    <col min="1" max="1" width="4.140625" style="8" customWidth="1"/>
    <col min="2" max="2" width="10.7109375" style="8" customWidth="1"/>
    <col min="3" max="3" width="21.7109375" style="8" customWidth="1"/>
    <col min="4" max="4" width="8.7109375" style="8" customWidth="1"/>
    <col min="5" max="8" width="10.7109375" style="8" customWidth="1"/>
    <col min="9" max="10" width="20.7109375" style="8" customWidth="1"/>
    <col min="11" max="11" width="9.140625" style="8" customWidth="1"/>
    <col min="12" max="13" width="9.140625" style="46"/>
    <col min="14" max="16" width="9.140625" style="31"/>
    <col min="17" max="17" width="9.140625" style="8"/>
    <col min="18" max="18" width="9.140625" style="51"/>
    <col min="19" max="20" width="9.140625" style="55"/>
    <col min="21" max="16384" width="9.140625" style="8"/>
  </cols>
  <sheetData>
    <row r="1" spans="2:24" ht="18.75" x14ac:dyDescent="0.3">
      <c r="B1" s="13" t="s">
        <v>21</v>
      </c>
      <c r="C1" s="13"/>
      <c r="D1" s="13"/>
      <c r="E1" s="13"/>
      <c r="H1" s="13"/>
      <c r="I1" s="12" t="s">
        <v>20</v>
      </c>
    </row>
    <row r="2" spans="2:24" x14ac:dyDescent="0.25">
      <c r="E2" s="6"/>
      <c r="F2" s="6"/>
      <c r="G2" s="6"/>
      <c r="H2" s="6"/>
      <c r="I2" s="6"/>
      <c r="J2" s="6"/>
      <c r="K2" s="6"/>
    </row>
    <row r="3" spans="2:24" x14ac:dyDescent="0.25">
      <c r="E3" s="6"/>
      <c r="F3" s="6"/>
      <c r="G3" s="6"/>
    </row>
    <row r="4" spans="2:24" x14ac:dyDescent="0.25">
      <c r="D4" s="8" t="s">
        <v>19</v>
      </c>
      <c r="E4" s="8" t="s">
        <v>18</v>
      </c>
      <c r="F4" s="8" t="s">
        <v>38</v>
      </c>
      <c r="G4" s="8" t="s">
        <v>39</v>
      </c>
      <c r="H4" s="8" t="s">
        <v>17</v>
      </c>
      <c r="I4" s="8" t="s">
        <v>16</v>
      </c>
      <c r="J4" s="8" t="s">
        <v>15</v>
      </c>
      <c r="L4" s="46" t="s">
        <v>80</v>
      </c>
      <c r="M4" s="45" t="s">
        <v>57</v>
      </c>
      <c r="N4" s="31" t="s">
        <v>18</v>
      </c>
      <c r="O4" s="31" t="s">
        <v>38</v>
      </c>
      <c r="P4" s="31" t="s">
        <v>39</v>
      </c>
      <c r="Q4" s="8" t="s">
        <v>46</v>
      </c>
      <c r="R4" s="50" t="s">
        <v>81</v>
      </c>
      <c r="S4" s="54" t="s">
        <v>91</v>
      </c>
      <c r="T4" s="54"/>
      <c r="V4" s="16" t="s">
        <v>24</v>
      </c>
      <c r="W4" s="10"/>
      <c r="X4" s="10"/>
    </row>
    <row r="5" spans="2:24" x14ac:dyDescent="0.25">
      <c r="B5" s="2" t="s">
        <v>48</v>
      </c>
      <c r="C5" s="8" t="s">
        <v>14</v>
      </c>
      <c r="D5" s="8">
        <v>1</v>
      </c>
      <c r="E5" s="10">
        <v>30</v>
      </c>
      <c r="F5" s="10">
        <v>4</v>
      </c>
      <c r="G5" s="10">
        <v>1</v>
      </c>
      <c r="H5" s="5" t="str">
        <f t="shared" ref="H5:H14" si="0">"det_"&amp;E5&amp;""</f>
        <v>det_30</v>
      </c>
      <c r="I5" s="5" t="str">
        <f t="shared" ref="I5:I25" si="1">$B$5&amp;"\"&amp;H5&amp;".txt"</f>
        <v>W:\Performance Measurement\1. Freeway\1. raw data\2011\data files\det_30.txt</v>
      </c>
      <c r="J5" s="5" t="str">
        <f t="shared" ref="J5:J37" si="2">$B$5&amp;"\"&amp;H5&amp;".xlsx"</f>
        <v>W:\Performance Measurement\1. Freeway\1. raw data\2011\data files\det_30.xlsx</v>
      </c>
      <c r="K5" s="5" t="s">
        <v>82</v>
      </c>
      <c r="L5" s="47">
        <v>1</v>
      </c>
      <c r="M5" s="39" t="s">
        <v>58</v>
      </c>
      <c r="N5" s="10">
        <v>2</v>
      </c>
      <c r="O5" s="10">
        <v>5</v>
      </c>
      <c r="P5" s="10">
        <v>1</v>
      </c>
      <c r="Q5" s="19">
        <v>1</v>
      </c>
      <c r="R5" s="44"/>
      <c r="S5" s="36">
        <v>1</v>
      </c>
      <c r="T5" s="36"/>
      <c r="V5" s="10">
        <v>2</v>
      </c>
      <c r="W5" s="10">
        <v>5</v>
      </c>
      <c r="X5" s="10">
        <v>1</v>
      </c>
    </row>
    <row r="6" spans="2:24" x14ac:dyDescent="0.25">
      <c r="B6" s="2" t="s">
        <v>47</v>
      </c>
      <c r="C6" s="8" t="s">
        <v>13</v>
      </c>
      <c r="D6" s="8">
        <v>2</v>
      </c>
      <c r="E6" s="10">
        <v>263</v>
      </c>
      <c r="F6" s="10">
        <v>4</v>
      </c>
      <c r="G6" s="10">
        <v>1</v>
      </c>
      <c r="H6" s="5" t="str">
        <f>"det_"&amp;E6&amp;""</f>
        <v>det_263</v>
      </c>
      <c r="I6" s="5" t="str">
        <f t="shared" si="1"/>
        <v>W:\Performance Measurement\1. Freeway\1. raw data\2011\data files\det_263.txt</v>
      </c>
      <c r="J6" s="5" t="str">
        <f t="shared" si="2"/>
        <v>W:\Performance Measurement\1. Freeway\1. raw data\2011\data files\det_263.xlsx</v>
      </c>
      <c r="K6" s="5" t="s">
        <v>82</v>
      </c>
      <c r="L6" s="47">
        <v>2</v>
      </c>
      <c r="M6" s="39" t="s">
        <v>58</v>
      </c>
      <c r="N6" s="10">
        <v>8</v>
      </c>
      <c r="O6" s="10">
        <v>4</v>
      </c>
      <c r="P6" s="10">
        <v>1</v>
      </c>
      <c r="Q6" s="19">
        <v>1</v>
      </c>
      <c r="R6" s="44"/>
      <c r="S6" s="36">
        <v>1</v>
      </c>
      <c r="T6" s="36"/>
      <c r="V6" s="10">
        <v>8</v>
      </c>
      <c r="W6" s="10">
        <v>4</v>
      </c>
      <c r="X6" s="10">
        <v>1</v>
      </c>
    </row>
    <row r="7" spans="2:24" x14ac:dyDescent="0.25">
      <c r="B7" s="2" t="s">
        <v>49</v>
      </c>
      <c r="C7" s="8" t="s">
        <v>11</v>
      </c>
      <c r="D7" s="8">
        <v>3</v>
      </c>
      <c r="E7" s="25">
        <v>230</v>
      </c>
      <c r="F7" s="25">
        <v>3</v>
      </c>
      <c r="G7" s="25">
        <v>1</v>
      </c>
      <c r="H7" s="5" t="str">
        <f t="shared" si="0"/>
        <v>det_230</v>
      </c>
      <c r="I7" s="5" t="str">
        <f t="shared" si="1"/>
        <v>W:\Performance Measurement\1. Freeway\1. raw data\2011\data files\det_230.txt</v>
      </c>
      <c r="J7" s="5" t="str">
        <f t="shared" si="2"/>
        <v>W:\Performance Measurement\1. Freeway\1. raw data\2011\data files\det_230.xlsx</v>
      </c>
      <c r="K7" s="5" t="s">
        <v>82</v>
      </c>
      <c r="L7" s="47">
        <v>3</v>
      </c>
      <c r="M7" s="39" t="s">
        <v>58</v>
      </c>
      <c r="N7" s="10">
        <v>14</v>
      </c>
      <c r="O7" s="10">
        <v>4</v>
      </c>
      <c r="P7" s="10">
        <v>1</v>
      </c>
      <c r="Q7" s="21">
        <v>1</v>
      </c>
      <c r="R7" s="52"/>
      <c r="S7" s="37">
        <v>1</v>
      </c>
      <c r="T7" s="37"/>
      <c r="V7" s="10">
        <v>14</v>
      </c>
      <c r="W7" s="10">
        <v>4</v>
      </c>
      <c r="X7" s="10">
        <v>1</v>
      </c>
    </row>
    <row r="8" spans="2:24" x14ac:dyDescent="0.25">
      <c r="B8" s="2" t="s">
        <v>260</v>
      </c>
      <c r="C8" s="1" t="s">
        <v>10</v>
      </c>
      <c r="D8" s="8">
        <v>4</v>
      </c>
      <c r="E8" s="25">
        <v>233</v>
      </c>
      <c r="F8" s="25">
        <v>3</v>
      </c>
      <c r="G8" s="25">
        <v>1</v>
      </c>
      <c r="H8" s="5" t="str">
        <f t="shared" si="0"/>
        <v>det_233</v>
      </c>
      <c r="I8" s="5" t="str">
        <f t="shared" si="1"/>
        <v>W:\Performance Measurement\1. Freeway\1. raw data\2011\data files\det_233.txt</v>
      </c>
      <c r="J8" s="5" t="str">
        <f t="shared" si="2"/>
        <v>W:\Performance Measurement\1. Freeway\1. raw data\2011\data files\det_233.xlsx</v>
      </c>
      <c r="K8" s="5" t="s">
        <v>82</v>
      </c>
      <c r="L8" s="47">
        <v>4</v>
      </c>
      <c r="M8" s="39" t="s">
        <v>58</v>
      </c>
      <c r="N8" s="10">
        <v>20</v>
      </c>
      <c r="O8" s="10">
        <v>4</v>
      </c>
      <c r="P8" s="10">
        <v>1</v>
      </c>
      <c r="Q8" s="19">
        <v>1</v>
      </c>
      <c r="R8" s="44"/>
      <c r="S8" s="36">
        <v>1</v>
      </c>
      <c r="T8" s="36"/>
      <c r="V8" s="10">
        <v>20</v>
      </c>
      <c r="W8" s="10">
        <v>4</v>
      </c>
      <c r="X8" s="10">
        <v>1</v>
      </c>
    </row>
    <row r="9" spans="2:24" x14ac:dyDescent="0.25">
      <c r="D9" s="8">
        <v>5</v>
      </c>
      <c r="E9" s="25">
        <v>237</v>
      </c>
      <c r="F9" s="25">
        <v>3</v>
      </c>
      <c r="G9" s="25">
        <v>1</v>
      </c>
      <c r="H9" s="5" t="str">
        <f t="shared" si="0"/>
        <v>det_237</v>
      </c>
      <c r="I9" s="5" t="str">
        <f t="shared" si="1"/>
        <v>W:\Performance Measurement\1. Freeway\1. raw data\2011\data files\det_237.txt</v>
      </c>
      <c r="J9" s="5" t="str">
        <f t="shared" si="2"/>
        <v>W:\Performance Measurement\1. Freeway\1. raw data\2011\data files\det_237.xlsx</v>
      </c>
      <c r="K9" s="5" t="s">
        <v>82</v>
      </c>
      <c r="L9" s="47">
        <v>5</v>
      </c>
      <c r="M9" s="39" t="s">
        <v>58</v>
      </c>
      <c r="N9" s="10">
        <v>25</v>
      </c>
      <c r="O9" s="10">
        <v>4</v>
      </c>
      <c r="P9" s="10">
        <v>1</v>
      </c>
      <c r="Q9" s="19">
        <v>1</v>
      </c>
      <c r="R9" s="44"/>
      <c r="S9" s="36">
        <v>1</v>
      </c>
      <c r="T9" s="36"/>
      <c r="V9" s="10">
        <v>25</v>
      </c>
      <c r="W9" s="10">
        <v>4</v>
      </c>
      <c r="X9" s="10">
        <v>1</v>
      </c>
    </row>
    <row r="10" spans="2:24" x14ac:dyDescent="0.25">
      <c r="B10" s="3">
        <v>2011</v>
      </c>
      <c r="C10" s="8" t="s">
        <v>9</v>
      </c>
      <c r="D10" s="8">
        <v>6</v>
      </c>
      <c r="E10" s="25">
        <v>239</v>
      </c>
      <c r="F10" s="25">
        <v>3</v>
      </c>
      <c r="G10" s="25">
        <v>1</v>
      </c>
      <c r="H10" s="5" t="str">
        <f t="shared" si="0"/>
        <v>det_239</v>
      </c>
      <c r="I10" s="5" t="str">
        <f t="shared" si="1"/>
        <v>W:\Performance Measurement\1. Freeway\1. raw data\2011\data files\det_239.txt</v>
      </c>
      <c r="J10" s="5" t="str">
        <f t="shared" si="2"/>
        <v>W:\Performance Measurement\1. Freeway\1. raw data\2011\data files\det_239.xlsx</v>
      </c>
      <c r="K10" s="5" t="s">
        <v>82</v>
      </c>
      <c r="L10" s="47">
        <v>6</v>
      </c>
      <c r="M10" s="39" t="s">
        <v>58</v>
      </c>
      <c r="N10" s="10">
        <v>30</v>
      </c>
      <c r="O10" s="10">
        <v>4</v>
      </c>
      <c r="P10" s="10">
        <v>1</v>
      </c>
      <c r="Q10" s="21">
        <v>1</v>
      </c>
      <c r="R10" s="52"/>
      <c r="S10" s="37">
        <v>1</v>
      </c>
      <c r="T10" s="37"/>
      <c r="V10" s="10">
        <v>30</v>
      </c>
      <c r="W10" s="10">
        <v>4</v>
      </c>
      <c r="X10" s="10">
        <v>1</v>
      </c>
    </row>
    <row r="11" spans="2:24" x14ac:dyDescent="0.25">
      <c r="B11" s="3">
        <v>365</v>
      </c>
      <c r="C11" s="8" t="s">
        <v>0</v>
      </c>
      <c r="D11" s="8">
        <v>7</v>
      </c>
      <c r="E11" s="25">
        <v>241</v>
      </c>
      <c r="F11" s="25">
        <v>3</v>
      </c>
      <c r="G11" s="25">
        <v>1</v>
      </c>
      <c r="H11" s="5" t="str">
        <f t="shared" si="0"/>
        <v>det_241</v>
      </c>
      <c r="I11" s="5" t="str">
        <f t="shared" si="1"/>
        <v>W:\Performance Measurement\1. Freeway\1. raw data\2011\data files\det_241.txt</v>
      </c>
      <c r="J11" s="5" t="str">
        <f t="shared" si="2"/>
        <v>W:\Performance Measurement\1. Freeway\1. raw data\2011\data files\det_241.xlsx</v>
      </c>
      <c r="K11" s="5" t="s">
        <v>82</v>
      </c>
      <c r="L11" s="47">
        <v>7</v>
      </c>
      <c r="M11" s="39" t="s">
        <v>58</v>
      </c>
      <c r="N11" s="10">
        <v>68</v>
      </c>
      <c r="O11" s="10">
        <v>4</v>
      </c>
      <c r="P11" s="10">
        <v>1</v>
      </c>
      <c r="Q11" s="19">
        <v>1</v>
      </c>
      <c r="R11" s="44"/>
      <c r="S11" s="36">
        <v>1</v>
      </c>
      <c r="T11" s="36"/>
      <c r="V11" s="10">
        <v>68</v>
      </c>
      <c r="W11" s="10">
        <v>4</v>
      </c>
      <c r="X11" s="10">
        <v>1</v>
      </c>
    </row>
    <row r="12" spans="2:24" x14ac:dyDescent="0.25">
      <c r="B12" s="3">
        <v>249</v>
      </c>
      <c r="C12" s="8" t="s">
        <v>1</v>
      </c>
      <c r="D12" s="8">
        <v>8</v>
      </c>
      <c r="E12" s="25">
        <v>243</v>
      </c>
      <c r="F12" s="25">
        <v>3</v>
      </c>
      <c r="G12" s="25">
        <v>1</v>
      </c>
      <c r="H12" s="5" t="str">
        <f t="shared" si="0"/>
        <v>det_243</v>
      </c>
      <c r="I12" s="5" t="str">
        <f t="shared" si="1"/>
        <v>W:\Performance Measurement\1. Freeway\1. raw data\2011\data files\det_243.txt</v>
      </c>
      <c r="J12" s="5" t="str">
        <f t="shared" si="2"/>
        <v>W:\Performance Measurement\1. Freeway\1. raw data\2011\data files\det_243.xlsx</v>
      </c>
      <c r="K12" s="5" t="s">
        <v>82</v>
      </c>
      <c r="L12" s="47">
        <v>8</v>
      </c>
      <c r="M12" s="39" t="s">
        <v>58</v>
      </c>
      <c r="N12" s="10">
        <v>133</v>
      </c>
      <c r="O12" s="10">
        <v>5</v>
      </c>
      <c r="P12" s="10">
        <v>1</v>
      </c>
      <c r="Q12" s="19">
        <v>1</v>
      </c>
      <c r="R12" s="44"/>
      <c r="S12" s="36">
        <v>1</v>
      </c>
      <c r="T12" s="36"/>
      <c r="V12" s="10">
        <v>133</v>
      </c>
      <c r="W12" s="10">
        <v>5</v>
      </c>
      <c r="X12" s="10">
        <v>1</v>
      </c>
    </row>
    <row r="13" spans="2:24" x14ac:dyDescent="0.25">
      <c r="D13" s="8">
        <v>9</v>
      </c>
      <c r="E13" s="48">
        <v>513</v>
      </c>
      <c r="F13" s="48">
        <v>3</v>
      </c>
      <c r="G13" s="48">
        <v>0</v>
      </c>
      <c r="H13" s="5" t="str">
        <f t="shared" si="0"/>
        <v>det_513</v>
      </c>
      <c r="I13" s="5" t="str">
        <f t="shared" si="1"/>
        <v>W:\Performance Measurement\1. Freeway\1. raw data\2011\data files\det_513.txt</v>
      </c>
      <c r="J13" s="5" t="str">
        <f t="shared" si="2"/>
        <v>W:\Performance Measurement\1. Freeway\1. raw data\2011\data files\det_513.xlsx</v>
      </c>
      <c r="K13" s="5" t="s">
        <v>82</v>
      </c>
      <c r="L13" s="47">
        <v>9</v>
      </c>
      <c r="M13" s="39" t="s">
        <v>58</v>
      </c>
      <c r="N13" s="10">
        <v>73</v>
      </c>
      <c r="O13" s="10">
        <v>5</v>
      </c>
      <c r="P13" s="10">
        <v>1</v>
      </c>
      <c r="Q13" s="21">
        <v>1</v>
      </c>
      <c r="R13" s="44"/>
      <c r="S13" s="36">
        <v>1</v>
      </c>
      <c r="T13" s="36"/>
      <c r="V13" s="10"/>
      <c r="W13" s="17"/>
      <c r="X13" s="17"/>
    </row>
    <row r="14" spans="2:24" x14ac:dyDescent="0.25">
      <c r="B14" s="3">
        <v>1</v>
      </c>
      <c r="C14" s="1" t="s">
        <v>8</v>
      </c>
      <c r="D14" s="8">
        <v>10</v>
      </c>
      <c r="E14" s="48">
        <v>439</v>
      </c>
      <c r="F14" s="48">
        <v>3</v>
      </c>
      <c r="G14" s="48">
        <v>1</v>
      </c>
      <c r="H14" s="5" t="str">
        <f t="shared" si="0"/>
        <v>det_439</v>
      </c>
      <c r="I14" s="5" t="str">
        <f t="shared" si="1"/>
        <v>W:\Performance Measurement\1. Freeway\1. raw data\2011\data files\det_439.txt</v>
      </c>
      <c r="J14" s="5" t="str">
        <f t="shared" si="2"/>
        <v>W:\Performance Measurement\1. Freeway\1. raw data\2011\data files\det_439.xlsx</v>
      </c>
      <c r="K14" s="5" t="s">
        <v>82</v>
      </c>
      <c r="L14" s="47">
        <v>10</v>
      </c>
      <c r="M14" s="39" t="s">
        <v>58</v>
      </c>
      <c r="N14" s="10">
        <v>35</v>
      </c>
      <c r="O14" s="10">
        <v>4</v>
      </c>
      <c r="P14" s="10">
        <v>1</v>
      </c>
      <c r="Q14" s="19">
        <v>1</v>
      </c>
      <c r="R14" s="44"/>
      <c r="S14" s="36">
        <v>1</v>
      </c>
      <c r="T14" s="36"/>
      <c r="V14" s="14" t="s">
        <v>25</v>
      </c>
      <c r="W14" s="17"/>
      <c r="X14" s="17"/>
    </row>
    <row r="15" spans="2:24" x14ac:dyDescent="0.25">
      <c r="D15" s="8">
        <v>11</v>
      </c>
      <c r="E15" s="48">
        <v>507</v>
      </c>
      <c r="F15" s="48">
        <v>3</v>
      </c>
      <c r="G15" s="48">
        <v>1</v>
      </c>
      <c r="H15" s="5" t="str">
        <f t="shared" ref="H15:H21" si="3">"det_"&amp;E15&amp;""</f>
        <v>det_507</v>
      </c>
      <c r="I15" s="5" t="str">
        <f t="shared" ref="I15:I22" si="4">$B$5&amp;"\"&amp;H15&amp;".txt"</f>
        <v>W:\Performance Measurement\1. Freeway\1. raw data\2011\data files\det_507.txt</v>
      </c>
      <c r="J15" s="5" t="str">
        <f t="shared" ref="J15:J22" si="5">$B$5&amp;"\"&amp;H15&amp;".xlsx"</f>
        <v>W:\Performance Measurement\1. Freeway\1. raw data\2011\data files\det_507.xlsx</v>
      </c>
      <c r="K15" s="5" t="s">
        <v>82</v>
      </c>
      <c r="L15" s="47">
        <v>11</v>
      </c>
      <c r="M15" s="39" t="s">
        <v>58</v>
      </c>
      <c r="N15" s="10">
        <v>29</v>
      </c>
      <c r="O15" s="10">
        <v>4</v>
      </c>
      <c r="P15" s="10">
        <v>1</v>
      </c>
      <c r="Q15" s="19">
        <v>1</v>
      </c>
      <c r="R15" s="44"/>
      <c r="S15" s="36">
        <v>1</v>
      </c>
      <c r="T15" s="36"/>
      <c r="V15" s="17">
        <v>139</v>
      </c>
      <c r="W15" s="17">
        <v>5</v>
      </c>
      <c r="X15" s="17">
        <v>1</v>
      </c>
    </row>
    <row r="16" spans="2:24" x14ac:dyDescent="0.25">
      <c r="B16" s="3">
        <v>149</v>
      </c>
      <c r="C16" s="8" t="s">
        <v>7</v>
      </c>
      <c r="D16" s="8">
        <v>12</v>
      </c>
      <c r="E16" s="48">
        <v>255</v>
      </c>
      <c r="F16" s="48">
        <v>4</v>
      </c>
      <c r="G16" s="48">
        <v>0</v>
      </c>
      <c r="H16" s="5" t="str">
        <f t="shared" si="3"/>
        <v>det_255</v>
      </c>
      <c r="I16" s="5" t="str">
        <f t="shared" si="4"/>
        <v>W:\Performance Measurement\1. Freeway\1. raw data\2011\data files\det_255.txt</v>
      </c>
      <c r="J16" s="5" t="str">
        <f t="shared" si="5"/>
        <v>W:\Performance Measurement\1. Freeway\1. raw data\2011\data files\det_255.xlsx</v>
      </c>
      <c r="K16" s="5" t="s">
        <v>82</v>
      </c>
      <c r="L16" s="47">
        <v>12</v>
      </c>
      <c r="M16" s="39" t="s">
        <v>58</v>
      </c>
      <c r="N16" s="10">
        <v>24</v>
      </c>
      <c r="O16" s="10">
        <v>4</v>
      </c>
      <c r="P16" s="10">
        <v>1</v>
      </c>
      <c r="Q16" s="21">
        <v>1</v>
      </c>
      <c r="R16" s="52"/>
      <c r="S16" s="37">
        <v>1</v>
      </c>
      <c r="T16" s="37"/>
      <c r="V16" s="17">
        <v>84</v>
      </c>
      <c r="W16" s="17">
        <v>4</v>
      </c>
      <c r="X16" s="17">
        <v>1</v>
      </c>
    </row>
    <row r="17" spans="1:24" x14ac:dyDescent="0.25">
      <c r="B17" s="3">
        <v>149</v>
      </c>
      <c r="C17" s="8" t="s">
        <v>6</v>
      </c>
      <c r="D17" s="8">
        <v>13</v>
      </c>
      <c r="E17" s="48">
        <v>578</v>
      </c>
      <c r="F17" s="48">
        <v>4</v>
      </c>
      <c r="G17" s="48">
        <v>1</v>
      </c>
      <c r="H17" s="5" t="str">
        <f t="shared" si="3"/>
        <v>det_578</v>
      </c>
      <c r="I17" s="5" t="str">
        <f t="shared" si="4"/>
        <v>W:\Performance Measurement\1. Freeway\1. raw data\2011\data files\det_578.txt</v>
      </c>
      <c r="J17" s="5" t="str">
        <f t="shared" si="5"/>
        <v>W:\Performance Measurement\1. Freeway\1. raw data\2011\data files\det_578.xlsx</v>
      </c>
      <c r="K17" s="5" t="s">
        <v>82</v>
      </c>
      <c r="L17" s="47">
        <v>13</v>
      </c>
      <c r="M17" s="39" t="s">
        <v>58</v>
      </c>
      <c r="N17" s="10">
        <v>17</v>
      </c>
      <c r="O17" s="10">
        <v>4</v>
      </c>
      <c r="P17" s="10">
        <v>1</v>
      </c>
      <c r="Q17" s="19">
        <v>1</v>
      </c>
      <c r="R17" s="44"/>
      <c r="S17" s="36">
        <v>1</v>
      </c>
      <c r="T17" s="36"/>
      <c r="V17" s="11">
        <v>78</v>
      </c>
      <c r="W17" s="15">
        <v>4</v>
      </c>
      <c r="X17" s="15">
        <v>0</v>
      </c>
    </row>
    <row r="18" spans="1:24" x14ac:dyDescent="0.25">
      <c r="C18" s="1"/>
      <c r="D18" s="8">
        <v>14</v>
      </c>
      <c r="E18" s="48">
        <v>235</v>
      </c>
      <c r="F18" s="48">
        <v>4</v>
      </c>
      <c r="G18" s="48">
        <v>1</v>
      </c>
      <c r="H18" s="5" t="str">
        <f t="shared" si="3"/>
        <v>det_235</v>
      </c>
      <c r="I18" s="5" t="str">
        <f t="shared" si="4"/>
        <v>W:\Performance Measurement\1. Freeway\1. raw data\2011\data files\det_235.txt</v>
      </c>
      <c r="J18" s="5" t="str">
        <f t="shared" si="5"/>
        <v>W:\Performance Measurement\1. Freeway\1. raw data\2011\data files\det_235.xlsx</v>
      </c>
      <c r="K18" s="5" t="s">
        <v>82</v>
      </c>
      <c r="L18" s="47">
        <v>14</v>
      </c>
      <c r="M18" s="39" t="s">
        <v>58</v>
      </c>
      <c r="N18" s="10">
        <v>11</v>
      </c>
      <c r="O18" s="10">
        <v>4</v>
      </c>
      <c r="P18" s="10">
        <v>1</v>
      </c>
      <c r="Q18" s="19">
        <v>1</v>
      </c>
      <c r="R18" s="44"/>
      <c r="S18" s="36">
        <v>1</v>
      </c>
      <c r="T18" s="36"/>
      <c r="V18" s="17">
        <v>137</v>
      </c>
      <c r="W18" s="17">
        <v>3</v>
      </c>
      <c r="X18" s="17">
        <v>1</v>
      </c>
    </row>
    <row r="19" spans="1:24" x14ac:dyDescent="0.25">
      <c r="B19" s="7" t="str">
        <f>"E1:X"&amp;B$11*36/B14+1</f>
        <v>E1:X13141</v>
      </c>
      <c r="C19" s="1" t="s">
        <v>5</v>
      </c>
      <c r="D19" s="8">
        <v>15</v>
      </c>
      <c r="E19" s="48">
        <v>245</v>
      </c>
      <c r="F19" s="48">
        <v>4</v>
      </c>
      <c r="G19" s="48">
        <v>1</v>
      </c>
      <c r="H19" s="5" t="str">
        <f t="shared" si="3"/>
        <v>det_245</v>
      </c>
      <c r="I19" s="5" t="str">
        <f t="shared" si="4"/>
        <v>W:\Performance Measurement\1. Freeway\1. raw data\2011\data files\det_245.txt</v>
      </c>
      <c r="J19" s="5" t="str">
        <f t="shared" si="5"/>
        <v>W:\Performance Measurement\1. Freeway\1. raw data\2011\data files\det_245.xlsx</v>
      </c>
      <c r="K19" s="5" t="s">
        <v>82</v>
      </c>
      <c r="L19" s="47">
        <v>15</v>
      </c>
      <c r="M19" s="39" t="s">
        <v>58</v>
      </c>
      <c r="N19" s="10">
        <v>4</v>
      </c>
      <c r="O19" s="10">
        <v>4</v>
      </c>
      <c r="P19" s="10">
        <v>1</v>
      </c>
      <c r="Q19" s="21">
        <v>1</v>
      </c>
      <c r="R19" s="52"/>
      <c r="S19" s="37">
        <v>1</v>
      </c>
      <c r="T19" s="37"/>
      <c r="V19" s="17"/>
      <c r="W19" s="17"/>
      <c r="X19" s="17"/>
    </row>
    <row r="20" spans="1:24" x14ac:dyDescent="0.25">
      <c r="B20" s="7" t="str">
        <f>"E1:X"&amp;B$11*72/B14+1</f>
        <v>E1:X26281</v>
      </c>
      <c r="C20" s="1" t="s">
        <v>4</v>
      </c>
      <c r="D20" s="8">
        <v>16</v>
      </c>
      <c r="E20" s="48">
        <v>246</v>
      </c>
      <c r="F20" s="48">
        <v>4</v>
      </c>
      <c r="G20" s="48">
        <v>1</v>
      </c>
      <c r="H20" s="5" t="str">
        <f t="shared" si="3"/>
        <v>det_246</v>
      </c>
      <c r="I20" s="5" t="str">
        <f t="shared" si="4"/>
        <v>W:\Performance Measurement\1. Freeway\1. raw data\2011\data files\det_246.txt</v>
      </c>
      <c r="J20" s="5" t="str">
        <f t="shared" si="5"/>
        <v>W:\Performance Measurement\1. Freeway\1. raw data\2011\data files\det_246.xlsx</v>
      </c>
      <c r="K20" s="5" t="s">
        <v>82</v>
      </c>
      <c r="L20" s="47">
        <v>16</v>
      </c>
      <c r="M20" s="39" t="s">
        <v>58</v>
      </c>
      <c r="N20" s="10">
        <v>1</v>
      </c>
      <c r="O20" s="10">
        <v>4</v>
      </c>
      <c r="P20" s="10">
        <v>1</v>
      </c>
      <c r="Q20" s="19">
        <v>1</v>
      </c>
      <c r="R20" s="44"/>
      <c r="S20" s="36">
        <v>1</v>
      </c>
      <c r="T20" s="36"/>
      <c r="V20" s="16" t="s">
        <v>22</v>
      </c>
      <c r="W20" s="10"/>
      <c r="X20" s="10"/>
    </row>
    <row r="21" spans="1:24" x14ac:dyDescent="0.25">
      <c r="B21" s="7" t="str">
        <f>"E1:X"&amp;B$11*48/B14+1</f>
        <v>E1:X17521</v>
      </c>
      <c r="C21" s="1" t="s">
        <v>3</v>
      </c>
      <c r="D21" s="8">
        <v>17</v>
      </c>
      <c r="E21" s="48">
        <v>248</v>
      </c>
      <c r="F21" s="48">
        <v>4</v>
      </c>
      <c r="G21" s="48">
        <v>1</v>
      </c>
      <c r="H21" s="5" t="str">
        <f t="shared" si="3"/>
        <v>det_248</v>
      </c>
      <c r="I21" s="5" t="str">
        <f t="shared" si="4"/>
        <v>W:\Performance Measurement\1. Freeway\1. raw data\2011\data files\det_248.txt</v>
      </c>
      <c r="J21" s="5" t="str">
        <f t="shared" si="5"/>
        <v>W:\Performance Measurement\1. Freeway\1. raw data\2011\data files\det_248.xlsx</v>
      </c>
      <c r="K21" s="5" t="s">
        <v>82</v>
      </c>
      <c r="L21" s="47">
        <v>17</v>
      </c>
      <c r="M21" s="39" t="s">
        <v>59</v>
      </c>
      <c r="N21" s="10">
        <v>75</v>
      </c>
      <c r="O21" s="10">
        <v>5</v>
      </c>
      <c r="P21" s="10">
        <v>1</v>
      </c>
      <c r="Q21" s="19">
        <v>1</v>
      </c>
      <c r="R21" s="44"/>
      <c r="S21" s="36">
        <v>1</v>
      </c>
      <c r="T21" s="36"/>
      <c r="V21" s="10">
        <v>89</v>
      </c>
      <c r="W21" s="10">
        <v>4</v>
      </c>
      <c r="X21" s="10">
        <v>1</v>
      </c>
    </row>
    <row r="22" spans="1:24" x14ac:dyDescent="0.25">
      <c r="B22" s="7" t="str">
        <f>"E1:X"&amp;B$11*132/B14+1</f>
        <v>E1:X48181</v>
      </c>
      <c r="C22" s="1" t="s">
        <v>2</v>
      </c>
      <c r="D22" s="8">
        <v>18</v>
      </c>
      <c r="E22" s="48">
        <v>250</v>
      </c>
      <c r="F22" s="48">
        <v>4</v>
      </c>
      <c r="G22" s="48">
        <v>1</v>
      </c>
      <c r="H22" s="5" t="str">
        <f>"det_"&amp;E22&amp;""</f>
        <v>det_250</v>
      </c>
      <c r="I22" s="5" t="str">
        <f t="shared" si="4"/>
        <v>W:\Performance Measurement\1. Freeway\1. raw data\2011\data files\det_250.txt</v>
      </c>
      <c r="J22" s="5" t="str">
        <f t="shared" si="5"/>
        <v>W:\Performance Measurement\1. Freeway\1. raw data\2011\data files\det_250.xlsx</v>
      </c>
      <c r="K22" s="5" t="s">
        <v>82</v>
      </c>
      <c r="L22" s="47">
        <v>18</v>
      </c>
      <c r="M22" s="39" t="s">
        <v>59</v>
      </c>
      <c r="N22" s="10">
        <v>80</v>
      </c>
      <c r="O22" s="10">
        <v>4</v>
      </c>
      <c r="P22" s="10">
        <v>1</v>
      </c>
      <c r="Q22" s="21">
        <v>1</v>
      </c>
      <c r="R22" s="44"/>
      <c r="S22" s="36">
        <v>1</v>
      </c>
      <c r="T22" s="36"/>
      <c r="V22" s="10">
        <v>149</v>
      </c>
      <c r="W22" s="10">
        <v>3</v>
      </c>
      <c r="X22" s="10">
        <v>1</v>
      </c>
    </row>
    <row r="23" spans="1:24" x14ac:dyDescent="0.25">
      <c r="D23" s="8">
        <v>19</v>
      </c>
      <c r="E23" s="48">
        <v>252</v>
      </c>
      <c r="F23" s="48">
        <v>4</v>
      </c>
      <c r="G23" s="48">
        <v>1</v>
      </c>
      <c r="H23" s="5" t="str">
        <f>"det_"&amp;E23&amp;""</f>
        <v>det_252</v>
      </c>
      <c r="I23" s="5" t="str">
        <f t="shared" si="1"/>
        <v>W:\Performance Measurement\1. Freeway\1. raw data\2011\data files\det_252.txt</v>
      </c>
      <c r="J23" s="5" t="str">
        <f t="shared" si="2"/>
        <v>W:\Performance Measurement\1. Freeway\1. raw data\2011\data files\det_252.xlsx</v>
      </c>
      <c r="K23" s="5" t="s">
        <v>82</v>
      </c>
      <c r="L23" s="47">
        <v>19</v>
      </c>
      <c r="M23" s="39" t="s">
        <v>59</v>
      </c>
      <c r="N23" s="10">
        <v>85</v>
      </c>
      <c r="O23" s="10">
        <v>4</v>
      </c>
      <c r="P23" s="10">
        <v>1</v>
      </c>
      <c r="Q23" s="19">
        <v>1</v>
      </c>
      <c r="R23" s="44"/>
      <c r="S23" s="36">
        <v>1</v>
      </c>
      <c r="T23" s="36"/>
      <c r="V23" s="10">
        <v>93</v>
      </c>
      <c r="W23" s="10">
        <v>3</v>
      </c>
      <c r="X23" s="10">
        <v>1</v>
      </c>
    </row>
    <row r="24" spans="1:24" x14ac:dyDescent="0.25">
      <c r="B24" s="4" t="str">
        <f>B6&amp;"\"&amp;B7</f>
        <v>W:\Performance Measurement\1. Freeway\2. processed data_quality control\a. template files\blank2011.xlsx</v>
      </c>
      <c r="D24" s="8">
        <v>20</v>
      </c>
      <c r="E24" s="48">
        <v>275</v>
      </c>
      <c r="F24" s="48">
        <v>4</v>
      </c>
      <c r="G24" s="48">
        <v>1</v>
      </c>
      <c r="H24" s="5" t="str">
        <f>"det_"&amp;E24&amp;""</f>
        <v>det_275</v>
      </c>
      <c r="I24" s="5" t="str">
        <f t="shared" si="1"/>
        <v>W:\Performance Measurement\1. Freeway\1. raw data\2011\data files\det_275.txt</v>
      </c>
      <c r="J24" s="5" t="str">
        <f t="shared" si="2"/>
        <v>W:\Performance Measurement\1. Freeway\1. raw data\2011\data files\det_275.xlsx</v>
      </c>
      <c r="K24" s="5" t="s">
        <v>82</v>
      </c>
      <c r="L24" s="47">
        <v>20</v>
      </c>
      <c r="M24" s="39" t="s">
        <v>59</v>
      </c>
      <c r="N24" s="10">
        <v>87</v>
      </c>
      <c r="O24" s="10">
        <v>3</v>
      </c>
      <c r="P24" s="10">
        <v>1</v>
      </c>
      <c r="Q24" s="19" t="s">
        <v>44</v>
      </c>
      <c r="S24" s="36">
        <v>1</v>
      </c>
      <c r="T24" s="36"/>
      <c r="V24" s="10">
        <v>40</v>
      </c>
      <c r="W24" s="10">
        <v>5</v>
      </c>
      <c r="X24" s="10">
        <v>1</v>
      </c>
    </row>
    <row r="25" spans="1:24" x14ac:dyDescent="0.25">
      <c r="B25" s="4" t="str">
        <f>B6&amp;"\"&amp;B8</f>
        <v>W:\Performance Measurement\1. Freeway\2. processed data_quality control\a. template files\Template.xlsx</v>
      </c>
      <c r="C25" s="1"/>
      <c r="D25" s="8">
        <v>21</v>
      </c>
      <c r="E25" s="48">
        <v>254</v>
      </c>
      <c r="F25" s="48">
        <v>5</v>
      </c>
      <c r="G25" s="48">
        <v>1</v>
      </c>
      <c r="H25" s="5" t="str">
        <f>"det_"&amp;E25&amp;""</f>
        <v>det_254</v>
      </c>
      <c r="I25" s="5" t="str">
        <f t="shared" si="1"/>
        <v>W:\Performance Measurement\1. Freeway\1. raw data\2011\data files\det_254.txt</v>
      </c>
      <c r="J25" s="5" t="str">
        <f t="shared" si="2"/>
        <v>W:\Performance Measurement\1. Freeway\1. raw data\2011\data files\det_254.xlsx</v>
      </c>
      <c r="K25" s="5" t="s">
        <v>82</v>
      </c>
      <c r="L25" s="47">
        <v>21</v>
      </c>
      <c r="M25" s="39" t="s">
        <v>59</v>
      </c>
      <c r="N25" s="10">
        <v>139</v>
      </c>
      <c r="O25" s="10">
        <v>5</v>
      </c>
      <c r="P25" s="10">
        <v>1</v>
      </c>
      <c r="Q25" s="19">
        <v>1</v>
      </c>
      <c r="R25" s="44"/>
      <c r="S25" s="36">
        <v>1</v>
      </c>
      <c r="T25" s="36"/>
      <c r="V25" s="10">
        <v>46</v>
      </c>
      <c r="W25" s="10">
        <v>5</v>
      </c>
      <c r="X25" s="10">
        <v>1</v>
      </c>
    </row>
    <row r="26" spans="1:24" x14ac:dyDescent="0.25">
      <c r="B26" s="4"/>
      <c r="D26" s="8">
        <v>22</v>
      </c>
      <c r="E26" s="48">
        <v>504</v>
      </c>
      <c r="F26" s="48">
        <v>3</v>
      </c>
      <c r="G26" s="48">
        <v>0</v>
      </c>
      <c r="H26" s="5" t="str">
        <f t="shared" ref="H26:H37" si="6">"det_"&amp;E26&amp;""</f>
        <v>det_504</v>
      </c>
      <c r="I26" s="5" t="str">
        <f t="shared" ref="I26:I37" si="7">$B$5&amp;"\"&amp;H26&amp;".txt"</f>
        <v>W:\Performance Measurement\1. Freeway\1. raw data\2011\data files\det_504.txt</v>
      </c>
      <c r="J26" s="5" t="str">
        <f t="shared" si="2"/>
        <v>W:\Performance Measurement\1. Freeway\1. raw data\2011\data files\det_504.xlsx</v>
      </c>
      <c r="K26" s="5" t="s">
        <v>82</v>
      </c>
      <c r="L26" s="47">
        <v>22</v>
      </c>
      <c r="M26" s="39" t="s">
        <v>59</v>
      </c>
      <c r="N26" s="10">
        <v>84</v>
      </c>
      <c r="O26" s="10">
        <v>4</v>
      </c>
      <c r="P26" s="10">
        <v>1</v>
      </c>
      <c r="Q26" s="19">
        <v>1</v>
      </c>
      <c r="R26" s="52"/>
      <c r="S26" s="37">
        <v>1</v>
      </c>
      <c r="T26" s="37"/>
      <c r="V26" s="10">
        <v>50</v>
      </c>
      <c r="W26" s="10">
        <v>4</v>
      </c>
      <c r="X26" s="10">
        <v>1</v>
      </c>
    </row>
    <row r="27" spans="1:24" x14ac:dyDescent="0.25">
      <c r="B27" s="4"/>
      <c r="D27" s="8">
        <v>23</v>
      </c>
      <c r="E27" s="10"/>
      <c r="F27" s="10"/>
      <c r="G27" s="10"/>
      <c r="H27" s="5" t="str">
        <f t="shared" si="6"/>
        <v>det_</v>
      </c>
      <c r="I27" s="5" t="str">
        <f t="shared" si="7"/>
        <v>W:\Performance Measurement\1. Freeway\1. raw data\2011\data files\det_.txt</v>
      </c>
      <c r="J27" s="5" t="str">
        <f t="shared" si="2"/>
        <v>W:\Performance Measurement\1. Freeway\1. raw data\2011\data files\det_.xlsx</v>
      </c>
      <c r="K27" s="5" t="s">
        <v>82</v>
      </c>
      <c r="L27" s="47">
        <v>23</v>
      </c>
      <c r="M27" s="39" t="s">
        <v>59</v>
      </c>
      <c r="N27" s="10">
        <v>78</v>
      </c>
      <c r="O27" s="10">
        <v>4</v>
      </c>
      <c r="P27" s="10">
        <v>0</v>
      </c>
      <c r="Q27" s="19">
        <v>14</v>
      </c>
      <c r="S27" s="36">
        <v>1</v>
      </c>
      <c r="T27" s="36"/>
      <c r="V27" s="10">
        <v>55</v>
      </c>
      <c r="W27" s="10">
        <v>5</v>
      </c>
      <c r="X27" s="10">
        <v>1</v>
      </c>
    </row>
    <row r="28" spans="1:24" x14ac:dyDescent="0.25">
      <c r="B28" s="4"/>
      <c r="D28" s="8">
        <v>24</v>
      </c>
      <c r="E28" s="10"/>
      <c r="F28" s="10"/>
      <c r="G28" s="10"/>
      <c r="H28" s="5" t="str">
        <f t="shared" si="6"/>
        <v>det_</v>
      </c>
      <c r="I28" s="5" t="str">
        <f t="shared" si="7"/>
        <v>W:\Performance Measurement\1. Freeway\1. raw data\2011\data files\det_.txt</v>
      </c>
      <c r="J28" s="5" t="str">
        <f t="shared" si="2"/>
        <v>W:\Performance Measurement\1. Freeway\1. raw data\2011\data files\det_.xlsx</v>
      </c>
      <c r="K28" s="5" t="s">
        <v>82</v>
      </c>
      <c r="L28" s="47">
        <v>24</v>
      </c>
      <c r="M28" s="39" t="s">
        <v>59</v>
      </c>
      <c r="N28" s="10">
        <v>137</v>
      </c>
      <c r="O28" s="10">
        <v>3</v>
      </c>
      <c r="P28" s="10">
        <v>1</v>
      </c>
      <c r="Q28" s="19">
        <v>1</v>
      </c>
      <c r="R28" s="44"/>
      <c r="S28" s="36">
        <v>1</v>
      </c>
      <c r="T28" s="36"/>
      <c r="V28" s="10">
        <v>59</v>
      </c>
      <c r="W28" s="15">
        <v>4</v>
      </c>
      <c r="X28" s="15">
        <v>1</v>
      </c>
    </row>
    <row r="29" spans="1:24" x14ac:dyDescent="0.25">
      <c r="A29" s="1"/>
      <c r="B29" s="4"/>
      <c r="C29" s="1"/>
      <c r="D29" s="8">
        <v>25</v>
      </c>
      <c r="E29" s="10"/>
      <c r="F29" s="10"/>
      <c r="G29" s="10"/>
      <c r="H29" s="5" t="str">
        <f t="shared" si="6"/>
        <v>det_</v>
      </c>
      <c r="I29" s="5" t="str">
        <f t="shared" si="7"/>
        <v>W:\Performance Measurement\1. Freeway\1. raw data\2011\data files\det_.txt</v>
      </c>
      <c r="J29" s="5" t="str">
        <f t="shared" si="2"/>
        <v>W:\Performance Measurement\1. Freeway\1. raw data\2011\data files\det_.xlsx</v>
      </c>
      <c r="K29" s="5" t="s">
        <v>82</v>
      </c>
      <c r="L29" s="47">
        <v>25</v>
      </c>
      <c r="M29" s="39" t="s">
        <v>60</v>
      </c>
      <c r="N29" s="10">
        <v>89</v>
      </c>
      <c r="O29" s="10">
        <v>4</v>
      </c>
      <c r="P29" s="10">
        <v>1</v>
      </c>
      <c r="Q29" s="19">
        <v>1</v>
      </c>
      <c r="R29" s="44" t="s">
        <v>83</v>
      </c>
      <c r="S29" s="36">
        <v>0</v>
      </c>
      <c r="T29" s="36"/>
      <c r="V29" s="10">
        <v>64</v>
      </c>
      <c r="W29" s="10">
        <v>5</v>
      </c>
      <c r="X29" s="10">
        <v>1</v>
      </c>
    </row>
    <row r="30" spans="1:24" x14ac:dyDescent="0.25">
      <c r="A30" s="1"/>
      <c r="B30" s="4"/>
      <c r="C30" s="1"/>
      <c r="D30" s="8">
        <v>26</v>
      </c>
      <c r="E30" s="10"/>
      <c r="F30" s="10"/>
      <c r="G30" s="10"/>
      <c r="H30" s="5" t="str">
        <f t="shared" si="6"/>
        <v>det_</v>
      </c>
      <c r="I30" s="5" t="str">
        <f t="shared" si="7"/>
        <v>W:\Performance Measurement\1. Freeway\1. raw data\2011\data files\det_.txt</v>
      </c>
      <c r="J30" s="5" t="str">
        <f t="shared" si="2"/>
        <v>W:\Performance Measurement\1. Freeway\1. raw data\2011\data files\det_.xlsx</v>
      </c>
      <c r="K30" s="5" t="s">
        <v>82</v>
      </c>
      <c r="L30" s="47">
        <v>26</v>
      </c>
      <c r="M30" s="39" t="s">
        <v>60</v>
      </c>
      <c r="N30" s="10">
        <v>149</v>
      </c>
      <c r="O30" s="10">
        <v>3</v>
      </c>
      <c r="P30" s="10">
        <v>1</v>
      </c>
      <c r="Q30" s="19">
        <v>1</v>
      </c>
      <c r="R30" s="44" t="s">
        <v>84</v>
      </c>
      <c r="S30" s="36">
        <v>1</v>
      </c>
      <c r="T30" s="36"/>
      <c r="V30" s="15">
        <v>393</v>
      </c>
      <c r="W30" s="15">
        <v>3</v>
      </c>
      <c r="X30" s="10">
        <v>1</v>
      </c>
    </row>
    <row r="31" spans="1:24" x14ac:dyDescent="0.25">
      <c r="A31" s="1"/>
      <c r="B31" s="4"/>
      <c r="C31" s="1"/>
      <c r="D31" s="8">
        <v>27</v>
      </c>
      <c r="E31" s="10"/>
      <c r="F31" s="10"/>
      <c r="G31" s="10"/>
      <c r="H31" s="5" t="str">
        <f t="shared" si="6"/>
        <v>det_</v>
      </c>
      <c r="I31" s="5" t="str">
        <f t="shared" si="7"/>
        <v>W:\Performance Measurement\1. Freeway\1. raw data\2011\data files\det_.txt</v>
      </c>
      <c r="J31" s="5" t="str">
        <f t="shared" si="2"/>
        <v>W:\Performance Measurement\1. Freeway\1. raw data\2011\data files\det_.xlsx</v>
      </c>
      <c r="K31" s="5" t="s">
        <v>82</v>
      </c>
      <c r="L31" s="47">
        <v>27</v>
      </c>
      <c r="M31" s="39" t="s">
        <v>60</v>
      </c>
      <c r="N31" s="10">
        <v>93</v>
      </c>
      <c r="O31" s="10">
        <v>3</v>
      </c>
      <c r="P31" s="10">
        <v>1</v>
      </c>
      <c r="Q31" s="19">
        <v>1</v>
      </c>
      <c r="R31" s="44" t="s">
        <v>85</v>
      </c>
      <c r="S31" s="36">
        <v>1</v>
      </c>
      <c r="T31" s="36"/>
      <c r="V31" s="10"/>
      <c r="W31" s="10"/>
      <c r="X31" s="10"/>
    </row>
    <row r="32" spans="1:24" x14ac:dyDescent="0.25">
      <c r="A32" s="1"/>
      <c r="B32" s="4"/>
      <c r="C32" s="1"/>
      <c r="D32" s="8">
        <v>28</v>
      </c>
      <c r="E32" s="10"/>
      <c r="F32" s="10"/>
      <c r="G32" s="10"/>
      <c r="H32" s="5" t="str">
        <f t="shared" si="6"/>
        <v>det_</v>
      </c>
      <c r="I32" s="5" t="str">
        <f t="shared" si="7"/>
        <v>W:\Performance Measurement\1. Freeway\1. raw data\2011\data files\det_.txt</v>
      </c>
      <c r="J32" s="5" t="str">
        <f t="shared" si="2"/>
        <v>W:\Performance Measurement\1. Freeway\1. raw data\2011\data files\det_.xlsx</v>
      </c>
      <c r="K32" s="5" t="s">
        <v>82</v>
      </c>
      <c r="L32" s="47">
        <v>28</v>
      </c>
      <c r="M32" s="39" t="s">
        <v>60</v>
      </c>
      <c r="N32" s="10">
        <v>40</v>
      </c>
      <c r="O32" s="10">
        <v>5</v>
      </c>
      <c r="P32" s="10">
        <v>1</v>
      </c>
      <c r="Q32" s="19">
        <v>1</v>
      </c>
      <c r="R32" s="44" t="s">
        <v>86</v>
      </c>
      <c r="S32" s="36">
        <v>1</v>
      </c>
      <c r="T32" s="36"/>
      <c r="V32" s="16" t="s">
        <v>23</v>
      </c>
      <c r="W32" s="10"/>
      <c r="X32" s="10"/>
    </row>
    <row r="33" spans="1:24" x14ac:dyDescent="0.25">
      <c r="A33" s="1"/>
      <c r="B33" s="4"/>
      <c r="C33" s="1"/>
      <c r="D33" s="8">
        <v>29</v>
      </c>
      <c r="E33" s="10"/>
      <c r="F33" s="10"/>
      <c r="G33" s="10"/>
      <c r="H33" s="5" t="str">
        <f t="shared" si="6"/>
        <v>det_</v>
      </c>
      <c r="I33" s="5" t="str">
        <f t="shared" si="7"/>
        <v>W:\Performance Measurement\1. Freeway\1. raw data\2011\data files\det_.txt</v>
      </c>
      <c r="J33" s="5" t="str">
        <f t="shared" si="2"/>
        <v>W:\Performance Measurement\1. Freeway\1. raw data\2011\data files\det_.xlsx</v>
      </c>
      <c r="K33" s="5" t="s">
        <v>82</v>
      </c>
      <c r="L33" s="47">
        <v>29</v>
      </c>
      <c r="M33" s="39" t="s">
        <v>60</v>
      </c>
      <c r="N33" s="10">
        <v>46</v>
      </c>
      <c r="O33" s="10">
        <v>5</v>
      </c>
      <c r="P33" s="10">
        <v>1</v>
      </c>
      <c r="Q33" s="19">
        <v>1</v>
      </c>
      <c r="R33" s="44" t="s">
        <v>87</v>
      </c>
      <c r="S33" s="36">
        <v>1</v>
      </c>
      <c r="T33" s="36"/>
      <c r="V33" s="10">
        <v>229</v>
      </c>
      <c r="W33" s="10">
        <v>2</v>
      </c>
      <c r="X33" s="10">
        <v>1</v>
      </c>
    </row>
    <row r="34" spans="1:24" x14ac:dyDescent="0.25">
      <c r="A34" s="1"/>
      <c r="B34" s="4"/>
      <c r="C34" s="1"/>
      <c r="D34" s="8">
        <v>30</v>
      </c>
      <c r="E34" s="10"/>
      <c r="F34" s="10"/>
      <c r="G34" s="10"/>
      <c r="H34" s="5" t="str">
        <f t="shared" si="6"/>
        <v>det_</v>
      </c>
      <c r="I34" s="5" t="str">
        <f t="shared" si="7"/>
        <v>W:\Performance Measurement\1. Freeway\1. raw data\2011\data files\det_.txt</v>
      </c>
      <c r="J34" s="5" t="str">
        <f t="shared" si="2"/>
        <v>W:\Performance Measurement\1. Freeway\1. raw data\2011\data files\det_.xlsx</v>
      </c>
      <c r="K34" s="5" t="s">
        <v>82</v>
      </c>
      <c r="L34" s="47">
        <v>30</v>
      </c>
      <c r="M34" s="39" t="s">
        <v>60</v>
      </c>
      <c r="N34" s="10">
        <v>50</v>
      </c>
      <c r="O34" s="10">
        <v>4</v>
      </c>
      <c r="P34" s="10">
        <v>1</v>
      </c>
      <c r="Q34" s="19">
        <v>1</v>
      </c>
      <c r="R34" s="44" t="s">
        <v>87</v>
      </c>
      <c r="S34" s="36">
        <v>1</v>
      </c>
      <c r="T34" s="36"/>
      <c r="V34" s="10">
        <v>230</v>
      </c>
      <c r="W34" s="15">
        <v>3</v>
      </c>
      <c r="X34" s="10">
        <v>1</v>
      </c>
    </row>
    <row r="35" spans="1:24" x14ac:dyDescent="0.25">
      <c r="A35" s="1"/>
      <c r="B35" s="4"/>
      <c r="C35" s="1"/>
      <c r="D35" s="8">
        <v>31</v>
      </c>
      <c r="E35" s="10"/>
      <c r="F35" s="10"/>
      <c r="G35" s="10"/>
      <c r="H35" s="5" t="str">
        <f t="shared" si="6"/>
        <v>det_</v>
      </c>
      <c r="I35" s="5" t="str">
        <f t="shared" si="7"/>
        <v>W:\Performance Measurement\1. Freeway\1. raw data\2011\data files\det_.txt</v>
      </c>
      <c r="J35" s="5" t="str">
        <f t="shared" si="2"/>
        <v>W:\Performance Measurement\1. Freeway\1. raw data\2011\data files\det_.xlsx</v>
      </c>
      <c r="K35" s="5" t="s">
        <v>82</v>
      </c>
      <c r="L35" s="47">
        <v>31</v>
      </c>
      <c r="M35" s="39" t="s">
        <v>60</v>
      </c>
      <c r="N35" s="10">
        <v>55</v>
      </c>
      <c r="O35" s="10">
        <v>5</v>
      </c>
      <c r="P35" s="10">
        <v>1</v>
      </c>
      <c r="Q35" s="19">
        <v>1</v>
      </c>
      <c r="R35" s="44" t="s">
        <v>88</v>
      </c>
      <c r="S35" s="36">
        <v>1</v>
      </c>
      <c r="T35" s="36"/>
      <c r="V35" s="10">
        <v>233</v>
      </c>
      <c r="W35" s="15">
        <v>3</v>
      </c>
      <c r="X35" s="10">
        <v>1</v>
      </c>
    </row>
    <row r="36" spans="1:24" x14ac:dyDescent="0.25">
      <c r="A36" s="1"/>
      <c r="B36" s="4"/>
      <c r="D36" s="8">
        <v>32</v>
      </c>
      <c r="E36" s="10"/>
      <c r="F36" s="10"/>
      <c r="G36" s="10"/>
      <c r="H36" s="5" t="str">
        <f t="shared" si="6"/>
        <v>det_</v>
      </c>
      <c r="I36" s="5" t="str">
        <f t="shared" si="7"/>
        <v>W:\Performance Measurement\1. Freeway\1. raw data\2011\data files\det_.txt</v>
      </c>
      <c r="J36" s="5" t="str">
        <f t="shared" si="2"/>
        <v>W:\Performance Measurement\1. Freeway\1. raw data\2011\data files\det_.xlsx</v>
      </c>
      <c r="K36" s="5" t="s">
        <v>82</v>
      </c>
      <c r="L36" s="47">
        <v>32</v>
      </c>
      <c r="M36" s="39" t="s">
        <v>60</v>
      </c>
      <c r="N36" s="10">
        <v>59</v>
      </c>
      <c r="O36" s="10">
        <v>4</v>
      </c>
      <c r="P36" s="10">
        <v>1</v>
      </c>
      <c r="Q36" s="19">
        <v>1</v>
      </c>
      <c r="R36" s="44" t="s">
        <v>88</v>
      </c>
      <c r="S36" s="36">
        <v>1</v>
      </c>
      <c r="T36" s="36"/>
      <c r="V36" s="10">
        <v>237</v>
      </c>
      <c r="W36" s="15">
        <v>3</v>
      </c>
      <c r="X36" s="10">
        <v>1</v>
      </c>
    </row>
    <row r="37" spans="1:24" x14ac:dyDescent="0.25">
      <c r="B37" s="4"/>
      <c r="D37" s="8">
        <v>33</v>
      </c>
      <c r="E37" s="10"/>
      <c r="F37" s="10"/>
      <c r="G37" s="10"/>
      <c r="H37" s="5" t="str">
        <f t="shared" si="6"/>
        <v>det_</v>
      </c>
      <c r="I37" s="5" t="str">
        <f t="shared" si="7"/>
        <v>W:\Performance Measurement\1. Freeway\1. raw data\2011\data files\det_.txt</v>
      </c>
      <c r="J37" s="5" t="str">
        <f t="shared" si="2"/>
        <v>W:\Performance Measurement\1. Freeway\1. raw data\2011\data files\det_.xlsx</v>
      </c>
      <c r="K37" s="5" t="s">
        <v>82</v>
      </c>
      <c r="L37" s="47">
        <v>33</v>
      </c>
      <c r="M37" s="39" t="s">
        <v>60</v>
      </c>
      <c r="N37" s="10">
        <v>64</v>
      </c>
      <c r="O37" s="10">
        <v>5</v>
      </c>
      <c r="P37" s="10">
        <v>1</v>
      </c>
      <c r="Q37" s="19">
        <v>1</v>
      </c>
      <c r="R37" s="44" t="s">
        <v>89</v>
      </c>
      <c r="S37" s="36">
        <v>1</v>
      </c>
      <c r="T37" s="36"/>
      <c r="V37" s="10">
        <v>239</v>
      </c>
      <c r="W37" s="15">
        <v>3</v>
      </c>
      <c r="X37" s="10">
        <v>1</v>
      </c>
    </row>
    <row r="38" spans="1:24" x14ac:dyDescent="0.25">
      <c r="B38" s="4"/>
      <c r="D38" s="8">
        <v>34</v>
      </c>
      <c r="E38" s="10">
        <v>312</v>
      </c>
      <c r="F38" s="10">
        <v>3</v>
      </c>
      <c r="G38" s="10">
        <v>1</v>
      </c>
      <c r="H38" s="5" t="str">
        <f t="shared" ref="H38:H101" si="8">"det_"&amp;E38&amp;""</f>
        <v>det_312</v>
      </c>
      <c r="I38" s="5" t="str">
        <f t="shared" ref="I38:I101" si="9">$B$5&amp;"\"&amp;H38&amp;".txt"</f>
        <v>W:\Performance Measurement\1. Freeway\1. raw data\2011\data files\det_312.txt</v>
      </c>
      <c r="J38" s="5" t="str">
        <f t="shared" ref="J38:J101" si="10">$B$5&amp;"\"&amp;H38&amp;".xlsx"</f>
        <v>W:\Performance Measurement\1. Freeway\1. raw data\2011\data files\det_312.xlsx</v>
      </c>
      <c r="K38" s="5" t="s">
        <v>82</v>
      </c>
      <c r="L38" s="47">
        <v>34</v>
      </c>
      <c r="M38" s="39" t="s">
        <v>60</v>
      </c>
      <c r="N38" s="10">
        <v>393</v>
      </c>
      <c r="O38" s="10">
        <v>3</v>
      </c>
      <c r="P38" s="10">
        <v>1</v>
      </c>
      <c r="Q38" s="19" t="s">
        <v>44</v>
      </c>
      <c r="R38" s="44" t="s">
        <v>90</v>
      </c>
      <c r="S38" s="36">
        <v>1</v>
      </c>
      <c r="T38" s="36"/>
      <c r="V38" s="10">
        <v>241</v>
      </c>
      <c r="W38" s="15">
        <v>3</v>
      </c>
      <c r="X38" s="10">
        <v>1</v>
      </c>
    </row>
    <row r="39" spans="1:24" x14ac:dyDescent="0.25">
      <c r="B39" s="4"/>
      <c r="D39" s="8">
        <v>35</v>
      </c>
      <c r="E39" s="10">
        <v>522</v>
      </c>
      <c r="F39" s="10">
        <v>5</v>
      </c>
      <c r="G39" s="10">
        <v>1</v>
      </c>
      <c r="H39" s="5" t="str">
        <f t="shared" si="8"/>
        <v>det_522</v>
      </c>
      <c r="I39" s="5" t="str">
        <f t="shared" si="9"/>
        <v>W:\Performance Measurement\1. Freeway\1. raw data\2011\data files\det_522.txt</v>
      </c>
      <c r="J39" s="5" t="str">
        <f t="shared" si="10"/>
        <v>W:\Performance Measurement\1. Freeway\1. raw data\2011\data files\det_522.xlsx</v>
      </c>
      <c r="K39" s="5" t="s">
        <v>82</v>
      </c>
      <c r="L39" s="47">
        <v>35</v>
      </c>
      <c r="M39" s="39" t="s">
        <v>60</v>
      </c>
      <c r="N39" s="10">
        <v>425</v>
      </c>
      <c r="O39" s="10">
        <v>3</v>
      </c>
      <c r="P39" s="10">
        <v>1</v>
      </c>
      <c r="Q39" s="19" t="s">
        <v>44</v>
      </c>
      <c r="R39" s="51" t="s">
        <v>92</v>
      </c>
      <c r="S39" s="36">
        <v>1</v>
      </c>
      <c r="T39" s="36"/>
      <c r="V39" s="10">
        <v>243</v>
      </c>
      <c r="W39" s="15">
        <v>3</v>
      </c>
      <c r="X39" s="10">
        <v>1</v>
      </c>
    </row>
    <row r="40" spans="1:24" x14ac:dyDescent="0.25">
      <c r="B40" s="4"/>
      <c r="D40" s="8">
        <v>36</v>
      </c>
      <c r="E40" s="10">
        <v>524</v>
      </c>
      <c r="F40" s="10">
        <v>5</v>
      </c>
      <c r="G40" s="10">
        <v>1</v>
      </c>
      <c r="H40" s="5" t="str">
        <f t="shared" si="8"/>
        <v>det_524</v>
      </c>
      <c r="I40" s="5" t="str">
        <f t="shared" si="9"/>
        <v>W:\Performance Measurement\1. Freeway\1. raw data\2011\data files\det_524.txt</v>
      </c>
      <c r="J40" s="5" t="str">
        <f t="shared" si="10"/>
        <v>W:\Performance Measurement\1. Freeway\1. raw data\2011\data files\det_524.xlsx</v>
      </c>
      <c r="K40" s="5" t="s">
        <v>82</v>
      </c>
      <c r="L40" s="47">
        <v>36</v>
      </c>
      <c r="M40" s="39" t="s">
        <v>60</v>
      </c>
      <c r="N40" s="10">
        <v>66</v>
      </c>
      <c r="O40" s="10">
        <v>6</v>
      </c>
      <c r="P40" s="10">
        <v>1</v>
      </c>
      <c r="Q40" s="19" t="s">
        <v>41</v>
      </c>
      <c r="R40" s="44" t="s">
        <v>93</v>
      </c>
      <c r="S40" s="36">
        <v>0</v>
      </c>
      <c r="T40" s="36"/>
      <c r="V40" s="10">
        <v>254</v>
      </c>
      <c r="W40" s="15">
        <v>3</v>
      </c>
      <c r="X40" s="10">
        <v>1</v>
      </c>
    </row>
    <row r="41" spans="1:24" x14ac:dyDescent="0.25">
      <c r="B41" s="4"/>
      <c r="D41" s="8">
        <v>37</v>
      </c>
      <c r="E41" s="10">
        <v>525</v>
      </c>
      <c r="F41" s="10">
        <v>4</v>
      </c>
      <c r="G41" s="10">
        <v>1</v>
      </c>
      <c r="H41" s="5" t="str">
        <f t="shared" si="8"/>
        <v>det_525</v>
      </c>
      <c r="I41" s="5" t="str">
        <f t="shared" si="9"/>
        <v>W:\Performance Measurement\1. Freeway\1. raw data\2011\data files\det_525.txt</v>
      </c>
      <c r="J41" s="5" t="str">
        <f t="shared" si="10"/>
        <v>W:\Performance Measurement\1. Freeway\1. raw data\2011\data files\det_525.xlsx</v>
      </c>
      <c r="K41" s="5" t="s">
        <v>82</v>
      </c>
      <c r="L41" s="47">
        <v>37</v>
      </c>
      <c r="M41" s="39" t="s">
        <v>60</v>
      </c>
      <c r="N41" s="42">
        <v>63</v>
      </c>
      <c r="O41" s="10">
        <v>4</v>
      </c>
      <c r="P41" s="10">
        <v>1</v>
      </c>
      <c r="Q41" s="56" t="s">
        <v>44</v>
      </c>
      <c r="R41" s="49" t="s">
        <v>97</v>
      </c>
      <c r="S41" s="49" t="s">
        <v>98</v>
      </c>
      <c r="V41" s="10">
        <v>235</v>
      </c>
      <c r="W41" s="15">
        <v>4</v>
      </c>
      <c r="X41" s="10">
        <v>1</v>
      </c>
    </row>
    <row r="42" spans="1:24" x14ac:dyDescent="0.25">
      <c r="D42" s="8">
        <v>38</v>
      </c>
      <c r="E42" s="10">
        <v>536</v>
      </c>
      <c r="F42" s="10">
        <v>5</v>
      </c>
      <c r="G42" s="10">
        <v>1</v>
      </c>
      <c r="H42" s="5" t="str">
        <f t="shared" si="8"/>
        <v>det_536</v>
      </c>
      <c r="I42" s="5" t="str">
        <f t="shared" si="9"/>
        <v>W:\Performance Measurement\1. Freeway\1. raw data\2011\data files\det_536.txt</v>
      </c>
      <c r="J42" s="5" t="str">
        <f t="shared" si="10"/>
        <v>W:\Performance Measurement\1. Freeway\1. raw data\2011\data files\det_536.xlsx</v>
      </c>
      <c r="K42" s="5" t="s">
        <v>82</v>
      </c>
      <c r="L42" s="47">
        <v>38</v>
      </c>
      <c r="M42" s="39" t="s">
        <v>60</v>
      </c>
      <c r="N42" s="10">
        <v>60</v>
      </c>
      <c r="O42" s="10">
        <v>5</v>
      </c>
      <c r="P42" s="10">
        <v>1</v>
      </c>
      <c r="Q42" s="19">
        <v>1</v>
      </c>
      <c r="R42" s="44" t="s">
        <v>94</v>
      </c>
      <c r="S42" s="36" t="s">
        <v>42</v>
      </c>
      <c r="T42" s="36"/>
      <c r="V42" s="10">
        <v>245</v>
      </c>
      <c r="W42" s="15">
        <v>4</v>
      </c>
      <c r="X42" s="10">
        <v>1</v>
      </c>
    </row>
    <row r="43" spans="1:24" x14ac:dyDescent="0.25">
      <c r="D43" s="8">
        <v>39</v>
      </c>
      <c r="E43" s="10">
        <v>537</v>
      </c>
      <c r="F43" s="10">
        <v>5</v>
      </c>
      <c r="G43" s="10">
        <v>1</v>
      </c>
      <c r="H43" s="5" t="str">
        <f t="shared" si="8"/>
        <v>det_537</v>
      </c>
      <c r="I43" s="5" t="str">
        <f t="shared" si="9"/>
        <v>W:\Performance Measurement\1. Freeway\1. raw data\2011\data files\det_537.txt</v>
      </c>
      <c r="J43" s="5" t="str">
        <f t="shared" si="10"/>
        <v>W:\Performance Measurement\1. Freeway\1. raw data\2011\data files\det_537.xlsx</v>
      </c>
      <c r="K43" s="5" t="s">
        <v>82</v>
      </c>
      <c r="L43" s="47">
        <v>39</v>
      </c>
      <c r="M43" s="39" t="s">
        <v>60</v>
      </c>
      <c r="N43" s="10">
        <v>53</v>
      </c>
      <c r="O43" s="10">
        <v>4</v>
      </c>
      <c r="P43" s="10">
        <v>1</v>
      </c>
      <c r="Q43" s="19">
        <v>1</v>
      </c>
      <c r="R43" s="44" t="s">
        <v>95</v>
      </c>
      <c r="S43" s="36" t="s">
        <v>42</v>
      </c>
      <c r="T43" s="36"/>
      <c r="V43" s="10">
        <v>246</v>
      </c>
      <c r="W43" s="15">
        <v>4</v>
      </c>
      <c r="X43" s="10">
        <v>1</v>
      </c>
    </row>
    <row r="44" spans="1:24" x14ac:dyDescent="0.25">
      <c r="D44" s="8">
        <v>40</v>
      </c>
      <c r="E44" s="33">
        <v>167</v>
      </c>
      <c r="F44" s="10">
        <v>2</v>
      </c>
      <c r="G44" s="10">
        <v>0</v>
      </c>
      <c r="H44" s="5" t="str">
        <f t="shared" si="8"/>
        <v>det_167</v>
      </c>
      <c r="I44" s="5" t="str">
        <f t="shared" si="9"/>
        <v>W:\Performance Measurement\1. Freeway\1. raw data\2011\data files\det_167.txt</v>
      </c>
      <c r="J44" s="5" t="str">
        <f t="shared" si="10"/>
        <v>W:\Performance Measurement\1. Freeway\1. raw data\2011\data files\det_167.xlsx</v>
      </c>
      <c r="K44" s="5" t="s">
        <v>82</v>
      </c>
      <c r="L44" s="47">
        <v>40</v>
      </c>
      <c r="M44" s="39" t="s">
        <v>60</v>
      </c>
      <c r="N44" s="42">
        <v>47</v>
      </c>
      <c r="O44" s="10">
        <v>5</v>
      </c>
      <c r="P44" s="10">
        <v>1</v>
      </c>
      <c r="Q44" s="56">
        <v>15</v>
      </c>
      <c r="R44" s="44" t="s">
        <v>96</v>
      </c>
      <c r="S44" s="39" t="s">
        <v>54</v>
      </c>
      <c r="T44" s="39"/>
      <c r="V44" s="10">
        <v>248</v>
      </c>
      <c r="W44" s="15">
        <v>4</v>
      </c>
      <c r="X44" s="10">
        <v>1</v>
      </c>
    </row>
    <row r="45" spans="1:24" x14ac:dyDescent="0.25">
      <c r="D45" s="8">
        <v>41</v>
      </c>
      <c r="E45" s="10">
        <v>176</v>
      </c>
      <c r="F45" s="10">
        <v>2</v>
      </c>
      <c r="G45" s="10">
        <v>0</v>
      </c>
      <c r="H45" s="5" t="str">
        <f t="shared" si="8"/>
        <v>det_176</v>
      </c>
      <c r="I45" s="5" t="str">
        <f t="shared" si="9"/>
        <v>W:\Performance Measurement\1. Freeway\1. raw data\2011\data files\det_176.txt</v>
      </c>
      <c r="J45" s="5" t="str">
        <f t="shared" si="10"/>
        <v>W:\Performance Measurement\1. Freeway\1. raw data\2011\data files\det_176.xlsx</v>
      </c>
      <c r="K45" s="5" t="s">
        <v>82</v>
      </c>
      <c r="L45" s="47">
        <v>41</v>
      </c>
      <c r="M45" s="39" t="s">
        <v>60</v>
      </c>
      <c r="N45" s="42">
        <v>41</v>
      </c>
      <c r="O45" s="10">
        <v>6</v>
      </c>
      <c r="P45" s="10">
        <v>1</v>
      </c>
      <c r="Q45" s="56" t="s">
        <v>45</v>
      </c>
      <c r="R45" s="51" t="s">
        <v>99</v>
      </c>
      <c r="S45" s="51" t="s">
        <v>53</v>
      </c>
      <c r="V45" s="10">
        <v>250</v>
      </c>
      <c r="W45" s="15">
        <v>4</v>
      </c>
      <c r="X45" s="10">
        <v>1</v>
      </c>
    </row>
    <row r="46" spans="1:24" x14ac:dyDescent="0.25">
      <c r="D46" s="8">
        <v>42</v>
      </c>
      <c r="E46" s="10">
        <v>179</v>
      </c>
      <c r="F46" s="10">
        <v>2</v>
      </c>
      <c r="G46" s="10">
        <v>0</v>
      </c>
      <c r="H46" s="5" t="str">
        <f t="shared" si="8"/>
        <v>det_179</v>
      </c>
      <c r="I46" s="5" t="str">
        <f t="shared" si="9"/>
        <v>W:\Performance Measurement\1. Freeway\1. raw data\2011\data files\det_179.txt</v>
      </c>
      <c r="J46" s="5" t="str">
        <f t="shared" si="10"/>
        <v>W:\Performance Measurement\1. Freeway\1. raw data\2011\data files\det_179.xlsx</v>
      </c>
      <c r="K46" s="5" t="s">
        <v>82</v>
      </c>
      <c r="L46" s="47">
        <v>42</v>
      </c>
      <c r="M46" s="39" t="s">
        <v>60</v>
      </c>
      <c r="N46" s="10">
        <v>144</v>
      </c>
      <c r="O46" s="10">
        <v>3</v>
      </c>
      <c r="P46" s="10">
        <v>1</v>
      </c>
      <c r="Q46" s="19" t="s">
        <v>44</v>
      </c>
      <c r="R46" s="51" t="s">
        <v>100</v>
      </c>
      <c r="S46" s="55">
        <v>0</v>
      </c>
      <c r="V46" s="10">
        <v>252</v>
      </c>
      <c r="W46" s="15">
        <v>4</v>
      </c>
      <c r="X46" s="10">
        <v>1</v>
      </c>
    </row>
    <row r="47" spans="1:24" x14ac:dyDescent="0.25">
      <c r="D47" s="8">
        <v>43</v>
      </c>
      <c r="E47" s="10">
        <v>184</v>
      </c>
      <c r="F47" s="10">
        <v>2</v>
      </c>
      <c r="G47" s="10">
        <v>0</v>
      </c>
      <c r="H47" s="5" t="str">
        <f t="shared" si="8"/>
        <v>det_184</v>
      </c>
      <c r="I47" s="5" t="str">
        <f t="shared" si="9"/>
        <v>W:\Performance Measurement\1. Freeway\1. raw data\2011\data files\det_184.txt</v>
      </c>
      <c r="J47" s="5" t="str">
        <f t="shared" si="10"/>
        <v>W:\Performance Measurement\1. Freeway\1. raw data\2011\data files\det_184.xlsx</v>
      </c>
      <c r="K47" s="5" t="s">
        <v>82</v>
      </c>
      <c r="L47" s="47">
        <v>43</v>
      </c>
      <c r="M47" s="39" t="s">
        <v>60</v>
      </c>
      <c r="N47" s="10">
        <v>92</v>
      </c>
      <c r="O47" s="10">
        <v>3</v>
      </c>
      <c r="P47" s="10">
        <v>1</v>
      </c>
      <c r="Q47" s="19">
        <v>1</v>
      </c>
      <c r="R47" s="44" t="s">
        <v>101</v>
      </c>
      <c r="S47" s="36" t="s">
        <v>42</v>
      </c>
      <c r="T47" s="36"/>
      <c r="V47" s="17"/>
      <c r="W47" s="17"/>
      <c r="X47" s="17"/>
    </row>
    <row r="48" spans="1:24" x14ac:dyDescent="0.25">
      <c r="D48" s="8">
        <v>44</v>
      </c>
      <c r="E48" s="10">
        <v>187</v>
      </c>
      <c r="F48" s="10">
        <v>2</v>
      </c>
      <c r="G48" s="10">
        <v>0</v>
      </c>
      <c r="H48" s="5" t="str">
        <f t="shared" si="8"/>
        <v>det_187</v>
      </c>
      <c r="I48" s="5" t="str">
        <f t="shared" si="9"/>
        <v>W:\Performance Measurement\1. Freeway\1. raw data\2011\data files\det_187.txt</v>
      </c>
      <c r="J48" s="5" t="str">
        <f t="shared" si="10"/>
        <v>W:\Performance Measurement\1. Freeway\1. raw data\2011\data files\det_187.xlsx</v>
      </c>
      <c r="K48" s="5" t="s">
        <v>82</v>
      </c>
      <c r="L48" s="47">
        <v>44</v>
      </c>
      <c r="M48" s="39" t="s">
        <v>60</v>
      </c>
      <c r="N48" s="10">
        <v>141</v>
      </c>
      <c r="O48" s="10">
        <v>4</v>
      </c>
      <c r="P48" s="10">
        <v>1</v>
      </c>
      <c r="Q48" s="19" t="s">
        <v>43</v>
      </c>
      <c r="R48" s="51" t="s">
        <v>102</v>
      </c>
      <c r="S48" s="55">
        <v>1</v>
      </c>
      <c r="V48" s="14" t="s">
        <v>26</v>
      </c>
      <c r="W48" s="17"/>
      <c r="X48" s="17"/>
    </row>
    <row r="49" spans="4:24" x14ac:dyDescent="0.25">
      <c r="D49" s="8">
        <v>45</v>
      </c>
      <c r="E49" s="10">
        <v>39</v>
      </c>
      <c r="F49" s="10">
        <v>3</v>
      </c>
      <c r="G49" s="10">
        <v>0</v>
      </c>
      <c r="H49" s="5" t="str">
        <f t="shared" si="8"/>
        <v>det_39</v>
      </c>
      <c r="I49" s="5" t="str">
        <f t="shared" si="9"/>
        <v>W:\Performance Measurement\1. Freeway\1. raw data\2011\data files\det_39.txt</v>
      </c>
      <c r="J49" s="5" t="str">
        <f t="shared" si="10"/>
        <v>W:\Performance Measurement\1. Freeway\1. raw data\2011\data files\det_39.xlsx</v>
      </c>
      <c r="K49" s="5" t="s">
        <v>82</v>
      </c>
      <c r="L49" s="47">
        <v>45</v>
      </c>
      <c r="M49" s="39" t="s">
        <v>61</v>
      </c>
      <c r="N49" s="10">
        <v>396</v>
      </c>
      <c r="O49" s="10">
        <v>3</v>
      </c>
      <c r="P49" s="10">
        <v>1</v>
      </c>
      <c r="Q49" s="19" t="s">
        <v>44</v>
      </c>
      <c r="R49" s="53" t="s">
        <v>86</v>
      </c>
      <c r="S49" s="55">
        <v>1</v>
      </c>
      <c r="V49" s="17">
        <v>569</v>
      </c>
      <c r="W49" s="17">
        <v>3</v>
      </c>
      <c r="X49" s="17">
        <v>1</v>
      </c>
    </row>
    <row r="50" spans="4:24" x14ac:dyDescent="0.25">
      <c r="D50" s="8">
        <v>46</v>
      </c>
      <c r="E50" s="33">
        <v>169</v>
      </c>
      <c r="F50" s="10">
        <v>3</v>
      </c>
      <c r="G50" s="10">
        <v>0</v>
      </c>
      <c r="H50" s="5" t="str">
        <f t="shared" si="8"/>
        <v>det_169</v>
      </c>
      <c r="I50" s="5" t="str">
        <f t="shared" si="9"/>
        <v>W:\Performance Measurement\1. Freeway\1. raw data\2011\data files\det_169.txt</v>
      </c>
      <c r="J50" s="5" t="str">
        <f t="shared" si="10"/>
        <v>W:\Performance Measurement\1. Freeway\1. raw data\2011\data files\det_169.xlsx</v>
      </c>
      <c r="K50" s="5" t="s">
        <v>82</v>
      </c>
      <c r="L50" s="47">
        <v>46</v>
      </c>
      <c r="M50" s="39" t="s">
        <v>61</v>
      </c>
      <c r="N50" s="10">
        <v>397</v>
      </c>
      <c r="O50" s="10">
        <v>4</v>
      </c>
      <c r="P50" s="10">
        <v>1</v>
      </c>
      <c r="Q50" s="19" t="s">
        <v>42</v>
      </c>
      <c r="R50" s="53" t="s">
        <v>103</v>
      </c>
      <c r="S50" s="36">
        <v>1</v>
      </c>
      <c r="T50" s="36"/>
      <c r="V50" s="17">
        <v>570</v>
      </c>
      <c r="W50" s="17">
        <v>3</v>
      </c>
      <c r="X50" s="17">
        <v>1</v>
      </c>
    </row>
    <row r="51" spans="4:24" x14ac:dyDescent="0.25">
      <c r="D51" s="8">
        <v>47</v>
      </c>
      <c r="E51" s="10">
        <v>171</v>
      </c>
      <c r="F51" s="10">
        <v>3</v>
      </c>
      <c r="G51" s="10">
        <v>0</v>
      </c>
      <c r="H51" s="5" t="str">
        <f t="shared" si="8"/>
        <v>det_171</v>
      </c>
      <c r="I51" s="5" t="str">
        <f t="shared" si="9"/>
        <v>W:\Performance Measurement\1. Freeway\1. raw data\2011\data files\det_171.txt</v>
      </c>
      <c r="J51" s="5" t="str">
        <f t="shared" si="10"/>
        <v>W:\Performance Measurement\1. Freeway\1. raw data\2011\data files\det_171.xlsx</v>
      </c>
      <c r="K51" s="5" t="s">
        <v>82</v>
      </c>
      <c r="L51" s="47">
        <v>47</v>
      </c>
      <c r="M51" s="39" t="s">
        <v>61</v>
      </c>
      <c r="N51" s="10">
        <v>399</v>
      </c>
      <c r="O51" s="10">
        <v>4</v>
      </c>
      <c r="P51" s="10">
        <v>1</v>
      </c>
      <c r="Q51" s="19">
        <v>1</v>
      </c>
      <c r="R51" s="53" t="s">
        <v>103</v>
      </c>
      <c r="S51" s="36">
        <v>1</v>
      </c>
      <c r="T51" s="36"/>
      <c r="V51" s="17">
        <v>571</v>
      </c>
      <c r="W51" s="17">
        <v>3</v>
      </c>
      <c r="X51" s="17">
        <v>1</v>
      </c>
    </row>
    <row r="52" spans="4:24" x14ac:dyDescent="0.25">
      <c r="D52" s="8">
        <v>48</v>
      </c>
      <c r="E52" s="10">
        <v>178</v>
      </c>
      <c r="F52" s="10">
        <v>3</v>
      </c>
      <c r="G52" s="10">
        <v>0</v>
      </c>
      <c r="H52" s="5" t="str">
        <f t="shared" si="8"/>
        <v>det_178</v>
      </c>
      <c r="I52" s="5" t="str">
        <f t="shared" si="9"/>
        <v>W:\Performance Measurement\1. Freeway\1. raw data\2011\data files\det_178.txt</v>
      </c>
      <c r="J52" s="5" t="str">
        <f t="shared" si="10"/>
        <v>W:\Performance Measurement\1. Freeway\1. raw data\2011\data files\det_178.xlsx</v>
      </c>
      <c r="K52" s="5" t="s">
        <v>82</v>
      </c>
      <c r="L52" s="47">
        <v>48</v>
      </c>
      <c r="M52" s="39" t="s">
        <v>61</v>
      </c>
      <c r="N52" s="10">
        <v>401</v>
      </c>
      <c r="O52" s="10">
        <v>4</v>
      </c>
      <c r="P52" s="10">
        <v>1</v>
      </c>
      <c r="Q52" s="19">
        <v>1</v>
      </c>
      <c r="R52" s="53" t="s">
        <v>86</v>
      </c>
      <c r="S52" s="57">
        <v>1</v>
      </c>
      <c r="T52" s="36"/>
      <c r="V52" s="17">
        <v>572</v>
      </c>
      <c r="W52" s="17">
        <v>3</v>
      </c>
      <c r="X52" s="17">
        <v>1</v>
      </c>
    </row>
    <row r="53" spans="4:24" x14ac:dyDescent="0.25">
      <c r="D53" s="8">
        <v>49</v>
      </c>
      <c r="E53" s="10">
        <v>182</v>
      </c>
      <c r="F53" s="10">
        <v>3</v>
      </c>
      <c r="G53" s="10">
        <v>0</v>
      </c>
      <c r="H53" s="5" t="str">
        <f t="shared" si="8"/>
        <v>det_182</v>
      </c>
      <c r="I53" s="5" t="str">
        <f t="shared" si="9"/>
        <v>W:\Performance Measurement\1. Freeway\1. raw data\2011\data files\det_182.txt</v>
      </c>
      <c r="J53" s="5" t="str">
        <f t="shared" si="10"/>
        <v>W:\Performance Measurement\1. Freeway\1. raw data\2011\data files\det_182.xlsx</v>
      </c>
      <c r="K53" s="5" t="s">
        <v>82</v>
      </c>
      <c r="L53" s="47">
        <v>49</v>
      </c>
      <c r="M53" s="39" t="s">
        <v>61</v>
      </c>
      <c r="N53" s="10">
        <v>403</v>
      </c>
      <c r="O53" s="10">
        <v>3</v>
      </c>
      <c r="P53" s="10">
        <v>1</v>
      </c>
      <c r="Q53" s="19">
        <v>1</v>
      </c>
      <c r="R53" s="53" t="s">
        <v>86</v>
      </c>
      <c r="S53" s="57">
        <v>1</v>
      </c>
      <c r="T53" s="36"/>
      <c r="V53" s="17">
        <v>573</v>
      </c>
      <c r="W53" s="17">
        <v>3</v>
      </c>
      <c r="X53" s="17">
        <v>1</v>
      </c>
    </row>
    <row r="54" spans="4:24" x14ac:dyDescent="0.25">
      <c r="D54" s="8">
        <v>50</v>
      </c>
      <c r="E54" s="10">
        <v>336</v>
      </c>
      <c r="F54" s="10">
        <v>3</v>
      </c>
      <c r="G54" s="10">
        <v>1</v>
      </c>
      <c r="H54" s="5" t="str">
        <f t="shared" si="8"/>
        <v>det_336</v>
      </c>
      <c r="I54" s="5" t="str">
        <f t="shared" si="9"/>
        <v>W:\Performance Measurement\1. Freeway\1. raw data\2011\data files\det_336.txt</v>
      </c>
      <c r="J54" s="5" t="str">
        <f t="shared" si="10"/>
        <v>W:\Performance Measurement\1. Freeway\1. raw data\2011\data files\det_336.xlsx</v>
      </c>
      <c r="K54" s="5" t="s">
        <v>82</v>
      </c>
      <c r="L54" s="47">
        <v>50</v>
      </c>
      <c r="M54" s="39" t="s">
        <v>61</v>
      </c>
      <c r="N54" s="10">
        <v>406</v>
      </c>
      <c r="O54" s="10">
        <v>3</v>
      </c>
      <c r="P54" s="10">
        <v>1</v>
      </c>
      <c r="Q54" s="19">
        <v>1</v>
      </c>
      <c r="R54" s="53" t="s">
        <v>86</v>
      </c>
      <c r="S54" s="57">
        <v>1</v>
      </c>
      <c r="T54" s="36"/>
      <c r="V54" s="17">
        <v>574</v>
      </c>
      <c r="W54" s="17">
        <v>3</v>
      </c>
      <c r="X54" s="17">
        <v>1</v>
      </c>
    </row>
    <row r="55" spans="4:24" x14ac:dyDescent="0.25">
      <c r="D55" s="8">
        <v>51</v>
      </c>
      <c r="E55" s="10">
        <v>526</v>
      </c>
      <c r="F55" s="10">
        <v>3</v>
      </c>
      <c r="G55" s="10">
        <v>1</v>
      </c>
      <c r="H55" s="5" t="str">
        <f t="shared" si="8"/>
        <v>det_526</v>
      </c>
      <c r="I55" s="5" t="str">
        <f t="shared" si="9"/>
        <v>W:\Performance Measurement\1. Freeway\1. raw data\2011\data files\det_526.txt</v>
      </c>
      <c r="J55" s="5" t="str">
        <f t="shared" si="10"/>
        <v>W:\Performance Measurement\1. Freeway\1. raw data\2011\data files\det_526.xlsx</v>
      </c>
      <c r="K55" s="5" t="s">
        <v>82</v>
      </c>
      <c r="L55" s="47">
        <v>51</v>
      </c>
      <c r="M55" s="39" t="s">
        <v>61</v>
      </c>
      <c r="N55" s="10">
        <v>409</v>
      </c>
      <c r="O55" s="10">
        <v>5</v>
      </c>
      <c r="P55" s="10">
        <v>1</v>
      </c>
      <c r="Q55" s="19">
        <v>1</v>
      </c>
      <c r="R55" s="53" t="s">
        <v>86</v>
      </c>
      <c r="S55" s="57">
        <v>1</v>
      </c>
      <c r="T55" s="36"/>
      <c r="V55" s="17">
        <v>575</v>
      </c>
      <c r="W55" s="17">
        <v>3</v>
      </c>
      <c r="X55" s="17">
        <v>1</v>
      </c>
    </row>
    <row r="56" spans="4:24" x14ac:dyDescent="0.25">
      <c r="D56" s="8">
        <v>52</v>
      </c>
      <c r="E56" s="10">
        <v>530</v>
      </c>
      <c r="F56" s="10">
        <v>3</v>
      </c>
      <c r="G56" s="10">
        <v>1</v>
      </c>
      <c r="H56" s="5" t="str">
        <f t="shared" si="8"/>
        <v>det_530</v>
      </c>
      <c r="I56" s="5" t="str">
        <f t="shared" si="9"/>
        <v>W:\Performance Measurement\1. Freeway\1. raw data\2011\data files\det_530.txt</v>
      </c>
      <c r="J56" s="5" t="str">
        <f t="shared" si="10"/>
        <v>W:\Performance Measurement\1. Freeway\1. raw data\2011\data files\det_530.xlsx</v>
      </c>
      <c r="K56" s="5" t="s">
        <v>82</v>
      </c>
      <c r="L56" s="47">
        <v>52</v>
      </c>
      <c r="M56" s="39" t="s">
        <v>61</v>
      </c>
      <c r="N56" s="43">
        <v>410</v>
      </c>
      <c r="O56" s="10">
        <v>4</v>
      </c>
      <c r="P56" s="10">
        <v>1</v>
      </c>
      <c r="Q56" s="34" t="s">
        <v>42</v>
      </c>
      <c r="R56" s="51" t="s">
        <v>104</v>
      </c>
      <c r="S56" s="55">
        <v>0</v>
      </c>
      <c r="V56" s="17">
        <v>576</v>
      </c>
      <c r="W56" s="17">
        <v>3</v>
      </c>
      <c r="X56" s="17">
        <v>1</v>
      </c>
    </row>
    <row r="57" spans="4:24" x14ac:dyDescent="0.25">
      <c r="D57" s="8">
        <v>53</v>
      </c>
      <c r="E57" s="10"/>
      <c r="F57" s="10"/>
      <c r="G57" s="10"/>
      <c r="H57" s="5" t="str">
        <f t="shared" si="8"/>
        <v>det_</v>
      </c>
      <c r="I57" s="5" t="str">
        <f t="shared" si="9"/>
        <v>W:\Performance Measurement\1. Freeway\1. raw data\2011\data files\det_.txt</v>
      </c>
      <c r="J57" s="5" t="str">
        <f t="shared" si="10"/>
        <v>W:\Performance Measurement\1. Freeway\1. raw data\2011\data files\det_.xlsx</v>
      </c>
      <c r="K57" s="5" t="s">
        <v>82</v>
      </c>
      <c r="L57" s="47">
        <v>53</v>
      </c>
      <c r="M57" s="39" t="s">
        <v>61</v>
      </c>
      <c r="N57" s="10">
        <v>411</v>
      </c>
      <c r="O57" s="10">
        <v>3</v>
      </c>
      <c r="P57" s="10">
        <v>1</v>
      </c>
      <c r="Q57" s="19" t="s">
        <v>44</v>
      </c>
      <c r="R57" s="49" t="s">
        <v>105</v>
      </c>
      <c r="S57" s="55">
        <v>1</v>
      </c>
      <c r="V57" s="17">
        <v>577</v>
      </c>
      <c r="W57" s="17">
        <v>3</v>
      </c>
      <c r="X57" s="17">
        <v>1</v>
      </c>
    </row>
    <row r="58" spans="4:24" x14ac:dyDescent="0.25">
      <c r="D58" s="8">
        <v>54</v>
      </c>
      <c r="E58" s="10"/>
      <c r="F58" s="10"/>
      <c r="G58" s="10"/>
      <c r="H58" s="5" t="str">
        <f t="shared" si="8"/>
        <v>det_</v>
      </c>
      <c r="I58" s="5" t="str">
        <f t="shared" si="9"/>
        <v>W:\Performance Measurement\1. Freeway\1. raw data\2011\data files\det_.txt</v>
      </c>
      <c r="J58" s="5" t="str">
        <f t="shared" si="10"/>
        <v>W:\Performance Measurement\1. Freeway\1. raw data\2011\data files\det_.xlsx</v>
      </c>
      <c r="K58" s="5" t="s">
        <v>82</v>
      </c>
      <c r="L58" s="47">
        <v>54</v>
      </c>
      <c r="M58" s="39" t="s">
        <v>61</v>
      </c>
      <c r="N58" s="10">
        <v>414</v>
      </c>
      <c r="O58" s="10">
        <v>3</v>
      </c>
      <c r="P58" s="10">
        <v>1</v>
      </c>
      <c r="Q58" s="19" t="s">
        <v>44</v>
      </c>
      <c r="R58" s="51" t="s">
        <v>106</v>
      </c>
      <c r="S58" s="55">
        <v>1</v>
      </c>
      <c r="V58" s="17">
        <v>578</v>
      </c>
      <c r="W58" s="17">
        <v>4</v>
      </c>
      <c r="X58" s="17">
        <v>1</v>
      </c>
    </row>
    <row r="59" spans="4:24" x14ac:dyDescent="0.25">
      <c r="D59" s="8">
        <v>55</v>
      </c>
      <c r="E59" s="10">
        <v>122</v>
      </c>
      <c r="F59" s="10">
        <v>3</v>
      </c>
      <c r="G59" s="10">
        <v>0</v>
      </c>
      <c r="H59" s="5" t="str">
        <f t="shared" si="8"/>
        <v>det_122</v>
      </c>
      <c r="I59" s="5" t="str">
        <f t="shared" si="9"/>
        <v>W:\Performance Measurement\1. Freeway\1. raw data\2011\data files\det_122.txt</v>
      </c>
      <c r="J59" s="5" t="str">
        <f t="shared" si="10"/>
        <v>W:\Performance Measurement\1. Freeway\1. raw data\2011\data files\det_122.xlsx</v>
      </c>
      <c r="K59" s="5" t="s">
        <v>82</v>
      </c>
      <c r="L59" s="47">
        <v>55</v>
      </c>
      <c r="M59" s="39" t="s">
        <v>61</v>
      </c>
      <c r="N59" s="10">
        <v>417</v>
      </c>
      <c r="O59" s="10">
        <v>3</v>
      </c>
      <c r="P59" s="10">
        <v>1</v>
      </c>
      <c r="Q59" s="19" t="s">
        <v>44</v>
      </c>
      <c r="R59" s="49" t="s">
        <v>107</v>
      </c>
      <c r="S59" s="55">
        <v>1</v>
      </c>
      <c r="V59" s="17"/>
      <c r="W59" s="17"/>
      <c r="X59" s="17"/>
    </row>
    <row r="60" spans="4:24" x14ac:dyDescent="0.25">
      <c r="D60" s="8">
        <v>56</v>
      </c>
      <c r="E60" s="10">
        <v>118</v>
      </c>
      <c r="F60" s="10">
        <v>3</v>
      </c>
      <c r="G60" s="10">
        <v>0</v>
      </c>
      <c r="H60" s="5" t="str">
        <f t="shared" si="8"/>
        <v>det_118</v>
      </c>
      <c r="I60" s="5" t="str">
        <f t="shared" si="9"/>
        <v>W:\Performance Measurement\1. Freeway\1. raw data\2011\data files\det_118.txt</v>
      </c>
      <c r="J60" s="5" t="str">
        <f t="shared" si="10"/>
        <v>W:\Performance Measurement\1. Freeway\1. raw data\2011\data files\det_118.xlsx</v>
      </c>
      <c r="K60" s="5" t="s">
        <v>82</v>
      </c>
      <c r="L60" s="47">
        <v>56</v>
      </c>
      <c r="M60" s="39" t="s">
        <v>61</v>
      </c>
      <c r="N60" s="10">
        <v>420</v>
      </c>
      <c r="O60" s="10">
        <v>4</v>
      </c>
      <c r="P60" s="10">
        <v>1</v>
      </c>
      <c r="Q60" s="19">
        <v>1</v>
      </c>
      <c r="R60" s="44" t="s">
        <v>108</v>
      </c>
      <c r="S60" s="36">
        <v>1</v>
      </c>
      <c r="T60" s="36"/>
    </row>
    <row r="61" spans="4:24" x14ac:dyDescent="0.25">
      <c r="D61" s="8">
        <v>57</v>
      </c>
      <c r="E61" s="10">
        <v>114</v>
      </c>
      <c r="F61" s="10">
        <v>3</v>
      </c>
      <c r="G61" s="10">
        <v>0</v>
      </c>
      <c r="H61" s="5" t="str">
        <f t="shared" si="8"/>
        <v>det_114</v>
      </c>
      <c r="I61" s="5" t="str">
        <f t="shared" si="9"/>
        <v>W:\Performance Measurement\1. Freeway\1. raw data\2011\data files\det_114.txt</v>
      </c>
      <c r="J61" s="5" t="str">
        <f t="shared" si="10"/>
        <v>W:\Performance Measurement\1. Freeway\1. raw data\2011\data files\det_114.xlsx</v>
      </c>
      <c r="K61" s="5" t="s">
        <v>82</v>
      </c>
      <c r="L61" s="47">
        <v>57</v>
      </c>
      <c r="M61" s="39" t="s">
        <v>61</v>
      </c>
      <c r="N61" s="10">
        <v>423</v>
      </c>
      <c r="O61" s="10">
        <v>3</v>
      </c>
      <c r="P61" s="10">
        <v>1</v>
      </c>
      <c r="Q61" s="19" t="s">
        <v>44</v>
      </c>
      <c r="R61" s="49" t="s">
        <v>109</v>
      </c>
      <c r="S61" s="55">
        <v>1</v>
      </c>
    </row>
    <row r="62" spans="4:24" x14ac:dyDescent="0.25">
      <c r="D62" s="8">
        <v>58</v>
      </c>
      <c r="E62" s="10">
        <v>108</v>
      </c>
      <c r="F62" s="10">
        <v>3</v>
      </c>
      <c r="G62" s="10">
        <v>0</v>
      </c>
      <c r="H62" s="5" t="str">
        <f t="shared" si="8"/>
        <v>det_108</v>
      </c>
      <c r="I62" s="5" t="str">
        <f t="shared" si="9"/>
        <v>W:\Performance Measurement\1. Freeway\1. raw data\2011\data files\det_108.txt</v>
      </c>
      <c r="J62" s="5" t="str">
        <f t="shared" si="10"/>
        <v>W:\Performance Measurement\1. Freeway\1. raw data\2011\data files\det_108.xlsx</v>
      </c>
      <c r="K62" s="5" t="s">
        <v>82</v>
      </c>
      <c r="L62" s="47">
        <v>58</v>
      </c>
      <c r="M62" s="39" t="s">
        <v>62</v>
      </c>
      <c r="N62" s="33">
        <v>39</v>
      </c>
      <c r="O62" s="10">
        <v>3</v>
      </c>
      <c r="P62" s="10">
        <v>0</v>
      </c>
      <c r="Q62" s="19">
        <v>1</v>
      </c>
      <c r="R62" s="44"/>
      <c r="S62" s="36">
        <v>0</v>
      </c>
      <c r="T62" s="36"/>
    </row>
    <row r="63" spans="4:24" x14ac:dyDescent="0.25">
      <c r="D63" s="8">
        <v>59</v>
      </c>
      <c r="E63" s="10">
        <v>103</v>
      </c>
      <c r="F63" s="10">
        <v>3</v>
      </c>
      <c r="G63" s="10">
        <v>0</v>
      </c>
      <c r="H63" s="5" t="str">
        <f t="shared" si="8"/>
        <v>det_103</v>
      </c>
      <c r="I63" s="5" t="str">
        <f t="shared" si="9"/>
        <v>W:\Performance Measurement\1. Freeway\1. raw data\2011\data files\det_103.txt</v>
      </c>
      <c r="J63" s="5" t="str">
        <f t="shared" si="10"/>
        <v>W:\Performance Measurement\1. Freeway\1. raw data\2011\data files\det_103.xlsx</v>
      </c>
      <c r="K63" s="5" t="s">
        <v>82</v>
      </c>
      <c r="L63" s="47">
        <v>59</v>
      </c>
      <c r="M63" s="39" t="s">
        <v>62</v>
      </c>
      <c r="N63" s="10">
        <v>153</v>
      </c>
      <c r="O63" s="10">
        <v>3</v>
      </c>
      <c r="P63" s="10">
        <v>0</v>
      </c>
      <c r="Q63" s="19">
        <v>1</v>
      </c>
      <c r="R63" s="44"/>
      <c r="S63" s="36">
        <v>1</v>
      </c>
      <c r="T63" s="36"/>
    </row>
    <row r="64" spans="4:24" x14ac:dyDescent="0.25">
      <c r="D64" s="8">
        <v>60</v>
      </c>
      <c r="E64" s="10">
        <v>97</v>
      </c>
      <c r="F64" s="10">
        <v>3</v>
      </c>
      <c r="G64" s="10">
        <v>0</v>
      </c>
      <c r="H64" s="5" t="str">
        <f t="shared" si="8"/>
        <v>det_97</v>
      </c>
      <c r="I64" s="5" t="str">
        <f t="shared" si="9"/>
        <v>W:\Performance Measurement\1. Freeway\1. raw data\2011\data files\det_97.txt</v>
      </c>
      <c r="J64" s="5" t="str">
        <f t="shared" si="10"/>
        <v>W:\Performance Measurement\1. Freeway\1. raw data\2011\data files\det_97.xlsx</v>
      </c>
      <c r="K64" s="5" t="s">
        <v>82</v>
      </c>
      <c r="L64" s="47">
        <v>60</v>
      </c>
      <c r="M64" s="39" t="s">
        <v>62</v>
      </c>
      <c r="N64" s="10">
        <v>98</v>
      </c>
      <c r="O64" s="10">
        <v>3</v>
      </c>
      <c r="P64" s="10">
        <v>0</v>
      </c>
      <c r="Q64" s="19">
        <v>1</v>
      </c>
      <c r="R64" s="44"/>
      <c r="S64" s="36">
        <v>1</v>
      </c>
      <c r="T64" s="36"/>
    </row>
    <row r="65" spans="4:20" x14ac:dyDescent="0.25">
      <c r="D65" s="8">
        <v>61</v>
      </c>
      <c r="E65" s="10">
        <v>36</v>
      </c>
      <c r="F65" s="10">
        <v>3</v>
      </c>
      <c r="G65" s="10">
        <v>0</v>
      </c>
      <c r="H65" s="5" t="str">
        <f t="shared" si="8"/>
        <v>det_36</v>
      </c>
      <c r="I65" s="5" t="str">
        <f t="shared" si="9"/>
        <v>W:\Performance Measurement\1. Freeway\1. raw data\2011\data files\det_36.txt</v>
      </c>
      <c r="J65" s="5" t="str">
        <f t="shared" si="10"/>
        <v>W:\Performance Measurement\1. Freeway\1. raw data\2011\data files\det_36.xlsx</v>
      </c>
      <c r="K65" s="5" t="s">
        <v>82</v>
      </c>
      <c r="L65" s="47">
        <v>61</v>
      </c>
      <c r="M65" s="39" t="s">
        <v>62</v>
      </c>
      <c r="N65" s="10">
        <v>104</v>
      </c>
      <c r="O65" s="10">
        <v>3</v>
      </c>
      <c r="P65" s="10">
        <v>0</v>
      </c>
      <c r="Q65" s="19">
        <v>1</v>
      </c>
      <c r="R65" s="58" t="s">
        <v>110</v>
      </c>
      <c r="S65" s="36">
        <v>1</v>
      </c>
      <c r="T65" s="36"/>
    </row>
    <row r="66" spans="4:20" x14ac:dyDescent="0.25">
      <c r="D66" s="8">
        <v>62</v>
      </c>
      <c r="E66" s="10">
        <v>153</v>
      </c>
      <c r="F66" s="10">
        <v>3</v>
      </c>
      <c r="G66" s="10">
        <v>0</v>
      </c>
      <c r="H66" s="5" t="str">
        <f t="shared" si="8"/>
        <v>det_153</v>
      </c>
      <c r="I66" s="5" t="str">
        <f t="shared" si="9"/>
        <v>W:\Performance Measurement\1. Freeway\1. raw data\2011\data files\det_153.txt</v>
      </c>
      <c r="J66" s="5" t="str">
        <f t="shared" si="10"/>
        <v>W:\Performance Measurement\1. Freeway\1. raw data\2011\data files\det_153.xlsx</v>
      </c>
      <c r="K66" s="5" t="s">
        <v>82</v>
      </c>
      <c r="L66" s="47">
        <v>62</v>
      </c>
      <c r="M66" s="39" t="s">
        <v>62</v>
      </c>
      <c r="N66" s="10">
        <v>154</v>
      </c>
      <c r="O66" s="10">
        <v>3</v>
      </c>
      <c r="P66" s="10">
        <v>0</v>
      </c>
      <c r="Q66" s="19">
        <v>1</v>
      </c>
      <c r="R66" s="44"/>
      <c r="S66" s="36">
        <v>0</v>
      </c>
      <c r="T66" s="36"/>
    </row>
    <row r="67" spans="4:20" x14ac:dyDescent="0.25">
      <c r="D67" s="8">
        <v>63</v>
      </c>
      <c r="E67" s="10">
        <v>98</v>
      </c>
      <c r="F67" s="10">
        <v>3</v>
      </c>
      <c r="G67" s="10">
        <v>0</v>
      </c>
      <c r="H67" s="5" t="str">
        <f t="shared" si="8"/>
        <v>det_98</v>
      </c>
      <c r="I67" s="5" t="str">
        <f t="shared" si="9"/>
        <v>W:\Performance Measurement\1. Freeway\1. raw data\2011\data files\det_98.txt</v>
      </c>
      <c r="J67" s="5" t="str">
        <f t="shared" si="10"/>
        <v>W:\Performance Measurement\1. Freeway\1. raw data\2011\data files\det_98.xlsx</v>
      </c>
      <c r="K67" s="5" t="s">
        <v>82</v>
      </c>
      <c r="L67" s="47">
        <v>63</v>
      </c>
      <c r="M67" s="39" t="s">
        <v>62</v>
      </c>
      <c r="N67" s="10">
        <v>155</v>
      </c>
      <c r="O67" s="10">
        <v>3</v>
      </c>
      <c r="P67" s="10">
        <v>0</v>
      </c>
      <c r="Q67" s="19">
        <v>1</v>
      </c>
      <c r="R67" s="44"/>
      <c r="S67" s="36">
        <v>1</v>
      </c>
      <c r="T67" s="36"/>
    </row>
    <row r="68" spans="4:20" x14ac:dyDescent="0.25">
      <c r="D68" s="8">
        <v>64</v>
      </c>
      <c r="E68" s="10">
        <v>104</v>
      </c>
      <c r="F68" s="10">
        <v>3</v>
      </c>
      <c r="G68" s="10">
        <v>0</v>
      </c>
      <c r="H68" s="5" t="str">
        <f t="shared" si="8"/>
        <v>det_104</v>
      </c>
      <c r="I68" s="5" t="str">
        <f t="shared" si="9"/>
        <v>W:\Performance Measurement\1. Freeway\1. raw data\2011\data files\det_104.txt</v>
      </c>
      <c r="J68" s="5" t="str">
        <f t="shared" si="10"/>
        <v>W:\Performance Measurement\1. Freeway\1. raw data\2011\data files\det_104.xlsx</v>
      </c>
      <c r="K68" s="5" t="s">
        <v>82</v>
      </c>
      <c r="L68" s="47">
        <v>64</v>
      </c>
      <c r="M68" s="39" t="s">
        <v>62</v>
      </c>
      <c r="N68" s="10">
        <v>156</v>
      </c>
      <c r="O68" s="10">
        <v>3</v>
      </c>
      <c r="P68" s="10">
        <v>0</v>
      </c>
      <c r="Q68" s="19">
        <v>1</v>
      </c>
      <c r="R68" s="58" t="s">
        <v>110</v>
      </c>
      <c r="S68" s="36">
        <v>1</v>
      </c>
      <c r="T68" s="36"/>
    </row>
    <row r="69" spans="4:20" x14ac:dyDescent="0.25">
      <c r="D69" s="8">
        <v>65</v>
      </c>
      <c r="E69" s="10">
        <v>154</v>
      </c>
      <c r="F69" s="10">
        <v>3</v>
      </c>
      <c r="G69" s="10">
        <v>0</v>
      </c>
      <c r="H69" s="5" t="str">
        <f t="shared" si="8"/>
        <v>det_154</v>
      </c>
      <c r="I69" s="5" t="str">
        <f t="shared" si="9"/>
        <v>W:\Performance Measurement\1. Freeway\1. raw data\2011\data files\det_154.txt</v>
      </c>
      <c r="J69" s="5" t="str">
        <f t="shared" si="10"/>
        <v>W:\Performance Measurement\1. Freeway\1. raw data\2011\data files\det_154.xlsx</v>
      </c>
      <c r="K69" s="5" t="s">
        <v>82</v>
      </c>
      <c r="L69" s="47">
        <v>65</v>
      </c>
      <c r="M69" s="39" t="s">
        <v>62</v>
      </c>
      <c r="N69" s="10">
        <v>121</v>
      </c>
      <c r="O69" s="10">
        <v>3</v>
      </c>
      <c r="P69" s="10">
        <v>0</v>
      </c>
      <c r="Q69" s="19">
        <v>1</v>
      </c>
      <c r="R69" s="44"/>
      <c r="S69" s="36">
        <v>1</v>
      </c>
      <c r="T69" s="36"/>
    </row>
    <row r="70" spans="4:20" x14ac:dyDescent="0.25">
      <c r="D70" s="8">
        <v>66</v>
      </c>
      <c r="E70" s="10">
        <v>155</v>
      </c>
      <c r="F70" s="10">
        <v>3</v>
      </c>
      <c r="G70" s="10">
        <v>0</v>
      </c>
      <c r="H70" s="5" t="str">
        <f t="shared" si="8"/>
        <v>det_155</v>
      </c>
      <c r="I70" s="5" t="str">
        <f t="shared" si="9"/>
        <v>W:\Performance Measurement\1. Freeway\1. raw data\2011\data files\det_155.txt</v>
      </c>
      <c r="J70" s="5" t="str">
        <f t="shared" si="10"/>
        <v>W:\Performance Measurement\1. Freeway\1. raw data\2011\data files\det_155.xlsx</v>
      </c>
      <c r="K70" s="5" t="s">
        <v>82</v>
      </c>
      <c r="L70" s="47">
        <v>66</v>
      </c>
      <c r="M70" s="39" t="s">
        <v>62</v>
      </c>
      <c r="N70" s="10">
        <v>123</v>
      </c>
      <c r="O70" s="10">
        <v>3</v>
      </c>
      <c r="P70" s="10">
        <v>0</v>
      </c>
      <c r="Q70" s="19">
        <v>1</v>
      </c>
      <c r="R70" s="59" t="s">
        <v>111</v>
      </c>
      <c r="S70" s="36">
        <v>1</v>
      </c>
      <c r="T70" s="36"/>
    </row>
    <row r="71" spans="4:20" x14ac:dyDescent="0.25">
      <c r="D71" s="8">
        <v>67</v>
      </c>
      <c r="E71" s="10">
        <v>156</v>
      </c>
      <c r="F71" s="10">
        <v>3</v>
      </c>
      <c r="G71" s="10">
        <v>0</v>
      </c>
      <c r="H71" s="5" t="str">
        <f t="shared" si="8"/>
        <v>det_156</v>
      </c>
      <c r="I71" s="5" t="str">
        <f t="shared" si="9"/>
        <v>W:\Performance Measurement\1. Freeway\1. raw data\2011\data files\det_156.txt</v>
      </c>
      <c r="J71" s="5" t="str">
        <f t="shared" si="10"/>
        <v>W:\Performance Measurement\1. Freeway\1. raw data\2011\data files\det_156.xlsx</v>
      </c>
      <c r="K71" s="5" t="s">
        <v>82</v>
      </c>
      <c r="L71" s="47">
        <v>67</v>
      </c>
      <c r="M71" s="39" t="s">
        <v>62</v>
      </c>
      <c r="N71" s="10">
        <v>122</v>
      </c>
      <c r="O71" s="10">
        <v>3</v>
      </c>
      <c r="P71" s="10">
        <v>0</v>
      </c>
      <c r="Q71" s="19">
        <v>13</v>
      </c>
      <c r="R71" s="60" t="s">
        <v>112</v>
      </c>
      <c r="S71" s="57">
        <v>0</v>
      </c>
    </row>
    <row r="72" spans="4:20" x14ac:dyDescent="0.25">
      <c r="D72" s="8">
        <v>68</v>
      </c>
      <c r="E72" s="10">
        <v>121</v>
      </c>
      <c r="F72" s="10">
        <v>3</v>
      </c>
      <c r="G72" s="10">
        <v>0</v>
      </c>
      <c r="H72" s="5" t="str">
        <f t="shared" si="8"/>
        <v>det_121</v>
      </c>
      <c r="I72" s="5" t="str">
        <f t="shared" si="9"/>
        <v>W:\Performance Measurement\1. Freeway\1. raw data\2011\data files\det_121.txt</v>
      </c>
      <c r="J72" s="5" t="str">
        <f t="shared" si="10"/>
        <v>W:\Performance Measurement\1. Freeway\1. raw data\2011\data files\det_121.xlsx</v>
      </c>
      <c r="K72" s="5" t="s">
        <v>82</v>
      </c>
      <c r="L72" s="47">
        <v>68</v>
      </c>
      <c r="M72" s="39" t="s">
        <v>62</v>
      </c>
      <c r="N72" s="10">
        <v>118</v>
      </c>
      <c r="O72" s="10">
        <v>3</v>
      </c>
      <c r="P72" s="10">
        <v>0</v>
      </c>
      <c r="Q72" s="19">
        <v>1</v>
      </c>
      <c r="R72" s="59" t="s">
        <v>111</v>
      </c>
      <c r="S72" s="36">
        <v>1</v>
      </c>
      <c r="T72" s="36"/>
    </row>
    <row r="73" spans="4:20" x14ac:dyDescent="0.25">
      <c r="D73" s="8">
        <v>69</v>
      </c>
      <c r="E73" s="10">
        <v>123</v>
      </c>
      <c r="F73" s="10">
        <v>3</v>
      </c>
      <c r="G73" s="10">
        <v>0</v>
      </c>
      <c r="H73" s="5" t="str">
        <f t="shared" si="8"/>
        <v>det_123</v>
      </c>
      <c r="I73" s="5" t="str">
        <f t="shared" si="9"/>
        <v>W:\Performance Measurement\1. Freeway\1. raw data\2011\data files\det_123.txt</v>
      </c>
      <c r="J73" s="5" t="str">
        <f t="shared" si="10"/>
        <v>W:\Performance Measurement\1. Freeway\1. raw data\2011\data files\det_123.xlsx</v>
      </c>
      <c r="K73" s="5" t="s">
        <v>82</v>
      </c>
      <c r="L73" s="47">
        <v>69</v>
      </c>
      <c r="M73" s="39" t="s">
        <v>62</v>
      </c>
      <c r="N73" s="10">
        <v>114</v>
      </c>
      <c r="O73" s="10">
        <v>3</v>
      </c>
      <c r="P73" s="10">
        <v>0</v>
      </c>
      <c r="Q73" s="19">
        <v>1</v>
      </c>
      <c r="R73" s="59" t="s">
        <v>86</v>
      </c>
      <c r="S73" s="36">
        <v>1</v>
      </c>
      <c r="T73" s="36"/>
    </row>
    <row r="74" spans="4:20" x14ac:dyDescent="0.25">
      <c r="D74" s="8">
        <v>70</v>
      </c>
      <c r="E74" s="10"/>
      <c r="F74" s="10"/>
      <c r="G74" s="10"/>
      <c r="H74" s="5" t="str">
        <f t="shared" si="8"/>
        <v>det_</v>
      </c>
      <c r="I74" s="5" t="str">
        <f t="shared" si="9"/>
        <v>W:\Performance Measurement\1. Freeway\1. raw data\2011\data files\det_.txt</v>
      </c>
      <c r="J74" s="5" t="str">
        <f t="shared" si="10"/>
        <v>W:\Performance Measurement\1. Freeway\1. raw data\2011\data files\det_.xlsx</v>
      </c>
      <c r="K74" s="5" t="s">
        <v>82</v>
      </c>
      <c r="L74" s="47">
        <v>70</v>
      </c>
      <c r="M74" s="39" t="s">
        <v>62</v>
      </c>
      <c r="N74" s="10">
        <v>108</v>
      </c>
      <c r="O74" s="10">
        <v>3</v>
      </c>
      <c r="P74" s="10">
        <v>0</v>
      </c>
      <c r="Q74" s="19">
        <v>1</v>
      </c>
      <c r="R74" s="59" t="s">
        <v>113</v>
      </c>
      <c r="S74" s="36">
        <v>0</v>
      </c>
      <c r="T74" s="36"/>
    </row>
    <row r="75" spans="4:20" x14ac:dyDescent="0.25">
      <c r="D75" s="8">
        <v>71</v>
      </c>
      <c r="E75" s="10"/>
      <c r="F75" s="10"/>
      <c r="G75" s="10"/>
      <c r="H75" s="5" t="str">
        <f t="shared" si="8"/>
        <v>det_</v>
      </c>
      <c r="I75" s="5" t="str">
        <f t="shared" si="9"/>
        <v>W:\Performance Measurement\1. Freeway\1. raw data\2011\data files\det_.txt</v>
      </c>
      <c r="J75" s="5" t="str">
        <f t="shared" si="10"/>
        <v>W:\Performance Measurement\1. Freeway\1. raw data\2011\data files\det_.xlsx</v>
      </c>
      <c r="K75" s="5" t="s">
        <v>82</v>
      </c>
      <c r="L75" s="47">
        <v>71</v>
      </c>
      <c r="M75" s="39" t="s">
        <v>62</v>
      </c>
      <c r="N75" s="10">
        <v>103</v>
      </c>
      <c r="O75" s="10">
        <v>3</v>
      </c>
      <c r="P75" s="10">
        <v>0</v>
      </c>
      <c r="Q75" s="19">
        <v>1</v>
      </c>
      <c r="R75" s="60" t="s">
        <v>114</v>
      </c>
      <c r="S75" s="36">
        <v>1</v>
      </c>
      <c r="T75" s="36"/>
    </row>
    <row r="76" spans="4:20" x14ac:dyDescent="0.25">
      <c r="D76" s="8">
        <v>72</v>
      </c>
      <c r="E76" s="10"/>
      <c r="F76" s="10"/>
      <c r="G76" s="10"/>
      <c r="H76" s="5" t="str">
        <f t="shared" si="8"/>
        <v>det_</v>
      </c>
      <c r="I76" s="5" t="str">
        <f t="shared" si="9"/>
        <v>W:\Performance Measurement\1. Freeway\1. raw data\2011\data files\det_.txt</v>
      </c>
      <c r="J76" s="5" t="str">
        <f t="shared" si="10"/>
        <v>W:\Performance Measurement\1. Freeway\1. raw data\2011\data files\det_.xlsx</v>
      </c>
      <c r="K76" s="5" t="s">
        <v>82</v>
      </c>
      <c r="L76" s="47">
        <v>72</v>
      </c>
      <c r="M76" s="39" t="s">
        <v>62</v>
      </c>
      <c r="N76" s="10">
        <v>97</v>
      </c>
      <c r="O76" s="10">
        <v>3</v>
      </c>
      <c r="P76" s="10">
        <v>0</v>
      </c>
      <c r="Q76" s="19">
        <v>1</v>
      </c>
      <c r="R76" s="59" t="s">
        <v>115</v>
      </c>
      <c r="S76" s="36">
        <v>1</v>
      </c>
      <c r="T76" s="36"/>
    </row>
    <row r="77" spans="4:20" x14ac:dyDescent="0.25">
      <c r="D77" s="8">
        <v>73</v>
      </c>
      <c r="E77" s="10">
        <v>39</v>
      </c>
      <c r="F77" s="10" t="s">
        <v>42</v>
      </c>
      <c r="G77" s="10" t="s">
        <v>56</v>
      </c>
      <c r="H77" s="5" t="str">
        <f t="shared" si="8"/>
        <v>det_39</v>
      </c>
      <c r="I77" s="5" t="str">
        <f t="shared" si="9"/>
        <v>W:\Performance Measurement\1. Freeway\1. raw data\2011\data files\det_39.txt</v>
      </c>
      <c r="J77" s="5" t="str">
        <f t="shared" si="10"/>
        <v>W:\Performance Measurement\1. Freeway\1. raw data\2011\data files\det_39.xlsx</v>
      </c>
      <c r="K77" s="5" t="s">
        <v>82</v>
      </c>
      <c r="L77" s="47">
        <v>73</v>
      </c>
      <c r="M77" s="39" t="s">
        <v>62</v>
      </c>
      <c r="N77" s="10">
        <v>36</v>
      </c>
      <c r="O77" s="10">
        <v>3</v>
      </c>
      <c r="P77" s="10">
        <v>0</v>
      </c>
      <c r="Q77" s="19">
        <v>1</v>
      </c>
      <c r="R77" s="60" t="s">
        <v>116</v>
      </c>
      <c r="S77" s="36">
        <v>0</v>
      </c>
      <c r="T77" s="36"/>
    </row>
    <row r="78" spans="4:20" x14ac:dyDescent="0.25">
      <c r="D78" s="8">
        <v>74</v>
      </c>
      <c r="E78" s="48">
        <v>78</v>
      </c>
      <c r="F78" s="48">
        <v>4</v>
      </c>
      <c r="G78" s="48">
        <v>14</v>
      </c>
      <c r="H78" s="5" t="str">
        <f t="shared" si="8"/>
        <v>det_78</v>
      </c>
      <c r="I78" s="5" t="str">
        <f t="shared" si="9"/>
        <v>W:\Performance Measurement\1. Freeway\1. raw data\2011\data files\det_78.txt</v>
      </c>
      <c r="J78" s="5" t="str">
        <f t="shared" si="10"/>
        <v>W:\Performance Measurement\1. Freeway\1. raw data\2011\data files\det_78.xlsx</v>
      </c>
      <c r="K78" s="5" t="s">
        <v>82</v>
      </c>
      <c r="L78" s="47">
        <v>74</v>
      </c>
      <c r="M78" s="39" t="s">
        <v>63</v>
      </c>
      <c r="N78" s="10">
        <v>161</v>
      </c>
      <c r="O78" s="10">
        <v>2</v>
      </c>
      <c r="P78" s="10">
        <v>0</v>
      </c>
      <c r="Q78" s="56">
        <v>12</v>
      </c>
      <c r="R78" s="44"/>
      <c r="S78" s="57">
        <v>1</v>
      </c>
      <c r="T78" s="36"/>
    </row>
    <row r="79" spans="4:20" x14ac:dyDescent="0.25">
      <c r="D79" s="8">
        <v>75</v>
      </c>
      <c r="E79" s="10">
        <v>97</v>
      </c>
      <c r="F79" s="10" t="s">
        <v>55</v>
      </c>
      <c r="G79" s="10" t="s">
        <v>56</v>
      </c>
      <c r="H79" s="5" t="str">
        <f t="shared" si="8"/>
        <v>det_97</v>
      </c>
      <c r="I79" s="5" t="str">
        <f t="shared" si="9"/>
        <v>W:\Performance Measurement\1. Freeway\1. raw data\2011\data files\det_97.txt</v>
      </c>
      <c r="J79" s="5" t="str">
        <f t="shared" si="10"/>
        <v>W:\Performance Measurement\1. Freeway\1. raw data\2011\data files\det_97.xlsx</v>
      </c>
      <c r="K79" s="5" t="s">
        <v>82</v>
      </c>
      <c r="L79" s="47">
        <v>75</v>
      </c>
      <c r="M79" s="39" t="s">
        <v>63</v>
      </c>
      <c r="N79" s="10">
        <v>162</v>
      </c>
      <c r="O79" s="10">
        <v>4</v>
      </c>
      <c r="P79" s="10">
        <v>1</v>
      </c>
      <c r="Q79" s="19" t="s">
        <v>43</v>
      </c>
      <c r="R79" s="59" t="s">
        <v>117</v>
      </c>
      <c r="S79" s="55">
        <v>1</v>
      </c>
    </row>
    <row r="80" spans="4:20" x14ac:dyDescent="0.25">
      <c r="D80" s="8">
        <v>76</v>
      </c>
      <c r="E80" s="10">
        <v>98</v>
      </c>
      <c r="F80" s="10" t="s">
        <v>55</v>
      </c>
      <c r="G80" s="10" t="s">
        <v>56</v>
      </c>
      <c r="H80" s="5" t="str">
        <f t="shared" si="8"/>
        <v>det_98</v>
      </c>
      <c r="I80" s="5" t="str">
        <f t="shared" si="9"/>
        <v>W:\Performance Measurement\1. Freeway\1. raw data\2011\data files\det_98.txt</v>
      </c>
      <c r="J80" s="5" t="str">
        <f t="shared" si="10"/>
        <v>W:\Performance Measurement\1. Freeway\1. raw data\2011\data files\det_98.xlsx</v>
      </c>
      <c r="K80" s="5" t="s">
        <v>82</v>
      </c>
      <c r="L80" s="47">
        <v>76</v>
      </c>
      <c r="M80" s="39" t="s">
        <v>63</v>
      </c>
      <c r="N80" s="10">
        <v>337</v>
      </c>
      <c r="O80" s="10">
        <v>3</v>
      </c>
      <c r="P80" s="10">
        <v>1</v>
      </c>
      <c r="Q80" s="19">
        <v>1</v>
      </c>
      <c r="R80" s="59" t="s">
        <v>118</v>
      </c>
      <c r="S80" s="36">
        <v>1</v>
      </c>
      <c r="T80" s="36"/>
    </row>
    <row r="81" spans="4:20" x14ac:dyDescent="0.25">
      <c r="D81" s="8">
        <v>77</v>
      </c>
      <c r="E81" s="10">
        <v>103</v>
      </c>
      <c r="F81" s="10" t="s">
        <v>55</v>
      </c>
      <c r="G81" s="10" t="s">
        <v>56</v>
      </c>
      <c r="H81" s="5" t="str">
        <f t="shared" si="8"/>
        <v>det_103</v>
      </c>
      <c r="I81" s="5" t="str">
        <f t="shared" si="9"/>
        <v>W:\Performance Measurement\1. Freeway\1. raw data\2011\data files\det_103.txt</v>
      </c>
      <c r="J81" s="5" t="str">
        <f t="shared" si="10"/>
        <v>W:\Performance Measurement\1. Freeway\1. raw data\2011\data files\det_103.xlsx</v>
      </c>
      <c r="K81" s="5" t="s">
        <v>82</v>
      </c>
      <c r="L81" s="47">
        <v>77</v>
      </c>
      <c r="M81" s="39" t="s">
        <v>63</v>
      </c>
      <c r="N81" s="10">
        <v>340</v>
      </c>
      <c r="O81" s="10">
        <v>3</v>
      </c>
      <c r="P81" s="10">
        <v>1</v>
      </c>
      <c r="Q81" s="19">
        <v>1</v>
      </c>
      <c r="R81" s="59" t="s">
        <v>119</v>
      </c>
      <c r="S81" s="36">
        <v>1</v>
      </c>
      <c r="T81" s="36"/>
    </row>
    <row r="82" spans="4:20" x14ac:dyDescent="0.25">
      <c r="D82" s="8">
        <v>78</v>
      </c>
      <c r="E82" s="10">
        <v>104</v>
      </c>
      <c r="F82" s="10" t="s">
        <v>55</v>
      </c>
      <c r="G82" s="10"/>
      <c r="H82" s="5" t="str">
        <f t="shared" si="8"/>
        <v>det_104</v>
      </c>
      <c r="I82" s="5" t="str">
        <f t="shared" si="9"/>
        <v>W:\Performance Measurement\1. Freeway\1. raw data\2011\data files\det_104.txt</v>
      </c>
      <c r="J82" s="5" t="str">
        <f t="shared" si="10"/>
        <v>W:\Performance Measurement\1. Freeway\1. raw data\2011\data files\det_104.xlsx</v>
      </c>
      <c r="K82" s="5" t="s">
        <v>82</v>
      </c>
      <c r="L82" s="47">
        <v>78</v>
      </c>
      <c r="M82" s="39" t="s">
        <v>63</v>
      </c>
      <c r="N82" s="10">
        <v>343</v>
      </c>
      <c r="O82" s="10">
        <v>3</v>
      </c>
      <c r="P82" s="10">
        <v>1</v>
      </c>
      <c r="Q82" s="19">
        <v>1</v>
      </c>
      <c r="R82" s="59" t="s">
        <v>86</v>
      </c>
      <c r="S82" s="36">
        <v>1</v>
      </c>
      <c r="T82" s="36"/>
    </row>
    <row r="83" spans="4:20" x14ac:dyDescent="0.25">
      <c r="D83" s="8">
        <v>79</v>
      </c>
      <c r="E83" s="10">
        <v>108</v>
      </c>
      <c r="F83" s="10" t="s">
        <v>55</v>
      </c>
      <c r="G83" s="10" t="s">
        <v>56</v>
      </c>
      <c r="H83" s="5" t="str">
        <f t="shared" si="8"/>
        <v>det_108</v>
      </c>
      <c r="I83" s="5" t="str">
        <f t="shared" si="9"/>
        <v>W:\Performance Measurement\1. Freeway\1. raw data\2011\data files\det_108.txt</v>
      </c>
      <c r="J83" s="5" t="str">
        <f t="shared" si="10"/>
        <v>W:\Performance Measurement\1. Freeway\1. raw data\2011\data files\det_108.xlsx</v>
      </c>
      <c r="K83" s="5" t="s">
        <v>82</v>
      </c>
      <c r="L83" s="47">
        <v>79</v>
      </c>
      <c r="M83" s="39" t="s">
        <v>63</v>
      </c>
      <c r="N83" s="10">
        <v>346</v>
      </c>
      <c r="O83" s="10">
        <v>3</v>
      </c>
      <c r="P83" s="10">
        <v>1</v>
      </c>
      <c r="Q83" s="19">
        <v>1</v>
      </c>
      <c r="R83" s="59" t="s">
        <v>120</v>
      </c>
      <c r="S83" s="36">
        <v>1</v>
      </c>
      <c r="T83" s="36"/>
    </row>
    <row r="84" spans="4:20" x14ac:dyDescent="0.25">
      <c r="D84" s="8">
        <v>80</v>
      </c>
      <c r="E84" s="10">
        <v>114</v>
      </c>
      <c r="F84" s="10" t="s">
        <v>55</v>
      </c>
      <c r="G84" s="10" t="s">
        <v>56</v>
      </c>
      <c r="H84" s="5" t="str">
        <f t="shared" si="8"/>
        <v>det_114</v>
      </c>
      <c r="I84" s="5" t="str">
        <f t="shared" si="9"/>
        <v>W:\Performance Measurement\1. Freeway\1. raw data\2011\data files\det_114.txt</v>
      </c>
      <c r="J84" s="5" t="str">
        <f t="shared" si="10"/>
        <v>W:\Performance Measurement\1. Freeway\1. raw data\2011\data files\det_114.xlsx</v>
      </c>
      <c r="K84" s="5" t="s">
        <v>82</v>
      </c>
      <c r="L84" s="47">
        <v>80</v>
      </c>
      <c r="M84" s="39" t="s">
        <v>63</v>
      </c>
      <c r="N84" s="10">
        <v>349</v>
      </c>
      <c r="O84" s="10">
        <v>3</v>
      </c>
      <c r="P84" s="10">
        <v>1</v>
      </c>
      <c r="Q84" s="19">
        <v>1</v>
      </c>
      <c r="R84" s="59" t="s">
        <v>121</v>
      </c>
      <c r="S84" s="36">
        <v>1</v>
      </c>
      <c r="T84" s="36"/>
    </row>
    <row r="85" spans="4:20" x14ac:dyDescent="0.25">
      <c r="D85" s="8">
        <v>81</v>
      </c>
      <c r="E85" s="10">
        <v>118</v>
      </c>
      <c r="F85" s="10" t="s">
        <v>55</v>
      </c>
      <c r="G85" s="10" t="s">
        <v>56</v>
      </c>
      <c r="H85" s="5" t="str">
        <f t="shared" si="8"/>
        <v>det_118</v>
      </c>
      <c r="I85" s="5" t="str">
        <f t="shared" si="9"/>
        <v>W:\Performance Measurement\1. Freeway\1. raw data\2011\data files\det_118.txt</v>
      </c>
      <c r="J85" s="5" t="str">
        <f t="shared" si="10"/>
        <v>W:\Performance Measurement\1. Freeway\1. raw data\2011\data files\det_118.xlsx</v>
      </c>
      <c r="K85" s="5" t="s">
        <v>82</v>
      </c>
      <c r="L85" s="47">
        <v>81</v>
      </c>
      <c r="M85" s="39" t="s">
        <v>63</v>
      </c>
      <c r="N85" s="10">
        <v>352</v>
      </c>
      <c r="O85" s="10">
        <v>3</v>
      </c>
      <c r="P85" s="10">
        <v>1</v>
      </c>
      <c r="Q85" s="19">
        <v>1</v>
      </c>
      <c r="R85" s="59" t="s">
        <v>120</v>
      </c>
      <c r="S85" s="36">
        <v>1</v>
      </c>
      <c r="T85" s="36"/>
    </row>
    <row r="86" spans="4:20" x14ac:dyDescent="0.25">
      <c r="D86" s="8">
        <v>82</v>
      </c>
      <c r="E86" s="10">
        <v>121</v>
      </c>
      <c r="F86" s="10" t="s">
        <v>55</v>
      </c>
      <c r="G86" s="10" t="s">
        <v>56</v>
      </c>
      <c r="H86" s="5" t="str">
        <f t="shared" si="8"/>
        <v>det_121</v>
      </c>
      <c r="I86" s="5" t="str">
        <f t="shared" si="9"/>
        <v>W:\Performance Measurement\1. Freeway\1. raw data\2011\data files\det_121.txt</v>
      </c>
      <c r="J86" s="5" t="str">
        <f t="shared" si="10"/>
        <v>W:\Performance Measurement\1. Freeway\1. raw data\2011\data files\det_121.xlsx</v>
      </c>
      <c r="K86" s="5" t="s">
        <v>82</v>
      </c>
      <c r="L86" s="47">
        <v>82</v>
      </c>
      <c r="M86" s="39" t="s">
        <v>63</v>
      </c>
      <c r="N86" s="10">
        <v>355</v>
      </c>
      <c r="O86" s="10">
        <v>3</v>
      </c>
      <c r="P86" s="10">
        <v>1</v>
      </c>
      <c r="Q86" s="19">
        <v>1</v>
      </c>
      <c r="R86" s="59" t="s">
        <v>122</v>
      </c>
      <c r="S86" s="36">
        <v>1</v>
      </c>
      <c r="T86" s="36"/>
    </row>
    <row r="87" spans="4:20" x14ac:dyDescent="0.25">
      <c r="D87" s="8">
        <v>83</v>
      </c>
      <c r="E87" s="10">
        <v>122</v>
      </c>
      <c r="F87" s="10" t="s">
        <v>55</v>
      </c>
      <c r="G87" s="10" t="s">
        <v>56</v>
      </c>
      <c r="H87" s="5" t="str">
        <f t="shared" si="8"/>
        <v>det_122</v>
      </c>
      <c r="I87" s="5" t="str">
        <f t="shared" si="9"/>
        <v>W:\Performance Measurement\1. Freeway\1. raw data\2011\data files\det_122.txt</v>
      </c>
      <c r="J87" s="5" t="str">
        <f t="shared" si="10"/>
        <v>W:\Performance Measurement\1. Freeway\1. raw data\2011\data files\det_122.xlsx</v>
      </c>
      <c r="K87" s="5" t="s">
        <v>82</v>
      </c>
      <c r="L87" s="47">
        <v>83</v>
      </c>
      <c r="M87" s="39" t="s">
        <v>63</v>
      </c>
      <c r="N87" s="10">
        <v>357</v>
      </c>
      <c r="O87" s="10">
        <v>3</v>
      </c>
      <c r="P87" s="10">
        <v>1</v>
      </c>
      <c r="Q87" s="19">
        <v>1</v>
      </c>
      <c r="R87" s="59" t="s">
        <v>119</v>
      </c>
      <c r="S87" s="36">
        <v>1</v>
      </c>
      <c r="T87" s="36"/>
    </row>
    <row r="88" spans="4:20" x14ac:dyDescent="0.25">
      <c r="D88" s="8">
        <v>84</v>
      </c>
      <c r="E88" s="10">
        <v>123</v>
      </c>
      <c r="F88" s="10" t="s">
        <v>55</v>
      </c>
      <c r="G88" s="10" t="s">
        <v>56</v>
      </c>
      <c r="H88" s="5" t="str">
        <f t="shared" si="8"/>
        <v>det_123</v>
      </c>
      <c r="I88" s="5" t="str">
        <f t="shared" si="9"/>
        <v>W:\Performance Measurement\1. Freeway\1. raw data\2011\data files\det_123.txt</v>
      </c>
      <c r="J88" s="5" t="str">
        <f t="shared" si="10"/>
        <v>W:\Performance Measurement\1. Freeway\1. raw data\2011\data files\det_123.xlsx</v>
      </c>
      <c r="K88" s="5" t="s">
        <v>82</v>
      </c>
      <c r="L88" s="47">
        <v>84</v>
      </c>
      <c r="M88" s="39" t="s">
        <v>63</v>
      </c>
      <c r="N88" s="10">
        <v>358</v>
      </c>
      <c r="O88" s="10">
        <v>3</v>
      </c>
      <c r="P88" s="10">
        <v>1</v>
      </c>
      <c r="Q88" s="19">
        <v>1</v>
      </c>
      <c r="R88" s="59" t="s">
        <v>87</v>
      </c>
      <c r="S88" s="19">
        <v>1</v>
      </c>
      <c r="T88" s="36"/>
    </row>
    <row r="89" spans="4:20" x14ac:dyDescent="0.25">
      <c r="D89" s="8">
        <v>85</v>
      </c>
      <c r="E89" s="10">
        <v>153</v>
      </c>
      <c r="F89" s="10" t="s">
        <v>55</v>
      </c>
      <c r="G89" s="10"/>
      <c r="H89" s="5" t="str">
        <f t="shared" si="8"/>
        <v>det_153</v>
      </c>
      <c r="I89" s="5" t="str">
        <f t="shared" si="9"/>
        <v>W:\Performance Measurement\1. Freeway\1. raw data\2011\data files\det_153.txt</v>
      </c>
      <c r="J89" s="5" t="str">
        <f t="shared" si="10"/>
        <v>W:\Performance Measurement\1. Freeway\1. raw data\2011\data files\det_153.xlsx</v>
      </c>
      <c r="K89" s="5" t="s">
        <v>82</v>
      </c>
      <c r="L89" s="47">
        <v>85</v>
      </c>
      <c r="M89" s="39" t="s">
        <v>63</v>
      </c>
      <c r="N89" s="10">
        <v>361</v>
      </c>
      <c r="O89" s="10">
        <v>3</v>
      </c>
      <c r="P89" s="10">
        <v>1</v>
      </c>
      <c r="Q89" s="19">
        <v>1</v>
      </c>
      <c r="R89" s="59" t="s">
        <v>123</v>
      </c>
      <c r="S89" s="19">
        <v>1</v>
      </c>
      <c r="T89" s="36"/>
    </row>
    <row r="90" spans="4:20" x14ac:dyDescent="0.25">
      <c r="D90" s="8">
        <v>86</v>
      </c>
      <c r="E90" s="10">
        <v>154</v>
      </c>
      <c r="F90" s="10" t="s">
        <v>55</v>
      </c>
      <c r="G90" s="10" t="s">
        <v>56</v>
      </c>
      <c r="H90" s="5" t="str">
        <f t="shared" si="8"/>
        <v>det_154</v>
      </c>
      <c r="I90" s="5" t="str">
        <f t="shared" si="9"/>
        <v>W:\Performance Measurement\1. Freeway\1. raw data\2011\data files\det_154.txt</v>
      </c>
      <c r="J90" s="5" t="str">
        <f t="shared" si="10"/>
        <v>W:\Performance Measurement\1. Freeway\1. raw data\2011\data files\det_154.xlsx</v>
      </c>
      <c r="K90" s="5" t="s">
        <v>82</v>
      </c>
      <c r="L90" s="47">
        <v>86</v>
      </c>
      <c r="M90" s="39" t="s">
        <v>63</v>
      </c>
      <c r="N90" s="10">
        <v>364</v>
      </c>
      <c r="O90" s="10">
        <v>3</v>
      </c>
      <c r="P90" s="10">
        <v>1</v>
      </c>
      <c r="Q90" s="19">
        <v>1</v>
      </c>
      <c r="R90" s="59" t="s">
        <v>124</v>
      </c>
      <c r="S90" s="56" t="s">
        <v>42</v>
      </c>
      <c r="T90" s="36"/>
    </row>
    <row r="91" spans="4:20" x14ac:dyDescent="0.25">
      <c r="D91" s="8">
        <v>87</v>
      </c>
      <c r="E91" s="10">
        <v>155</v>
      </c>
      <c r="F91" s="10" t="s">
        <v>55</v>
      </c>
      <c r="G91" s="10" t="s">
        <v>56</v>
      </c>
      <c r="H91" s="5" t="str">
        <f t="shared" si="8"/>
        <v>det_155</v>
      </c>
      <c r="I91" s="5" t="str">
        <f t="shared" si="9"/>
        <v>W:\Performance Measurement\1. Freeway\1. raw data\2011\data files\det_155.txt</v>
      </c>
      <c r="J91" s="5" t="str">
        <f t="shared" si="10"/>
        <v>W:\Performance Measurement\1. Freeway\1. raw data\2011\data files\det_155.xlsx</v>
      </c>
      <c r="K91" s="5" t="s">
        <v>82</v>
      </c>
      <c r="L91" s="47">
        <v>87</v>
      </c>
      <c r="M91" s="39" t="s">
        <v>63</v>
      </c>
      <c r="N91" s="10">
        <v>367</v>
      </c>
      <c r="O91" s="10">
        <v>3</v>
      </c>
      <c r="P91" s="10">
        <v>1</v>
      </c>
      <c r="Q91" s="19">
        <v>1</v>
      </c>
      <c r="R91" s="59" t="s">
        <v>125</v>
      </c>
      <c r="S91" s="19">
        <v>1</v>
      </c>
      <c r="T91" s="36"/>
    </row>
    <row r="92" spans="4:20" x14ac:dyDescent="0.25">
      <c r="D92" s="8">
        <v>88</v>
      </c>
      <c r="E92" s="10">
        <v>156</v>
      </c>
      <c r="F92" s="10" t="s">
        <v>55</v>
      </c>
      <c r="G92" s="10" t="s">
        <v>56</v>
      </c>
      <c r="H92" s="5" t="str">
        <f t="shared" si="8"/>
        <v>det_156</v>
      </c>
      <c r="I92" s="5" t="str">
        <f t="shared" si="9"/>
        <v>W:\Performance Measurement\1. Freeway\1. raw data\2011\data files\det_156.txt</v>
      </c>
      <c r="J92" s="5" t="str">
        <f t="shared" si="10"/>
        <v>W:\Performance Measurement\1. Freeway\1. raw data\2011\data files\det_156.xlsx</v>
      </c>
      <c r="K92" s="5" t="s">
        <v>82</v>
      </c>
      <c r="L92" s="47">
        <v>88</v>
      </c>
      <c r="M92" s="39" t="s">
        <v>63</v>
      </c>
      <c r="N92" s="10">
        <v>370</v>
      </c>
      <c r="O92" s="10">
        <v>3</v>
      </c>
      <c r="P92" s="10">
        <v>1</v>
      </c>
      <c r="Q92" s="19">
        <v>1</v>
      </c>
      <c r="R92" s="59" t="s">
        <v>119</v>
      </c>
      <c r="S92" s="19">
        <v>1</v>
      </c>
      <c r="T92" s="36"/>
    </row>
    <row r="93" spans="4:20" x14ac:dyDescent="0.25">
      <c r="D93" s="8">
        <v>89</v>
      </c>
      <c r="E93" s="10">
        <v>161</v>
      </c>
      <c r="F93" s="10" t="s">
        <v>56</v>
      </c>
      <c r="G93" s="10"/>
      <c r="H93" s="5" t="str">
        <f t="shared" si="8"/>
        <v>det_161</v>
      </c>
      <c r="I93" s="5" t="str">
        <f t="shared" si="9"/>
        <v>W:\Performance Measurement\1. Freeway\1. raw data\2011\data files\det_161.txt</v>
      </c>
      <c r="J93" s="5" t="str">
        <f t="shared" si="10"/>
        <v>W:\Performance Measurement\1. Freeway\1. raw data\2011\data files\det_161.xlsx</v>
      </c>
      <c r="K93" s="5" t="s">
        <v>82</v>
      </c>
      <c r="L93" s="47">
        <v>89</v>
      </c>
      <c r="M93" s="39" t="s">
        <v>63</v>
      </c>
      <c r="N93" s="10">
        <v>373</v>
      </c>
      <c r="O93" s="10">
        <v>3</v>
      </c>
      <c r="P93" s="10">
        <v>1</v>
      </c>
      <c r="Q93" s="19">
        <v>1</v>
      </c>
      <c r="R93" s="59" t="s">
        <v>119</v>
      </c>
      <c r="S93" s="19">
        <v>1</v>
      </c>
      <c r="T93" s="36"/>
    </row>
    <row r="94" spans="4:20" x14ac:dyDescent="0.25">
      <c r="D94" s="8">
        <v>90</v>
      </c>
      <c r="E94" s="10">
        <v>163</v>
      </c>
      <c r="F94" s="10" t="s">
        <v>55</v>
      </c>
      <c r="G94" s="10"/>
      <c r="H94" s="5" t="str">
        <f t="shared" si="8"/>
        <v>det_163</v>
      </c>
      <c r="I94" s="5" t="str">
        <f t="shared" si="9"/>
        <v>W:\Performance Measurement\1. Freeway\1. raw data\2011\data files\det_163.txt</v>
      </c>
      <c r="J94" s="5" t="str">
        <f t="shared" si="10"/>
        <v>W:\Performance Measurement\1. Freeway\1. raw data\2011\data files\det_163.xlsx</v>
      </c>
      <c r="K94" s="5" t="s">
        <v>82</v>
      </c>
      <c r="L94" s="47">
        <v>90</v>
      </c>
      <c r="M94" s="39" t="s">
        <v>63</v>
      </c>
      <c r="N94" s="10">
        <v>376</v>
      </c>
      <c r="O94" s="10">
        <v>3</v>
      </c>
      <c r="P94" s="10">
        <v>1</v>
      </c>
      <c r="Q94" s="19">
        <v>1</v>
      </c>
      <c r="R94" s="59" t="s">
        <v>119</v>
      </c>
      <c r="S94" s="19">
        <v>1</v>
      </c>
      <c r="T94" s="36"/>
    </row>
    <row r="95" spans="4:20" x14ac:dyDescent="0.25">
      <c r="D95" s="8">
        <v>91</v>
      </c>
      <c r="E95" s="10">
        <v>167</v>
      </c>
      <c r="F95" s="10" t="s">
        <v>42</v>
      </c>
      <c r="G95" s="10" t="s">
        <v>42</v>
      </c>
      <c r="H95" s="5" t="str">
        <f t="shared" si="8"/>
        <v>det_167</v>
      </c>
      <c r="I95" s="5" t="str">
        <f t="shared" si="9"/>
        <v>W:\Performance Measurement\1. Freeway\1. raw data\2011\data files\det_167.txt</v>
      </c>
      <c r="J95" s="5" t="str">
        <f t="shared" si="10"/>
        <v>W:\Performance Measurement\1. Freeway\1. raw data\2011\data files\det_167.xlsx</v>
      </c>
      <c r="K95" s="5" t="s">
        <v>82</v>
      </c>
      <c r="L95" s="47">
        <v>91</v>
      </c>
      <c r="M95" s="39" t="s">
        <v>63</v>
      </c>
      <c r="N95" s="10">
        <v>128</v>
      </c>
      <c r="O95" s="10">
        <v>4</v>
      </c>
      <c r="P95" s="10">
        <v>1</v>
      </c>
      <c r="Q95" s="19">
        <v>1</v>
      </c>
      <c r="R95" s="59" t="s">
        <v>126</v>
      </c>
      <c r="S95" s="56" t="s">
        <v>42</v>
      </c>
      <c r="T95" s="36"/>
    </row>
    <row r="96" spans="4:20" x14ac:dyDescent="0.25">
      <c r="D96" s="8">
        <v>92</v>
      </c>
      <c r="E96" s="10">
        <v>169</v>
      </c>
      <c r="F96" s="10" t="s">
        <v>42</v>
      </c>
      <c r="G96" s="10" t="s">
        <v>42</v>
      </c>
      <c r="H96" s="5" t="str">
        <f t="shared" si="8"/>
        <v>det_169</v>
      </c>
      <c r="I96" s="5" t="str">
        <f t="shared" si="9"/>
        <v>W:\Performance Measurement\1. Freeway\1. raw data\2011\data files\det_169.txt</v>
      </c>
      <c r="J96" s="5" t="str">
        <f t="shared" si="10"/>
        <v>W:\Performance Measurement\1. Freeway\1. raw data\2011\data files\det_169.xlsx</v>
      </c>
      <c r="K96" s="5" t="s">
        <v>82</v>
      </c>
      <c r="L96" s="47">
        <v>92</v>
      </c>
      <c r="M96" s="39" t="s">
        <v>64</v>
      </c>
      <c r="N96" s="10">
        <v>163</v>
      </c>
      <c r="O96" s="10">
        <v>3</v>
      </c>
      <c r="P96" s="10">
        <v>0</v>
      </c>
      <c r="Q96" s="19">
        <v>13</v>
      </c>
      <c r="R96" s="60" t="s">
        <v>127</v>
      </c>
      <c r="S96" s="56">
        <v>0</v>
      </c>
    </row>
    <row r="97" spans="4:20" x14ac:dyDescent="0.25">
      <c r="D97" s="8">
        <v>93</v>
      </c>
      <c r="E97" s="10">
        <v>171</v>
      </c>
      <c r="F97" s="10" t="s">
        <v>42</v>
      </c>
      <c r="G97" s="10" t="s">
        <v>56</v>
      </c>
      <c r="H97" s="5" t="str">
        <f t="shared" si="8"/>
        <v>det_171</v>
      </c>
      <c r="I97" s="5" t="str">
        <f t="shared" si="9"/>
        <v>W:\Performance Measurement\1. Freeway\1. raw data\2011\data files\det_171.txt</v>
      </c>
      <c r="J97" s="5" t="str">
        <f t="shared" si="10"/>
        <v>W:\Performance Measurement\1. Freeway\1. raw data\2011\data files\det_171.xlsx</v>
      </c>
      <c r="K97" s="5" t="s">
        <v>82</v>
      </c>
      <c r="L97" s="47">
        <v>93</v>
      </c>
      <c r="M97" s="39" t="s">
        <v>64</v>
      </c>
      <c r="N97" s="10">
        <v>203</v>
      </c>
      <c r="O97" s="10">
        <v>4</v>
      </c>
      <c r="P97" s="10">
        <v>1</v>
      </c>
      <c r="Q97" s="19">
        <v>1</v>
      </c>
      <c r="R97" s="61" t="s">
        <v>117</v>
      </c>
      <c r="S97" s="19">
        <v>1</v>
      </c>
      <c r="T97" s="36"/>
    </row>
    <row r="98" spans="4:20" x14ac:dyDescent="0.25">
      <c r="D98" s="8">
        <v>94</v>
      </c>
      <c r="E98" s="10">
        <v>176</v>
      </c>
      <c r="F98" s="10" t="s">
        <v>42</v>
      </c>
      <c r="G98" s="10" t="s">
        <v>56</v>
      </c>
      <c r="H98" s="5" t="str">
        <f t="shared" si="8"/>
        <v>det_176</v>
      </c>
      <c r="I98" s="5" t="str">
        <f t="shared" si="9"/>
        <v>W:\Performance Measurement\1. Freeway\1. raw data\2011\data files\det_176.txt</v>
      </c>
      <c r="J98" s="5" t="str">
        <f t="shared" si="10"/>
        <v>W:\Performance Measurement\1. Freeway\1. raw data\2011\data files\det_176.xlsx</v>
      </c>
      <c r="K98" s="5" t="s">
        <v>82</v>
      </c>
      <c r="L98" s="47">
        <v>94</v>
      </c>
      <c r="M98" s="39" t="s">
        <v>64</v>
      </c>
      <c r="N98" s="10">
        <v>206</v>
      </c>
      <c r="O98" s="10">
        <v>3</v>
      </c>
      <c r="P98" s="10">
        <v>1</v>
      </c>
      <c r="Q98" s="19">
        <v>1</v>
      </c>
      <c r="R98" s="61" t="s">
        <v>128</v>
      </c>
      <c r="S98" s="19">
        <v>1</v>
      </c>
      <c r="T98" s="36"/>
    </row>
    <row r="99" spans="4:20" x14ac:dyDescent="0.25">
      <c r="D99" s="8">
        <v>95</v>
      </c>
      <c r="E99" s="10">
        <v>178</v>
      </c>
      <c r="F99" s="10" t="s">
        <v>42</v>
      </c>
      <c r="G99" s="10" t="s">
        <v>56</v>
      </c>
      <c r="H99" s="5" t="str">
        <f t="shared" si="8"/>
        <v>det_178</v>
      </c>
      <c r="I99" s="5" t="str">
        <f t="shared" si="9"/>
        <v>W:\Performance Measurement\1. Freeway\1. raw data\2011\data files\det_178.txt</v>
      </c>
      <c r="J99" s="5" t="str">
        <f t="shared" si="10"/>
        <v>W:\Performance Measurement\1. Freeway\1. raw data\2011\data files\det_178.xlsx</v>
      </c>
      <c r="K99" s="5" t="s">
        <v>82</v>
      </c>
      <c r="L99" s="47">
        <v>95</v>
      </c>
      <c r="M99" s="39" t="s">
        <v>64</v>
      </c>
      <c r="N99" s="10">
        <v>209</v>
      </c>
      <c r="O99" s="10">
        <v>3</v>
      </c>
      <c r="P99" s="10">
        <v>1</v>
      </c>
      <c r="Q99" s="19">
        <v>1</v>
      </c>
      <c r="R99" s="59" t="s">
        <v>129</v>
      </c>
      <c r="S99" s="19">
        <v>1</v>
      </c>
      <c r="T99" s="36"/>
    </row>
    <row r="100" spans="4:20" x14ac:dyDescent="0.25">
      <c r="D100" s="8">
        <v>96</v>
      </c>
      <c r="E100" s="10">
        <v>179</v>
      </c>
      <c r="F100" s="10" t="s">
        <v>42</v>
      </c>
      <c r="G100" s="10" t="s">
        <v>56</v>
      </c>
      <c r="H100" s="5" t="str">
        <f t="shared" si="8"/>
        <v>det_179</v>
      </c>
      <c r="I100" s="5" t="str">
        <f t="shared" si="9"/>
        <v>W:\Performance Measurement\1. Freeway\1. raw data\2011\data files\det_179.txt</v>
      </c>
      <c r="J100" s="5" t="str">
        <f t="shared" si="10"/>
        <v>W:\Performance Measurement\1. Freeway\1. raw data\2011\data files\det_179.xlsx</v>
      </c>
      <c r="K100" s="5" t="s">
        <v>82</v>
      </c>
      <c r="L100" s="47">
        <v>96</v>
      </c>
      <c r="M100" s="39" t="s">
        <v>64</v>
      </c>
      <c r="N100" s="10">
        <v>212</v>
      </c>
      <c r="O100" s="10">
        <v>4</v>
      </c>
      <c r="P100" s="10">
        <v>1</v>
      </c>
      <c r="Q100" s="19">
        <v>1</v>
      </c>
      <c r="R100" s="59" t="s">
        <v>130</v>
      </c>
      <c r="S100" s="56">
        <v>0</v>
      </c>
      <c r="T100" s="36"/>
    </row>
    <row r="101" spans="4:20" x14ac:dyDescent="0.25">
      <c r="D101" s="8">
        <v>97</v>
      </c>
      <c r="E101" s="10">
        <v>182</v>
      </c>
      <c r="F101" s="10" t="s">
        <v>42</v>
      </c>
      <c r="G101" s="10" t="s">
        <v>56</v>
      </c>
      <c r="H101" s="5" t="str">
        <f t="shared" si="8"/>
        <v>det_182</v>
      </c>
      <c r="I101" s="5" t="str">
        <f t="shared" si="9"/>
        <v>W:\Performance Measurement\1. Freeway\1. raw data\2011\data files\det_182.txt</v>
      </c>
      <c r="J101" s="5" t="str">
        <f t="shared" si="10"/>
        <v>W:\Performance Measurement\1. Freeway\1. raw data\2011\data files\det_182.xlsx</v>
      </c>
      <c r="K101" s="5" t="s">
        <v>82</v>
      </c>
      <c r="L101" s="47">
        <v>97</v>
      </c>
      <c r="M101" s="39" t="s">
        <v>64</v>
      </c>
      <c r="N101" s="10">
        <v>214</v>
      </c>
      <c r="O101" s="10">
        <v>3</v>
      </c>
      <c r="P101" s="10">
        <v>1</v>
      </c>
      <c r="Q101" s="19">
        <v>1</v>
      </c>
      <c r="R101" s="59" t="s">
        <v>117</v>
      </c>
      <c r="S101" s="19">
        <v>1</v>
      </c>
      <c r="T101" s="36"/>
    </row>
    <row r="102" spans="4:20" x14ac:dyDescent="0.25">
      <c r="D102" s="8">
        <v>98</v>
      </c>
      <c r="E102" s="10">
        <v>184</v>
      </c>
      <c r="F102" s="10" t="s">
        <v>42</v>
      </c>
      <c r="G102" s="10" t="s">
        <v>56</v>
      </c>
      <c r="H102" s="5" t="str">
        <f t="shared" ref="H102:H165" si="11">"det_"&amp;E102&amp;""</f>
        <v>det_184</v>
      </c>
      <c r="I102" s="5" t="str">
        <f t="shared" ref="I102:I165" si="12">$B$5&amp;"\"&amp;H102&amp;".txt"</f>
        <v>W:\Performance Measurement\1. Freeway\1. raw data\2011\data files\det_184.txt</v>
      </c>
      <c r="J102" s="5" t="str">
        <f t="shared" ref="J102:J165" si="13">$B$5&amp;"\"&amp;H102&amp;".xlsx"</f>
        <v>W:\Performance Measurement\1. Freeway\1. raw data\2011\data files\det_184.xlsx</v>
      </c>
      <c r="K102" s="5" t="s">
        <v>82</v>
      </c>
      <c r="L102" s="47">
        <v>98</v>
      </c>
      <c r="M102" s="39" t="s">
        <v>64</v>
      </c>
      <c r="N102" s="10">
        <v>201</v>
      </c>
      <c r="O102" s="10">
        <v>3</v>
      </c>
      <c r="P102" s="10">
        <v>1</v>
      </c>
      <c r="Q102" s="19">
        <v>1</v>
      </c>
      <c r="R102" s="60"/>
      <c r="S102" s="36">
        <v>1</v>
      </c>
      <c r="T102" s="36"/>
    </row>
    <row r="103" spans="4:20" x14ac:dyDescent="0.25">
      <c r="D103" s="8">
        <v>99</v>
      </c>
      <c r="E103" s="10">
        <v>187</v>
      </c>
      <c r="F103" s="10" t="s">
        <v>42</v>
      </c>
      <c r="G103" s="10" t="s">
        <v>56</v>
      </c>
      <c r="H103" s="5" t="str">
        <f t="shared" si="11"/>
        <v>det_187</v>
      </c>
      <c r="I103" s="5" t="str">
        <f t="shared" si="12"/>
        <v>W:\Performance Measurement\1. Freeway\1. raw data\2011\data files\det_187.txt</v>
      </c>
      <c r="J103" s="5" t="str">
        <f t="shared" si="13"/>
        <v>W:\Performance Measurement\1. Freeway\1. raw data\2011\data files\det_187.xlsx</v>
      </c>
      <c r="K103" s="5" t="s">
        <v>82</v>
      </c>
      <c r="L103" s="47">
        <v>99</v>
      </c>
      <c r="M103" s="39" t="s">
        <v>64</v>
      </c>
      <c r="N103" s="10">
        <v>198</v>
      </c>
      <c r="O103" s="10">
        <v>3</v>
      </c>
      <c r="P103" s="10">
        <v>1</v>
      </c>
      <c r="Q103" s="19">
        <v>1</v>
      </c>
      <c r="R103" s="60"/>
      <c r="S103" s="36">
        <v>1</v>
      </c>
      <c r="T103" s="36"/>
    </row>
    <row r="104" spans="4:20" x14ac:dyDescent="0.25">
      <c r="D104" s="8">
        <v>100</v>
      </c>
      <c r="E104" s="10">
        <v>229</v>
      </c>
      <c r="F104" s="10" t="s">
        <v>55</v>
      </c>
      <c r="G104" s="10"/>
      <c r="H104" s="5" t="str">
        <f t="shared" si="11"/>
        <v>det_229</v>
      </c>
      <c r="I104" s="5" t="str">
        <f t="shared" si="12"/>
        <v>W:\Performance Measurement\1. Freeway\1. raw data\2011\data files\det_229.txt</v>
      </c>
      <c r="J104" s="5" t="str">
        <f t="shared" si="13"/>
        <v>W:\Performance Measurement\1. Freeway\1. raw data\2011\data files\det_229.xlsx</v>
      </c>
      <c r="K104" s="5" t="s">
        <v>82</v>
      </c>
      <c r="L104" s="47">
        <v>100</v>
      </c>
      <c r="M104" s="39" t="s">
        <v>64</v>
      </c>
      <c r="N104" s="10">
        <v>195</v>
      </c>
      <c r="O104" s="10">
        <v>3</v>
      </c>
      <c r="P104" s="10">
        <v>1</v>
      </c>
      <c r="Q104" s="19">
        <v>1</v>
      </c>
      <c r="R104" s="60"/>
      <c r="S104" s="36">
        <v>1</v>
      </c>
      <c r="T104" s="36"/>
    </row>
    <row r="105" spans="4:20" x14ac:dyDescent="0.25">
      <c r="D105" s="8">
        <v>101</v>
      </c>
      <c r="E105" s="10">
        <v>230</v>
      </c>
      <c r="F105" s="10" t="s">
        <v>55</v>
      </c>
      <c r="G105" s="10"/>
      <c r="H105" s="5" t="str">
        <f t="shared" si="11"/>
        <v>det_230</v>
      </c>
      <c r="I105" s="5" t="str">
        <f t="shared" si="12"/>
        <v>W:\Performance Measurement\1. Freeway\1. raw data\2011\data files\det_230.txt</v>
      </c>
      <c r="J105" s="5" t="str">
        <f t="shared" si="13"/>
        <v>W:\Performance Measurement\1. Freeway\1. raw data\2011\data files\det_230.xlsx</v>
      </c>
      <c r="K105" s="5" t="s">
        <v>82</v>
      </c>
      <c r="L105" s="47">
        <v>101</v>
      </c>
      <c r="M105" s="39" t="s">
        <v>64</v>
      </c>
      <c r="N105" s="10">
        <v>193</v>
      </c>
      <c r="O105" s="10">
        <v>3</v>
      </c>
      <c r="P105" s="10">
        <v>1</v>
      </c>
      <c r="Q105" s="19">
        <v>1</v>
      </c>
      <c r="R105" s="60" t="s">
        <v>87</v>
      </c>
      <c r="S105" s="36">
        <v>0</v>
      </c>
      <c r="T105" s="36"/>
    </row>
    <row r="106" spans="4:20" x14ac:dyDescent="0.25">
      <c r="D106" s="8">
        <v>102</v>
      </c>
      <c r="E106" s="10">
        <v>233</v>
      </c>
      <c r="F106" s="10" t="s">
        <v>55</v>
      </c>
      <c r="G106" s="10"/>
      <c r="H106" s="5" t="str">
        <f t="shared" si="11"/>
        <v>det_233</v>
      </c>
      <c r="I106" s="5" t="str">
        <f t="shared" si="12"/>
        <v>W:\Performance Measurement\1. Freeway\1. raw data\2011\data files\det_233.txt</v>
      </c>
      <c r="J106" s="5" t="str">
        <f t="shared" si="13"/>
        <v>W:\Performance Measurement\1. Freeway\1. raw data\2011\data files\det_233.xlsx</v>
      </c>
      <c r="K106" s="5" t="s">
        <v>82</v>
      </c>
      <c r="L106" s="47">
        <v>102</v>
      </c>
      <c r="M106" s="39" t="s">
        <v>64</v>
      </c>
      <c r="N106" s="10">
        <v>190</v>
      </c>
      <c r="O106" s="10">
        <v>3</v>
      </c>
      <c r="P106" s="10">
        <v>1</v>
      </c>
      <c r="Q106" s="19">
        <v>1</v>
      </c>
      <c r="R106" s="60"/>
      <c r="S106" s="36">
        <v>1</v>
      </c>
      <c r="T106" s="36"/>
    </row>
    <row r="107" spans="4:20" x14ac:dyDescent="0.25">
      <c r="D107" s="8">
        <v>103</v>
      </c>
      <c r="E107" s="10">
        <v>237</v>
      </c>
      <c r="F107" s="10" t="s">
        <v>55</v>
      </c>
      <c r="G107" s="10"/>
      <c r="H107" s="5" t="str">
        <f t="shared" si="11"/>
        <v>det_237</v>
      </c>
      <c r="I107" s="5" t="str">
        <f t="shared" si="12"/>
        <v>W:\Performance Measurement\1. Freeway\1. raw data\2011\data files\det_237.txt</v>
      </c>
      <c r="J107" s="5" t="str">
        <f t="shared" si="13"/>
        <v>W:\Performance Measurement\1. Freeway\1. raw data\2011\data files\det_237.xlsx</v>
      </c>
      <c r="K107" s="5" t="s">
        <v>82</v>
      </c>
      <c r="L107" s="47">
        <v>103</v>
      </c>
      <c r="M107" s="39" t="s">
        <v>64</v>
      </c>
      <c r="N107" s="10">
        <v>130</v>
      </c>
      <c r="O107" s="10">
        <v>2</v>
      </c>
      <c r="P107" s="10">
        <v>1</v>
      </c>
      <c r="Q107" s="19">
        <v>1</v>
      </c>
      <c r="R107" s="60"/>
      <c r="S107" s="36">
        <v>1</v>
      </c>
      <c r="T107" s="36"/>
    </row>
    <row r="108" spans="4:20" x14ac:dyDescent="0.25">
      <c r="D108" s="8">
        <v>104</v>
      </c>
      <c r="E108" s="10">
        <v>241</v>
      </c>
      <c r="F108" s="10" t="s">
        <v>55</v>
      </c>
      <c r="G108" s="10"/>
      <c r="H108" s="5" t="str">
        <f t="shared" si="11"/>
        <v>det_241</v>
      </c>
      <c r="I108" s="5" t="str">
        <f t="shared" si="12"/>
        <v>W:\Performance Measurement\1. Freeway\1. raw data\2011\data files\det_241.txt</v>
      </c>
      <c r="J108" s="5" t="str">
        <f t="shared" si="13"/>
        <v>W:\Performance Measurement\1. Freeway\1. raw data\2011\data files\det_241.xlsx</v>
      </c>
      <c r="K108" s="5" t="s">
        <v>82</v>
      </c>
      <c r="L108" s="47">
        <v>104</v>
      </c>
      <c r="M108" s="39" t="s">
        <v>65</v>
      </c>
      <c r="N108" s="10">
        <v>313</v>
      </c>
      <c r="O108" s="10">
        <v>3</v>
      </c>
      <c r="P108" s="10">
        <v>1</v>
      </c>
      <c r="Q108" s="19">
        <v>1</v>
      </c>
      <c r="R108" s="58" t="s">
        <v>117</v>
      </c>
      <c r="S108" s="19">
        <v>1</v>
      </c>
      <c r="T108" s="36"/>
    </row>
    <row r="109" spans="4:20" x14ac:dyDescent="0.25">
      <c r="D109" s="8">
        <v>105</v>
      </c>
      <c r="E109" s="10">
        <v>245</v>
      </c>
      <c r="F109" s="10" t="s">
        <v>55</v>
      </c>
      <c r="G109" s="10"/>
      <c r="H109" s="5" t="str">
        <f t="shared" si="11"/>
        <v>det_245</v>
      </c>
      <c r="I109" s="5" t="str">
        <f t="shared" si="12"/>
        <v>W:\Performance Measurement\1. Freeway\1. raw data\2011\data files\det_245.txt</v>
      </c>
      <c r="J109" s="5" t="str">
        <f t="shared" si="13"/>
        <v>W:\Performance Measurement\1. Freeway\1. raw data\2011\data files\det_245.xlsx</v>
      </c>
      <c r="K109" s="5" t="s">
        <v>82</v>
      </c>
      <c r="L109" s="47">
        <v>105</v>
      </c>
      <c r="M109" s="39" t="s">
        <v>65</v>
      </c>
      <c r="N109" s="10">
        <v>316</v>
      </c>
      <c r="O109" s="10">
        <v>4</v>
      </c>
      <c r="P109" s="10">
        <v>1</v>
      </c>
      <c r="Q109" s="19">
        <v>1</v>
      </c>
      <c r="R109" s="58" t="s">
        <v>131</v>
      </c>
      <c r="S109" s="56">
        <v>1</v>
      </c>
      <c r="T109" s="36"/>
    </row>
    <row r="110" spans="4:20" x14ac:dyDescent="0.25">
      <c r="D110" s="8">
        <v>106</v>
      </c>
      <c r="E110" s="10">
        <v>248</v>
      </c>
      <c r="F110" s="10" t="s">
        <v>55</v>
      </c>
      <c r="G110" s="10"/>
      <c r="H110" s="5" t="str">
        <f t="shared" si="11"/>
        <v>det_248</v>
      </c>
      <c r="I110" s="5" t="str">
        <f t="shared" si="12"/>
        <v>W:\Performance Measurement\1. Freeway\1. raw data\2011\data files\det_248.txt</v>
      </c>
      <c r="J110" s="5" t="str">
        <f t="shared" si="13"/>
        <v>W:\Performance Measurement\1. Freeway\1. raw data\2011\data files\det_248.xlsx</v>
      </c>
      <c r="K110" s="5" t="s">
        <v>82</v>
      </c>
      <c r="L110" s="47">
        <v>106</v>
      </c>
      <c r="M110" s="39" t="s">
        <v>65</v>
      </c>
      <c r="N110" s="10">
        <v>318</v>
      </c>
      <c r="O110" s="10">
        <v>4</v>
      </c>
      <c r="P110" s="10">
        <v>1</v>
      </c>
      <c r="Q110" s="19">
        <v>1</v>
      </c>
      <c r="R110" s="58" t="s">
        <v>132</v>
      </c>
      <c r="S110" s="56">
        <v>1</v>
      </c>
      <c r="T110" s="36"/>
    </row>
    <row r="111" spans="4:20" x14ac:dyDescent="0.25">
      <c r="D111" s="8">
        <v>107</v>
      </c>
      <c r="E111" s="10">
        <v>252</v>
      </c>
      <c r="F111" s="10" t="s">
        <v>55</v>
      </c>
      <c r="G111" s="10"/>
      <c r="H111" s="5" t="str">
        <f t="shared" si="11"/>
        <v>det_252</v>
      </c>
      <c r="I111" s="5" t="str">
        <f t="shared" si="12"/>
        <v>W:\Performance Measurement\1. Freeway\1. raw data\2011\data files\det_252.txt</v>
      </c>
      <c r="J111" s="5" t="str">
        <f t="shared" si="13"/>
        <v>W:\Performance Measurement\1. Freeway\1. raw data\2011\data files\det_252.xlsx</v>
      </c>
      <c r="K111" s="5" t="s">
        <v>82</v>
      </c>
      <c r="L111" s="47">
        <v>107</v>
      </c>
      <c r="M111" s="39" t="s">
        <v>65</v>
      </c>
      <c r="N111" s="10">
        <v>321</v>
      </c>
      <c r="O111" s="10">
        <v>5</v>
      </c>
      <c r="P111" s="10">
        <v>1</v>
      </c>
      <c r="Q111" s="19">
        <v>1</v>
      </c>
      <c r="R111" s="58" t="s">
        <v>133</v>
      </c>
      <c r="S111" s="56">
        <v>1</v>
      </c>
      <c r="T111" s="36"/>
    </row>
    <row r="112" spans="4:20" x14ac:dyDescent="0.25">
      <c r="D112" s="8">
        <v>108</v>
      </c>
      <c r="E112" s="10">
        <v>255</v>
      </c>
      <c r="F112" s="10" t="s">
        <v>55</v>
      </c>
      <c r="G112" s="10"/>
      <c r="H112" s="5" t="str">
        <f t="shared" si="11"/>
        <v>det_255</v>
      </c>
      <c r="I112" s="5" t="str">
        <f t="shared" si="12"/>
        <v>W:\Performance Measurement\1. Freeway\1. raw data\2011\data files\det_255.txt</v>
      </c>
      <c r="J112" s="5" t="str">
        <f t="shared" si="13"/>
        <v>W:\Performance Measurement\1. Freeway\1. raw data\2011\data files\det_255.xlsx</v>
      </c>
      <c r="K112" s="5" t="s">
        <v>82</v>
      </c>
      <c r="L112" s="47">
        <v>108</v>
      </c>
      <c r="M112" s="39" t="s">
        <v>65</v>
      </c>
      <c r="N112" s="10">
        <v>323</v>
      </c>
      <c r="O112" s="10">
        <v>4</v>
      </c>
      <c r="P112" s="10">
        <v>1</v>
      </c>
      <c r="Q112" s="19" t="s">
        <v>43</v>
      </c>
      <c r="R112" s="58" t="s">
        <v>119</v>
      </c>
      <c r="S112" s="19">
        <v>1</v>
      </c>
    </row>
    <row r="113" spans="4:20" x14ac:dyDescent="0.25">
      <c r="D113" s="8">
        <v>109</v>
      </c>
      <c r="E113" s="10">
        <v>271</v>
      </c>
      <c r="F113" s="10" t="s">
        <v>55</v>
      </c>
      <c r="G113" s="10"/>
      <c r="H113" s="5" t="str">
        <f t="shared" si="11"/>
        <v>det_271</v>
      </c>
      <c r="I113" s="5" t="str">
        <f t="shared" si="12"/>
        <v>W:\Performance Measurement\1. Freeway\1. raw data\2011\data files\det_271.txt</v>
      </c>
      <c r="J113" s="5" t="str">
        <f t="shared" si="13"/>
        <v>W:\Performance Measurement\1. Freeway\1. raw data\2011\data files\det_271.xlsx</v>
      </c>
      <c r="K113" s="5" t="s">
        <v>82</v>
      </c>
      <c r="L113" s="47">
        <v>109</v>
      </c>
      <c r="M113" s="39" t="s">
        <v>65</v>
      </c>
      <c r="N113" s="10">
        <v>325</v>
      </c>
      <c r="O113" s="10">
        <v>3</v>
      </c>
      <c r="P113" s="10">
        <v>1</v>
      </c>
      <c r="Q113" s="19">
        <v>1</v>
      </c>
      <c r="R113" s="58" t="s">
        <v>134</v>
      </c>
      <c r="S113" s="19">
        <v>1</v>
      </c>
      <c r="T113" s="36"/>
    </row>
    <row r="114" spans="4:20" x14ac:dyDescent="0.25">
      <c r="D114" s="8">
        <v>110</v>
      </c>
      <c r="E114" s="10">
        <v>272</v>
      </c>
      <c r="F114" s="10" t="s">
        <v>55</v>
      </c>
      <c r="G114" s="10"/>
      <c r="H114" s="5" t="str">
        <f t="shared" si="11"/>
        <v>det_272</v>
      </c>
      <c r="I114" s="5" t="str">
        <f t="shared" si="12"/>
        <v>W:\Performance Measurement\1. Freeway\1. raw data\2011\data files\det_272.txt</v>
      </c>
      <c r="J114" s="5" t="str">
        <f t="shared" si="13"/>
        <v>W:\Performance Measurement\1. Freeway\1. raw data\2011\data files\det_272.xlsx</v>
      </c>
      <c r="K114" s="5" t="s">
        <v>82</v>
      </c>
      <c r="L114" s="47">
        <v>110</v>
      </c>
      <c r="M114" s="39" t="s">
        <v>65</v>
      </c>
      <c r="N114" s="10">
        <v>328</v>
      </c>
      <c r="O114" s="10">
        <v>3</v>
      </c>
      <c r="P114" s="10">
        <v>1</v>
      </c>
      <c r="Q114" s="19">
        <v>1</v>
      </c>
      <c r="R114" s="58" t="s">
        <v>135</v>
      </c>
      <c r="S114" s="19">
        <v>1</v>
      </c>
      <c r="T114" s="36"/>
    </row>
    <row r="115" spans="4:20" x14ac:dyDescent="0.25">
      <c r="D115" s="8">
        <v>111</v>
      </c>
      <c r="E115" s="10">
        <v>275</v>
      </c>
      <c r="F115" s="10" t="s">
        <v>55</v>
      </c>
      <c r="G115" s="10"/>
      <c r="H115" s="5" t="str">
        <f t="shared" si="11"/>
        <v>det_275</v>
      </c>
      <c r="I115" s="5" t="str">
        <f t="shared" si="12"/>
        <v>W:\Performance Measurement\1. Freeway\1. raw data\2011\data files\det_275.txt</v>
      </c>
      <c r="J115" s="5" t="str">
        <f t="shared" si="13"/>
        <v>W:\Performance Measurement\1. Freeway\1. raw data\2011\data files\det_275.xlsx</v>
      </c>
      <c r="K115" s="5" t="s">
        <v>82</v>
      </c>
      <c r="L115" s="47">
        <v>111</v>
      </c>
      <c r="M115" s="39" t="s">
        <v>65</v>
      </c>
      <c r="N115" s="10">
        <v>331</v>
      </c>
      <c r="O115" s="10">
        <v>3</v>
      </c>
      <c r="P115" s="10">
        <v>1</v>
      </c>
      <c r="Q115" s="19">
        <v>1</v>
      </c>
      <c r="R115" s="58" t="s">
        <v>136</v>
      </c>
      <c r="S115" s="19">
        <v>1</v>
      </c>
      <c r="T115" s="36"/>
    </row>
    <row r="116" spans="4:20" x14ac:dyDescent="0.25">
      <c r="D116" s="8">
        <v>112</v>
      </c>
      <c r="E116" s="10">
        <v>312</v>
      </c>
      <c r="F116" s="10" t="s">
        <v>42</v>
      </c>
      <c r="G116" s="10" t="s">
        <v>56</v>
      </c>
      <c r="H116" s="5" t="str">
        <f t="shared" si="11"/>
        <v>det_312</v>
      </c>
      <c r="I116" s="5" t="str">
        <f t="shared" si="12"/>
        <v>W:\Performance Measurement\1. Freeway\1. raw data\2011\data files\det_312.txt</v>
      </c>
      <c r="J116" s="5" t="str">
        <f t="shared" si="13"/>
        <v>W:\Performance Measurement\1. Freeway\1. raw data\2011\data files\det_312.xlsx</v>
      </c>
      <c r="K116" s="5" t="s">
        <v>82</v>
      </c>
      <c r="L116" s="47">
        <v>112</v>
      </c>
      <c r="M116" s="39" t="s">
        <v>65</v>
      </c>
      <c r="N116" s="10">
        <v>334</v>
      </c>
      <c r="O116" s="10">
        <v>3</v>
      </c>
      <c r="P116" s="10">
        <v>1</v>
      </c>
      <c r="Q116" s="19">
        <v>1</v>
      </c>
      <c r="R116" s="58" t="s">
        <v>134</v>
      </c>
      <c r="S116" s="19">
        <v>1</v>
      </c>
      <c r="T116" s="36"/>
    </row>
    <row r="117" spans="4:20" x14ac:dyDescent="0.25">
      <c r="D117" s="8">
        <v>113</v>
      </c>
      <c r="E117" s="10">
        <v>410</v>
      </c>
      <c r="F117" s="10" t="s">
        <v>55</v>
      </c>
      <c r="G117" s="10"/>
      <c r="H117" s="5" t="str">
        <f t="shared" si="11"/>
        <v>det_410</v>
      </c>
      <c r="I117" s="5" t="str">
        <f t="shared" si="12"/>
        <v>W:\Performance Measurement\1. Freeway\1. raw data\2011\data files\det_410.txt</v>
      </c>
      <c r="J117" s="5" t="str">
        <f t="shared" si="13"/>
        <v>W:\Performance Measurement\1. Freeway\1. raw data\2011\data files\det_410.xlsx</v>
      </c>
      <c r="K117" s="5" t="s">
        <v>82</v>
      </c>
      <c r="L117" s="47">
        <v>113</v>
      </c>
      <c r="M117" s="39" t="s">
        <v>65</v>
      </c>
      <c r="N117" s="33">
        <v>336</v>
      </c>
      <c r="O117" s="10">
        <v>3</v>
      </c>
      <c r="P117" s="10">
        <v>1</v>
      </c>
      <c r="Q117" s="19">
        <v>14</v>
      </c>
      <c r="R117" s="62" t="s">
        <v>137</v>
      </c>
      <c r="S117" s="19">
        <v>0</v>
      </c>
    </row>
    <row r="118" spans="4:20" x14ac:dyDescent="0.25">
      <c r="D118" s="8">
        <v>114</v>
      </c>
      <c r="E118" s="10">
        <v>502</v>
      </c>
      <c r="F118" s="10" t="s">
        <v>42</v>
      </c>
      <c r="G118" s="10"/>
      <c r="H118" s="5" t="str">
        <f t="shared" si="11"/>
        <v>det_502</v>
      </c>
      <c r="I118" s="5" t="str">
        <f t="shared" si="12"/>
        <v>W:\Performance Measurement\1. Freeway\1. raw data\2011\data files\det_502.txt</v>
      </c>
      <c r="J118" s="5" t="str">
        <f t="shared" si="13"/>
        <v>W:\Performance Measurement\1. Freeway\1. raw data\2011\data files\det_502.xlsx</v>
      </c>
      <c r="K118" s="5" t="s">
        <v>82</v>
      </c>
      <c r="L118" s="47">
        <v>114</v>
      </c>
      <c r="M118" s="39" t="s">
        <v>65</v>
      </c>
      <c r="N118" s="33">
        <v>312</v>
      </c>
      <c r="O118" s="10">
        <v>3</v>
      </c>
      <c r="P118" s="10">
        <v>1</v>
      </c>
      <c r="Q118" s="19">
        <v>1</v>
      </c>
      <c r="R118" s="8"/>
      <c r="S118" s="19">
        <v>0</v>
      </c>
      <c r="T118" s="36"/>
    </row>
    <row r="119" spans="4:20" x14ac:dyDescent="0.25">
      <c r="D119" s="8">
        <v>115</v>
      </c>
      <c r="E119" s="10">
        <v>504</v>
      </c>
      <c r="F119" s="10" t="s">
        <v>55</v>
      </c>
      <c r="G119" s="10"/>
      <c r="H119" s="5" t="str">
        <f t="shared" si="11"/>
        <v>det_504</v>
      </c>
      <c r="I119" s="5" t="str">
        <f t="shared" si="12"/>
        <v>W:\Performance Measurement\1. Freeway\1. raw data\2011\data files\det_504.txt</v>
      </c>
      <c r="J119" s="5" t="str">
        <f t="shared" si="13"/>
        <v>W:\Performance Measurement\1. Freeway\1. raw data\2011\data files\det_504.xlsx</v>
      </c>
      <c r="K119" s="5" t="s">
        <v>82</v>
      </c>
      <c r="L119" s="47">
        <v>115</v>
      </c>
      <c r="M119" s="39" t="s">
        <v>65</v>
      </c>
      <c r="N119" s="10">
        <v>309</v>
      </c>
      <c r="O119" s="10">
        <v>3</v>
      </c>
      <c r="P119" s="10">
        <v>1</v>
      </c>
      <c r="Q119" s="19">
        <v>1</v>
      </c>
      <c r="R119" s="8"/>
      <c r="S119" s="19">
        <v>1</v>
      </c>
      <c r="T119" s="36"/>
    </row>
    <row r="120" spans="4:20" x14ac:dyDescent="0.25">
      <c r="D120" s="8">
        <v>116</v>
      </c>
      <c r="E120" s="10">
        <v>507</v>
      </c>
      <c r="F120" s="10" t="s">
        <v>55</v>
      </c>
      <c r="G120" s="10"/>
      <c r="H120" s="5" t="str">
        <f t="shared" si="11"/>
        <v>det_507</v>
      </c>
      <c r="I120" s="5" t="str">
        <f t="shared" si="12"/>
        <v>W:\Performance Measurement\1. Freeway\1. raw data\2011\data files\det_507.txt</v>
      </c>
      <c r="J120" s="5" t="str">
        <f t="shared" si="13"/>
        <v>W:\Performance Measurement\1. Freeway\1. raw data\2011\data files\det_507.xlsx</v>
      </c>
      <c r="K120" s="5" t="s">
        <v>82</v>
      </c>
      <c r="L120" s="47">
        <v>116</v>
      </c>
      <c r="M120" s="39" t="s">
        <v>65</v>
      </c>
      <c r="N120" s="10">
        <v>306</v>
      </c>
      <c r="O120" s="10">
        <v>3</v>
      </c>
      <c r="P120" s="10">
        <v>1</v>
      </c>
      <c r="Q120" s="19">
        <v>1</v>
      </c>
      <c r="R120" s="58" t="s">
        <v>138</v>
      </c>
      <c r="S120" s="19">
        <v>1</v>
      </c>
      <c r="T120" s="36"/>
    </row>
    <row r="121" spans="4:20" x14ac:dyDescent="0.25">
      <c r="D121" s="8">
        <v>117</v>
      </c>
      <c r="E121" s="10">
        <v>513</v>
      </c>
      <c r="F121" s="10" t="s">
        <v>55</v>
      </c>
      <c r="G121" s="10"/>
      <c r="H121" s="5" t="str">
        <f t="shared" si="11"/>
        <v>det_513</v>
      </c>
      <c r="I121" s="5" t="str">
        <f t="shared" si="12"/>
        <v>W:\Performance Measurement\1. Freeway\1. raw data\2011\data files\det_513.txt</v>
      </c>
      <c r="J121" s="5" t="str">
        <f t="shared" si="13"/>
        <v>W:\Performance Measurement\1. Freeway\1. raw data\2011\data files\det_513.xlsx</v>
      </c>
      <c r="K121" s="5" t="s">
        <v>82</v>
      </c>
      <c r="L121" s="47">
        <v>117</v>
      </c>
      <c r="M121" s="39" t="s">
        <v>65</v>
      </c>
      <c r="N121" s="10">
        <v>303</v>
      </c>
      <c r="O121" s="10">
        <v>3</v>
      </c>
      <c r="P121" s="10">
        <v>1</v>
      </c>
      <c r="Q121" s="19">
        <v>1</v>
      </c>
      <c r="R121" s="58" t="s">
        <v>134</v>
      </c>
      <c r="S121" s="19">
        <v>1</v>
      </c>
      <c r="T121" s="36"/>
    </row>
    <row r="122" spans="4:20" x14ac:dyDescent="0.25">
      <c r="D122" s="8">
        <v>118</v>
      </c>
      <c r="E122" s="10">
        <v>522</v>
      </c>
      <c r="F122" s="10" t="s">
        <v>42</v>
      </c>
      <c r="G122" s="10" t="s">
        <v>56</v>
      </c>
      <c r="H122" s="5" t="str">
        <f t="shared" si="11"/>
        <v>det_522</v>
      </c>
      <c r="I122" s="5" t="str">
        <f t="shared" si="12"/>
        <v>W:\Performance Measurement\1. Freeway\1. raw data\2011\data files\det_522.txt</v>
      </c>
      <c r="J122" s="5" t="str">
        <f t="shared" si="13"/>
        <v>W:\Performance Measurement\1. Freeway\1. raw data\2011\data files\det_522.xlsx</v>
      </c>
      <c r="K122" s="5" t="s">
        <v>82</v>
      </c>
      <c r="L122" s="47">
        <v>118</v>
      </c>
      <c r="M122" s="39" t="s">
        <v>65</v>
      </c>
      <c r="N122" s="10">
        <v>300</v>
      </c>
      <c r="O122" s="10">
        <v>3</v>
      </c>
      <c r="P122" s="10">
        <v>1</v>
      </c>
      <c r="Q122" s="19">
        <v>1</v>
      </c>
      <c r="R122" s="58" t="s">
        <v>134</v>
      </c>
      <c r="S122" s="19">
        <v>1</v>
      </c>
      <c r="T122" s="36"/>
    </row>
    <row r="123" spans="4:20" x14ac:dyDescent="0.25">
      <c r="D123" s="8">
        <v>119</v>
      </c>
      <c r="E123" s="10">
        <v>524</v>
      </c>
      <c r="F123" s="10" t="s">
        <v>42</v>
      </c>
      <c r="G123" s="10" t="s">
        <v>56</v>
      </c>
      <c r="H123" s="5" t="str">
        <f t="shared" si="11"/>
        <v>det_524</v>
      </c>
      <c r="I123" s="5" t="str">
        <f t="shared" si="12"/>
        <v>W:\Performance Measurement\1. Freeway\1. raw data\2011\data files\det_524.txt</v>
      </c>
      <c r="J123" s="5" t="str">
        <f t="shared" si="13"/>
        <v>W:\Performance Measurement\1. Freeway\1. raw data\2011\data files\det_524.xlsx</v>
      </c>
      <c r="K123" s="5" t="s">
        <v>82</v>
      </c>
      <c r="L123" s="47">
        <v>119</v>
      </c>
      <c r="M123" s="39" t="s">
        <v>65</v>
      </c>
      <c r="N123" s="10">
        <v>299</v>
      </c>
      <c r="O123" s="10">
        <v>4</v>
      </c>
      <c r="P123" s="10">
        <v>1</v>
      </c>
      <c r="Q123" s="19">
        <v>1</v>
      </c>
      <c r="R123" s="58" t="s">
        <v>139</v>
      </c>
      <c r="S123" s="19">
        <v>1</v>
      </c>
      <c r="T123" s="36"/>
    </row>
    <row r="124" spans="4:20" x14ac:dyDescent="0.25">
      <c r="D124" s="8">
        <v>120</v>
      </c>
      <c r="E124" s="10">
        <v>525</v>
      </c>
      <c r="F124" s="10" t="s">
        <v>42</v>
      </c>
      <c r="G124" s="10" t="s">
        <v>56</v>
      </c>
      <c r="H124" s="5" t="str">
        <f t="shared" si="11"/>
        <v>det_525</v>
      </c>
      <c r="I124" s="5" t="str">
        <f t="shared" si="12"/>
        <v>W:\Performance Measurement\1. Freeway\1. raw data\2011\data files\det_525.txt</v>
      </c>
      <c r="J124" s="5" t="str">
        <f t="shared" si="13"/>
        <v>W:\Performance Measurement\1. Freeway\1. raw data\2011\data files\det_525.xlsx</v>
      </c>
      <c r="K124" s="5" t="s">
        <v>82</v>
      </c>
      <c r="L124" s="47">
        <v>120</v>
      </c>
      <c r="M124" s="39" t="s">
        <v>65</v>
      </c>
      <c r="N124" s="10">
        <v>297</v>
      </c>
      <c r="O124" s="10">
        <v>5</v>
      </c>
      <c r="P124" s="10">
        <v>1</v>
      </c>
      <c r="Q124" s="19">
        <v>1</v>
      </c>
      <c r="R124" s="8"/>
      <c r="S124" s="19">
        <v>1</v>
      </c>
      <c r="T124" s="36"/>
    </row>
    <row r="125" spans="4:20" x14ac:dyDescent="0.25">
      <c r="D125" s="8">
        <v>121</v>
      </c>
      <c r="E125" s="10">
        <v>526</v>
      </c>
      <c r="F125" s="10" t="s">
        <v>42</v>
      </c>
      <c r="G125" s="10"/>
      <c r="H125" s="5" t="str">
        <f t="shared" si="11"/>
        <v>det_526</v>
      </c>
      <c r="I125" s="5" t="str">
        <f t="shared" si="12"/>
        <v>W:\Performance Measurement\1. Freeway\1. raw data\2011\data files\det_526.txt</v>
      </c>
      <c r="J125" s="5" t="str">
        <f t="shared" si="13"/>
        <v>W:\Performance Measurement\1. Freeway\1. raw data\2011\data files\det_526.xlsx</v>
      </c>
      <c r="K125" s="5" t="s">
        <v>82</v>
      </c>
      <c r="L125" s="47">
        <v>121</v>
      </c>
      <c r="M125" s="39" t="s">
        <v>65</v>
      </c>
      <c r="N125" s="10">
        <v>294</v>
      </c>
      <c r="O125" s="10">
        <v>4</v>
      </c>
      <c r="P125" s="10">
        <v>1</v>
      </c>
      <c r="Q125" s="19">
        <v>1</v>
      </c>
      <c r="R125" s="8"/>
      <c r="S125" s="19">
        <v>1</v>
      </c>
      <c r="T125" s="36"/>
    </row>
    <row r="126" spans="4:20" x14ac:dyDescent="0.25">
      <c r="D126" s="8">
        <v>122</v>
      </c>
      <c r="E126" s="10">
        <v>530</v>
      </c>
      <c r="F126" s="10" t="s">
        <v>42</v>
      </c>
      <c r="G126" s="10"/>
      <c r="H126" s="5" t="str">
        <f t="shared" si="11"/>
        <v>det_530</v>
      </c>
      <c r="I126" s="5" t="str">
        <f t="shared" si="12"/>
        <v>W:\Performance Measurement\1. Freeway\1. raw data\2011\data files\det_530.txt</v>
      </c>
      <c r="J126" s="5" t="str">
        <f t="shared" si="13"/>
        <v>W:\Performance Measurement\1. Freeway\1. raw data\2011\data files\det_530.xlsx</v>
      </c>
      <c r="K126" s="5" t="s">
        <v>82</v>
      </c>
      <c r="L126" s="47">
        <v>122</v>
      </c>
      <c r="M126" s="39" t="s">
        <v>65</v>
      </c>
      <c r="N126" s="10">
        <v>292</v>
      </c>
      <c r="O126" s="10">
        <v>4</v>
      </c>
      <c r="P126" s="10">
        <v>1</v>
      </c>
      <c r="Q126" s="19">
        <v>1</v>
      </c>
      <c r="R126" s="58" t="s">
        <v>140</v>
      </c>
      <c r="S126" s="19">
        <v>1</v>
      </c>
      <c r="T126" s="36"/>
    </row>
    <row r="127" spans="4:20" x14ac:dyDescent="0.25">
      <c r="D127" s="8">
        <v>123</v>
      </c>
      <c r="E127" s="10">
        <v>536</v>
      </c>
      <c r="F127" s="10" t="s">
        <v>42</v>
      </c>
      <c r="G127" s="10" t="s">
        <v>56</v>
      </c>
      <c r="H127" s="5" t="str">
        <f t="shared" si="11"/>
        <v>det_536</v>
      </c>
      <c r="I127" s="5" t="str">
        <f t="shared" si="12"/>
        <v>W:\Performance Measurement\1. Freeway\1. raw data\2011\data files\det_536.txt</v>
      </c>
      <c r="J127" s="5" t="str">
        <f t="shared" si="13"/>
        <v>W:\Performance Measurement\1. Freeway\1. raw data\2011\data files\det_536.xlsx</v>
      </c>
      <c r="K127" s="5" t="s">
        <v>82</v>
      </c>
      <c r="L127" s="47">
        <v>123</v>
      </c>
      <c r="M127" s="39" t="s">
        <v>66</v>
      </c>
      <c r="N127" s="10">
        <v>229</v>
      </c>
      <c r="O127" s="10">
        <v>1</v>
      </c>
      <c r="P127" s="10">
        <v>1</v>
      </c>
      <c r="Q127" s="19">
        <v>1</v>
      </c>
      <c r="R127" s="8"/>
      <c r="S127" s="19">
        <v>0</v>
      </c>
      <c r="T127" s="36"/>
    </row>
    <row r="128" spans="4:20" x14ac:dyDescent="0.25">
      <c r="D128" s="8">
        <v>124</v>
      </c>
      <c r="E128" s="10">
        <v>537</v>
      </c>
      <c r="F128" s="10" t="s">
        <v>42</v>
      </c>
      <c r="G128" s="10" t="s">
        <v>56</v>
      </c>
      <c r="H128" s="5" t="str">
        <f t="shared" si="11"/>
        <v>det_537</v>
      </c>
      <c r="I128" s="5" t="str">
        <f t="shared" si="12"/>
        <v>W:\Performance Measurement\1. Freeway\1. raw data\2011\data files\det_537.txt</v>
      </c>
      <c r="J128" s="5" t="str">
        <f t="shared" si="13"/>
        <v>W:\Performance Measurement\1. Freeway\1. raw data\2011\data files\det_537.xlsx</v>
      </c>
      <c r="K128" s="5" t="s">
        <v>82</v>
      </c>
      <c r="L128" s="47">
        <v>124</v>
      </c>
      <c r="M128" s="39" t="s">
        <v>66</v>
      </c>
      <c r="N128" s="10">
        <v>230</v>
      </c>
      <c r="O128" s="10">
        <v>3</v>
      </c>
      <c r="P128" s="10">
        <v>1</v>
      </c>
      <c r="Q128" s="66" t="s">
        <v>175</v>
      </c>
      <c r="R128" s="58" t="s">
        <v>178</v>
      </c>
      <c r="S128" s="19">
        <v>1</v>
      </c>
    </row>
    <row r="129" spans="3:20" x14ac:dyDescent="0.25">
      <c r="D129" s="8">
        <v>125</v>
      </c>
      <c r="E129" s="10">
        <v>539</v>
      </c>
      <c r="F129" s="10" t="s">
        <v>55</v>
      </c>
      <c r="G129" s="10"/>
      <c r="H129" s="5" t="str">
        <f t="shared" si="11"/>
        <v>det_539</v>
      </c>
      <c r="I129" s="5" t="str">
        <f t="shared" si="12"/>
        <v>W:\Performance Measurement\1. Freeway\1. raw data\2011\data files\det_539.txt</v>
      </c>
      <c r="J129" s="5" t="str">
        <f t="shared" si="13"/>
        <v>W:\Performance Measurement\1. Freeway\1. raw data\2011\data files\det_539.xlsx</v>
      </c>
      <c r="K129" s="5" t="s">
        <v>82</v>
      </c>
      <c r="L129" s="47">
        <v>125</v>
      </c>
      <c r="M129" s="39" t="s">
        <v>66</v>
      </c>
      <c r="N129" s="10">
        <v>233</v>
      </c>
      <c r="O129" s="10">
        <v>3</v>
      </c>
      <c r="P129" s="10">
        <v>1</v>
      </c>
      <c r="Q129" s="66" t="s">
        <v>175</v>
      </c>
      <c r="R129" s="58" t="s">
        <v>178</v>
      </c>
      <c r="S129" s="19">
        <v>1</v>
      </c>
    </row>
    <row r="130" spans="3:20" x14ac:dyDescent="0.25">
      <c r="D130" s="8">
        <v>126</v>
      </c>
      <c r="E130" s="10">
        <v>548</v>
      </c>
      <c r="F130" s="10" t="s">
        <v>55</v>
      </c>
      <c r="G130" s="10"/>
      <c r="H130" s="5" t="str">
        <f t="shared" si="11"/>
        <v>det_548</v>
      </c>
      <c r="I130" s="5" t="str">
        <f t="shared" si="12"/>
        <v>W:\Performance Measurement\1. Freeway\1. raw data\2011\data files\det_548.txt</v>
      </c>
      <c r="J130" s="5" t="str">
        <f t="shared" si="13"/>
        <v>W:\Performance Measurement\1. Freeway\1. raw data\2011\data files\det_548.xlsx</v>
      </c>
      <c r="K130" s="5" t="s">
        <v>82</v>
      </c>
      <c r="L130" s="47">
        <v>126</v>
      </c>
      <c r="M130" s="39" t="s">
        <v>66</v>
      </c>
      <c r="N130" s="10">
        <v>235</v>
      </c>
      <c r="O130" s="10">
        <v>4</v>
      </c>
      <c r="P130" s="10">
        <v>1</v>
      </c>
      <c r="Q130" s="66" t="s">
        <v>176</v>
      </c>
      <c r="R130" s="58" t="s">
        <v>179</v>
      </c>
      <c r="S130" s="19">
        <v>1</v>
      </c>
    </row>
    <row r="131" spans="3:20" x14ac:dyDescent="0.25">
      <c r="D131" s="8">
        <v>127</v>
      </c>
      <c r="E131" s="10">
        <v>578</v>
      </c>
      <c r="F131" s="10" t="s">
        <v>55</v>
      </c>
      <c r="G131" s="10"/>
      <c r="H131" s="5" t="str">
        <f t="shared" si="11"/>
        <v>det_578</v>
      </c>
      <c r="I131" s="5" t="str">
        <f t="shared" si="12"/>
        <v>W:\Performance Measurement\1. Freeway\1. raw data\2011\data files\det_578.txt</v>
      </c>
      <c r="J131" s="5" t="str">
        <f t="shared" si="13"/>
        <v>W:\Performance Measurement\1. Freeway\1. raw data\2011\data files\det_578.xlsx</v>
      </c>
      <c r="K131" s="5" t="s">
        <v>82</v>
      </c>
      <c r="L131" s="47">
        <v>127</v>
      </c>
      <c r="M131" s="39" t="s">
        <v>66</v>
      </c>
      <c r="N131" s="10">
        <v>237</v>
      </c>
      <c r="O131" s="10">
        <v>3</v>
      </c>
      <c r="P131" s="10">
        <v>1</v>
      </c>
      <c r="Q131" s="66" t="s">
        <v>175</v>
      </c>
      <c r="R131" s="58" t="s">
        <v>178</v>
      </c>
      <c r="S131" s="19">
        <v>1</v>
      </c>
    </row>
    <row r="132" spans="3:20" x14ac:dyDescent="0.25">
      <c r="D132" s="8">
        <v>128</v>
      </c>
      <c r="E132" s="10">
        <v>579</v>
      </c>
      <c r="F132" s="10">
        <v>3</v>
      </c>
      <c r="G132" s="10">
        <v>0</v>
      </c>
      <c r="H132" s="5" t="str">
        <f t="shared" si="11"/>
        <v>det_579</v>
      </c>
      <c r="I132" s="5" t="str">
        <f t="shared" si="12"/>
        <v>W:\Performance Measurement\1. Freeway\1. raw data\2011\data files\det_579.txt</v>
      </c>
      <c r="J132" s="5" t="str">
        <f t="shared" si="13"/>
        <v>W:\Performance Measurement\1. Freeway\1. raw data\2011\data files\det_579.xlsx</v>
      </c>
      <c r="K132" s="5" t="s">
        <v>82</v>
      </c>
      <c r="L132" s="47">
        <v>128</v>
      </c>
      <c r="M132" s="39" t="s">
        <v>66</v>
      </c>
      <c r="N132" s="10">
        <v>239</v>
      </c>
      <c r="O132" s="10">
        <v>3</v>
      </c>
      <c r="P132" s="10">
        <v>1</v>
      </c>
      <c r="Q132" s="66" t="s">
        <v>177</v>
      </c>
      <c r="R132" s="58" t="s">
        <v>179</v>
      </c>
      <c r="S132" s="19">
        <v>1</v>
      </c>
    </row>
    <row r="133" spans="3:20" x14ac:dyDescent="0.25">
      <c r="D133" s="8">
        <v>129</v>
      </c>
      <c r="E133" s="10">
        <v>580</v>
      </c>
      <c r="F133" s="10">
        <v>3</v>
      </c>
      <c r="G133" s="10">
        <v>0</v>
      </c>
      <c r="H133" s="5" t="str">
        <f t="shared" si="11"/>
        <v>det_580</v>
      </c>
      <c r="I133" s="5" t="str">
        <f t="shared" si="12"/>
        <v>W:\Performance Measurement\1. Freeway\1. raw data\2011\data files\det_580.txt</v>
      </c>
      <c r="J133" s="5" t="str">
        <f t="shared" si="13"/>
        <v>W:\Performance Measurement\1. Freeway\1. raw data\2011\data files\det_580.xlsx</v>
      </c>
      <c r="K133" s="5" t="s">
        <v>82</v>
      </c>
      <c r="L133" s="47">
        <v>129</v>
      </c>
      <c r="M133" s="39" t="s">
        <v>66</v>
      </c>
      <c r="N133" s="10">
        <v>241</v>
      </c>
      <c r="O133" s="10">
        <v>3</v>
      </c>
      <c r="P133" s="10">
        <v>1</v>
      </c>
      <c r="Q133" s="66" t="s">
        <v>175</v>
      </c>
      <c r="R133" s="58" t="s">
        <v>178</v>
      </c>
      <c r="S133" s="19">
        <v>1</v>
      </c>
    </row>
    <row r="134" spans="3:20" x14ac:dyDescent="0.25">
      <c r="D134" s="8">
        <v>130</v>
      </c>
      <c r="E134" s="10">
        <v>581</v>
      </c>
      <c r="F134" s="10">
        <v>3</v>
      </c>
      <c r="G134" s="10">
        <v>0</v>
      </c>
      <c r="H134" s="5" t="str">
        <f t="shared" si="11"/>
        <v>det_581</v>
      </c>
      <c r="I134" s="5" t="str">
        <f t="shared" si="12"/>
        <v>W:\Performance Measurement\1. Freeway\1. raw data\2011\data files\det_581.txt</v>
      </c>
      <c r="J134" s="5" t="str">
        <f t="shared" si="13"/>
        <v>W:\Performance Measurement\1. Freeway\1. raw data\2011\data files\det_581.xlsx</v>
      </c>
      <c r="K134" s="5" t="s">
        <v>82</v>
      </c>
      <c r="L134" s="47">
        <v>130</v>
      </c>
      <c r="M134" s="39" t="s">
        <v>66</v>
      </c>
      <c r="N134" s="10">
        <v>243</v>
      </c>
      <c r="O134" s="10">
        <v>3</v>
      </c>
      <c r="P134" s="10">
        <v>1</v>
      </c>
      <c r="Q134" s="66" t="s">
        <v>177</v>
      </c>
      <c r="R134" s="58" t="s">
        <v>179</v>
      </c>
      <c r="S134" s="19">
        <v>1</v>
      </c>
    </row>
    <row r="135" spans="3:20" x14ac:dyDescent="0.25">
      <c r="D135" s="8">
        <v>131</v>
      </c>
      <c r="E135" s="10">
        <v>582</v>
      </c>
      <c r="F135" s="10">
        <v>3</v>
      </c>
      <c r="G135" s="10">
        <v>0</v>
      </c>
      <c r="H135" s="5" t="str">
        <f t="shared" si="11"/>
        <v>det_582</v>
      </c>
      <c r="I135" s="5" t="str">
        <f t="shared" si="12"/>
        <v>W:\Performance Measurement\1. Freeway\1. raw data\2011\data files\det_582.txt</v>
      </c>
      <c r="J135" s="5" t="str">
        <f t="shared" si="13"/>
        <v>W:\Performance Measurement\1. Freeway\1. raw data\2011\data files\det_582.xlsx</v>
      </c>
      <c r="K135" s="5" t="s">
        <v>82</v>
      </c>
      <c r="L135" s="47">
        <v>131</v>
      </c>
      <c r="M135" s="39" t="s">
        <v>66</v>
      </c>
      <c r="N135" s="10">
        <v>245</v>
      </c>
      <c r="O135" s="10">
        <v>4</v>
      </c>
      <c r="P135" s="10">
        <v>1</v>
      </c>
      <c r="Q135" s="66" t="s">
        <v>177</v>
      </c>
      <c r="R135" s="58" t="s">
        <v>178</v>
      </c>
      <c r="S135" s="19">
        <v>1</v>
      </c>
    </row>
    <row r="136" spans="3:20" x14ac:dyDescent="0.25">
      <c r="D136" s="8">
        <v>132</v>
      </c>
      <c r="E136" s="10">
        <v>583</v>
      </c>
      <c r="F136" s="10">
        <v>3</v>
      </c>
      <c r="G136" s="10">
        <v>0</v>
      </c>
      <c r="H136" s="5" t="str">
        <f t="shared" si="11"/>
        <v>det_583</v>
      </c>
      <c r="I136" s="5" t="str">
        <f t="shared" si="12"/>
        <v>W:\Performance Measurement\1. Freeway\1. raw data\2011\data files\det_583.txt</v>
      </c>
      <c r="J136" s="5" t="str">
        <f t="shared" si="13"/>
        <v>W:\Performance Measurement\1. Freeway\1. raw data\2011\data files\det_583.xlsx</v>
      </c>
      <c r="K136" s="5" t="s">
        <v>82</v>
      </c>
      <c r="L136" s="47">
        <v>132</v>
      </c>
      <c r="M136" s="39" t="s">
        <v>66</v>
      </c>
      <c r="N136" s="10">
        <v>246</v>
      </c>
      <c r="O136" s="10">
        <v>4</v>
      </c>
      <c r="P136" s="10">
        <v>1</v>
      </c>
      <c r="Q136" s="66" t="s">
        <v>176</v>
      </c>
      <c r="R136" s="58" t="s">
        <v>180</v>
      </c>
      <c r="S136" s="19">
        <v>1</v>
      </c>
    </row>
    <row r="137" spans="3:20" x14ac:dyDescent="0.25">
      <c r="D137" s="8">
        <v>133</v>
      </c>
      <c r="E137" s="10">
        <v>584</v>
      </c>
      <c r="F137" s="10">
        <v>3</v>
      </c>
      <c r="G137" s="10">
        <v>0</v>
      </c>
      <c r="H137" s="5" t="str">
        <f t="shared" si="11"/>
        <v>det_584</v>
      </c>
      <c r="I137" s="5" t="str">
        <f t="shared" si="12"/>
        <v>W:\Performance Measurement\1. Freeway\1. raw data\2011\data files\det_584.txt</v>
      </c>
      <c r="J137" s="5" t="str">
        <f t="shared" si="13"/>
        <v>W:\Performance Measurement\1. Freeway\1. raw data\2011\data files\det_584.xlsx</v>
      </c>
      <c r="K137" s="5" t="s">
        <v>82</v>
      </c>
      <c r="L137" s="47">
        <v>133</v>
      </c>
      <c r="M137" s="39" t="s">
        <v>66</v>
      </c>
      <c r="N137" s="10">
        <v>248</v>
      </c>
      <c r="O137" s="10">
        <v>4</v>
      </c>
      <c r="P137" s="10">
        <v>1</v>
      </c>
      <c r="Q137" s="66" t="s">
        <v>177</v>
      </c>
      <c r="R137" s="58" t="s">
        <v>178</v>
      </c>
      <c r="S137" s="19">
        <v>1</v>
      </c>
      <c r="T137" s="38"/>
    </row>
    <row r="138" spans="3:20" x14ac:dyDescent="0.25">
      <c r="D138" s="8">
        <v>134</v>
      </c>
      <c r="E138" s="10">
        <v>585</v>
      </c>
      <c r="F138" s="10">
        <v>2</v>
      </c>
      <c r="G138" s="10">
        <v>0</v>
      </c>
      <c r="H138" s="5" t="str">
        <f t="shared" si="11"/>
        <v>det_585</v>
      </c>
      <c r="I138" s="5" t="str">
        <f t="shared" si="12"/>
        <v>W:\Performance Measurement\1. Freeway\1. raw data\2011\data files\det_585.txt</v>
      </c>
      <c r="J138" s="5" t="str">
        <f t="shared" si="13"/>
        <v>W:\Performance Measurement\1. Freeway\1. raw data\2011\data files\det_585.xlsx</v>
      </c>
      <c r="K138" s="5" t="s">
        <v>82</v>
      </c>
      <c r="L138" s="47">
        <v>134</v>
      </c>
      <c r="M138" s="39" t="s">
        <v>66</v>
      </c>
      <c r="N138" s="10">
        <v>250</v>
      </c>
      <c r="O138" s="10">
        <v>4</v>
      </c>
      <c r="P138" s="10">
        <v>1</v>
      </c>
      <c r="Q138" s="66" t="s">
        <v>176</v>
      </c>
      <c r="R138" s="58" t="s">
        <v>179</v>
      </c>
      <c r="S138" s="19">
        <v>1</v>
      </c>
    </row>
    <row r="139" spans="3:20" x14ac:dyDescent="0.25">
      <c r="D139" s="8">
        <v>135</v>
      </c>
      <c r="E139" s="10">
        <v>586</v>
      </c>
      <c r="F139" s="10">
        <v>2</v>
      </c>
      <c r="G139" s="10">
        <v>0</v>
      </c>
      <c r="H139" s="5" t="str">
        <f t="shared" si="11"/>
        <v>det_586</v>
      </c>
      <c r="I139" s="5" t="str">
        <f t="shared" si="12"/>
        <v>W:\Performance Measurement\1. Freeway\1. raw data\2011\data files\det_586.txt</v>
      </c>
      <c r="J139" s="5" t="str">
        <f t="shared" si="13"/>
        <v>W:\Performance Measurement\1. Freeway\1. raw data\2011\data files\det_586.xlsx</v>
      </c>
      <c r="K139" s="5" t="s">
        <v>82</v>
      </c>
      <c r="L139" s="47">
        <v>135</v>
      </c>
      <c r="M139" s="39" t="s">
        <v>66</v>
      </c>
      <c r="N139" s="10">
        <v>252</v>
      </c>
      <c r="O139" s="10">
        <v>4</v>
      </c>
      <c r="P139" s="10">
        <v>1</v>
      </c>
      <c r="Q139" s="66" t="s">
        <v>177</v>
      </c>
      <c r="R139" s="58" t="s">
        <v>178</v>
      </c>
      <c r="S139" s="19">
        <v>1</v>
      </c>
      <c r="T139" s="38"/>
    </row>
    <row r="140" spans="3:20" x14ac:dyDescent="0.25">
      <c r="D140" s="8">
        <v>136</v>
      </c>
      <c r="E140" s="10">
        <v>587</v>
      </c>
      <c r="F140" s="10">
        <v>3</v>
      </c>
      <c r="G140" s="10">
        <v>0</v>
      </c>
      <c r="H140" s="5" t="str">
        <f t="shared" si="11"/>
        <v>det_587</v>
      </c>
      <c r="I140" s="5" t="str">
        <f t="shared" si="12"/>
        <v>W:\Performance Measurement\1. Freeway\1. raw data\2011\data files\det_587.txt</v>
      </c>
      <c r="J140" s="5" t="str">
        <f t="shared" si="13"/>
        <v>W:\Performance Measurement\1. Freeway\1. raw data\2011\data files\det_587.xlsx</v>
      </c>
      <c r="K140" s="5" t="s">
        <v>82</v>
      </c>
      <c r="L140" s="47">
        <v>136</v>
      </c>
      <c r="M140" s="39" t="s">
        <v>66</v>
      </c>
      <c r="N140" s="10">
        <v>254</v>
      </c>
      <c r="O140" s="10">
        <v>5</v>
      </c>
      <c r="P140" s="10">
        <v>1</v>
      </c>
      <c r="Q140" s="66" t="s">
        <v>176</v>
      </c>
      <c r="R140" s="58" t="s">
        <v>181</v>
      </c>
      <c r="S140" s="19">
        <v>1</v>
      </c>
    </row>
    <row r="141" spans="3:20" x14ac:dyDescent="0.25">
      <c r="D141" s="8">
        <v>137</v>
      </c>
      <c r="E141" s="10">
        <v>588</v>
      </c>
      <c r="F141" s="10">
        <v>3</v>
      </c>
      <c r="G141" s="10">
        <v>0</v>
      </c>
      <c r="H141" s="5" t="str">
        <f t="shared" si="11"/>
        <v>det_588</v>
      </c>
      <c r="I141" s="5" t="str">
        <f t="shared" si="12"/>
        <v>W:\Performance Measurement\1. Freeway\1. raw data\2011\data files\det_588.txt</v>
      </c>
      <c r="J141" s="5" t="str">
        <f t="shared" si="13"/>
        <v>W:\Performance Measurement\1. Freeway\1. raw data\2011\data files\det_588.xlsx</v>
      </c>
      <c r="K141" s="5" t="s">
        <v>82</v>
      </c>
      <c r="L141" s="47">
        <v>137</v>
      </c>
      <c r="M141" s="39" t="s">
        <v>66</v>
      </c>
      <c r="N141" s="10">
        <v>272</v>
      </c>
      <c r="O141" s="10">
        <v>2</v>
      </c>
      <c r="P141" s="10">
        <v>1</v>
      </c>
      <c r="Q141" s="56" t="s">
        <v>143</v>
      </c>
      <c r="R141" s="58" t="s">
        <v>182</v>
      </c>
      <c r="S141" s="55">
        <v>1</v>
      </c>
    </row>
    <row r="142" spans="3:20" x14ac:dyDescent="0.25">
      <c r="C142" s="97">
        <v>589</v>
      </c>
      <c r="D142" s="8">
        <v>138</v>
      </c>
      <c r="E142" s="10">
        <v>589</v>
      </c>
      <c r="F142" s="10">
        <v>3</v>
      </c>
      <c r="G142" s="10">
        <v>0</v>
      </c>
      <c r="H142" s="5" t="str">
        <f t="shared" si="11"/>
        <v>det_589</v>
      </c>
      <c r="I142" s="5" t="str">
        <f t="shared" si="12"/>
        <v>W:\Performance Measurement\1. Freeway\1. raw data\2011\data files\det_589.txt</v>
      </c>
      <c r="J142" s="5" t="str">
        <f t="shared" si="13"/>
        <v>W:\Performance Measurement\1. Freeway\1. raw data\2011\data files\det_589.xlsx</v>
      </c>
      <c r="K142" s="5" t="s">
        <v>82</v>
      </c>
      <c r="L142" s="47">
        <v>138</v>
      </c>
      <c r="M142" s="39" t="s">
        <v>66</v>
      </c>
      <c r="N142" s="10">
        <v>275</v>
      </c>
      <c r="O142" s="10">
        <v>4</v>
      </c>
      <c r="P142" s="10">
        <v>1</v>
      </c>
      <c r="Q142" s="56" t="s">
        <v>43</v>
      </c>
      <c r="R142" s="58" t="s">
        <v>183</v>
      </c>
      <c r="S142" s="55">
        <v>1</v>
      </c>
    </row>
    <row r="143" spans="3:20" x14ac:dyDescent="0.25">
      <c r="C143" s="97">
        <v>590</v>
      </c>
      <c r="D143" s="8">
        <v>139</v>
      </c>
      <c r="E143" s="10">
        <v>590</v>
      </c>
      <c r="F143" s="10">
        <v>3</v>
      </c>
      <c r="G143" s="10">
        <v>0</v>
      </c>
      <c r="H143" s="5" t="str">
        <f t="shared" si="11"/>
        <v>det_590</v>
      </c>
      <c r="I143" s="5" t="str">
        <f t="shared" si="12"/>
        <v>W:\Performance Measurement\1. Freeway\1. raw data\2011\data files\det_590.txt</v>
      </c>
      <c r="J143" s="5" t="str">
        <f t="shared" si="13"/>
        <v>W:\Performance Measurement\1. Freeway\1. raw data\2011\data files\det_590.xlsx</v>
      </c>
      <c r="K143" s="5" t="s">
        <v>82</v>
      </c>
      <c r="L143" s="47">
        <v>139</v>
      </c>
      <c r="M143" s="39" t="s">
        <v>66</v>
      </c>
      <c r="N143" s="10">
        <v>278</v>
      </c>
      <c r="O143" s="10">
        <v>4</v>
      </c>
      <c r="P143" s="10">
        <v>1</v>
      </c>
      <c r="Q143" s="19">
        <v>1</v>
      </c>
      <c r="R143" s="58" t="s">
        <v>141</v>
      </c>
      <c r="S143" s="57">
        <v>1</v>
      </c>
      <c r="T143" s="36"/>
    </row>
    <row r="144" spans="3:20" x14ac:dyDescent="0.25">
      <c r="C144" s="97">
        <v>591</v>
      </c>
      <c r="D144" s="8">
        <v>140</v>
      </c>
      <c r="E144" s="10">
        <v>591</v>
      </c>
      <c r="F144" s="10">
        <v>3</v>
      </c>
      <c r="G144" s="10">
        <v>0</v>
      </c>
      <c r="H144" s="5" t="str">
        <f t="shared" si="11"/>
        <v>det_591</v>
      </c>
      <c r="I144" s="5" t="str">
        <f t="shared" si="12"/>
        <v>W:\Performance Measurement\1. Freeway\1. raw data\2011\data files\det_591.txt</v>
      </c>
      <c r="J144" s="5" t="str">
        <f t="shared" si="13"/>
        <v>W:\Performance Measurement\1. Freeway\1. raw data\2011\data files\det_591.xlsx</v>
      </c>
      <c r="K144" s="5" t="s">
        <v>82</v>
      </c>
      <c r="L144" s="47">
        <v>140</v>
      </c>
      <c r="M144" s="39" t="s">
        <v>66</v>
      </c>
      <c r="N144" s="10">
        <v>281</v>
      </c>
      <c r="O144" s="10">
        <v>4</v>
      </c>
      <c r="P144" s="10">
        <v>1</v>
      </c>
      <c r="Q144" s="19">
        <v>1</v>
      </c>
      <c r="R144" s="58" t="s">
        <v>142</v>
      </c>
      <c r="S144" s="19">
        <v>1</v>
      </c>
      <c r="T144" s="36"/>
    </row>
    <row r="145" spans="3:20" x14ac:dyDescent="0.25">
      <c r="C145" s="97">
        <v>592</v>
      </c>
      <c r="D145" s="8">
        <v>141</v>
      </c>
      <c r="E145" s="10">
        <v>592</v>
      </c>
      <c r="F145" s="10">
        <v>3</v>
      </c>
      <c r="G145" s="10">
        <v>0</v>
      </c>
      <c r="H145" s="5" t="str">
        <f t="shared" si="11"/>
        <v>det_592</v>
      </c>
      <c r="I145" s="5" t="str">
        <f t="shared" si="12"/>
        <v>W:\Performance Measurement\1. Freeway\1. raw data\2011\data files\det_592.txt</v>
      </c>
      <c r="J145" s="5" t="str">
        <f t="shared" si="13"/>
        <v>W:\Performance Measurement\1. Freeway\1. raw data\2011\data files\det_592.xlsx</v>
      </c>
      <c r="K145" s="5" t="s">
        <v>82</v>
      </c>
      <c r="L145" s="47">
        <v>141</v>
      </c>
      <c r="M145" s="39" t="s">
        <v>66</v>
      </c>
      <c r="N145" s="10">
        <v>284</v>
      </c>
      <c r="O145" s="10">
        <v>3</v>
      </c>
      <c r="P145" s="10">
        <v>1</v>
      </c>
      <c r="Q145" s="19">
        <v>1</v>
      </c>
      <c r="R145" s="58" t="s">
        <v>119</v>
      </c>
      <c r="S145" s="19">
        <v>1</v>
      </c>
      <c r="T145" s="36"/>
    </row>
    <row r="146" spans="3:20" x14ac:dyDescent="0.25">
      <c r="C146" s="97">
        <v>593</v>
      </c>
      <c r="D146" s="8">
        <v>142</v>
      </c>
      <c r="E146" s="10">
        <v>593</v>
      </c>
      <c r="F146" s="10">
        <v>3</v>
      </c>
      <c r="G146" s="10">
        <v>0</v>
      </c>
      <c r="H146" s="5" t="str">
        <f t="shared" si="11"/>
        <v>det_593</v>
      </c>
      <c r="I146" s="5" t="str">
        <f t="shared" si="12"/>
        <v>W:\Performance Measurement\1. Freeway\1. raw data\2011\data files\det_593.txt</v>
      </c>
      <c r="J146" s="5" t="str">
        <f t="shared" si="13"/>
        <v>W:\Performance Measurement\1. Freeway\1. raw data\2011\data files\det_593.xlsx</v>
      </c>
      <c r="K146" s="5" t="s">
        <v>82</v>
      </c>
      <c r="L146" s="47">
        <v>142</v>
      </c>
      <c r="M146" s="39" t="s">
        <v>66</v>
      </c>
      <c r="N146" s="10">
        <v>286</v>
      </c>
      <c r="O146" s="10">
        <v>3</v>
      </c>
      <c r="P146" s="10">
        <v>1</v>
      </c>
      <c r="Q146" s="19" t="s">
        <v>44</v>
      </c>
      <c r="R146" s="58" t="s">
        <v>86</v>
      </c>
      <c r="S146" s="19">
        <v>1</v>
      </c>
    </row>
    <row r="147" spans="3:20" x14ac:dyDescent="0.25">
      <c r="C147" s="85">
        <v>594</v>
      </c>
      <c r="D147" s="8">
        <v>143</v>
      </c>
      <c r="E147" s="10">
        <v>594</v>
      </c>
      <c r="F147" s="10">
        <v>3</v>
      </c>
      <c r="G147" s="10">
        <v>1</v>
      </c>
      <c r="H147" s="5" t="str">
        <f t="shared" si="11"/>
        <v>det_594</v>
      </c>
      <c r="I147" s="5" t="str">
        <f t="shared" si="12"/>
        <v>W:\Performance Measurement\1. Freeway\1. raw data\2011\data files\det_594.txt</v>
      </c>
      <c r="J147" s="5" t="str">
        <f t="shared" si="13"/>
        <v>W:\Performance Measurement\1. Freeway\1. raw data\2011\data files\det_594.xlsx</v>
      </c>
      <c r="K147" s="5" t="s">
        <v>82</v>
      </c>
      <c r="L147" s="47">
        <v>143</v>
      </c>
      <c r="M147" s="39" t="s">
        <v>66</v>
      </c>
      <c r="N147" s="10">
        <v>288</v>
      </c>
      <c r="O147" s="10">
        <v>3</v>
      </c>
      <c r="P147" s="10">
        <v>1</v>
      </c>
      <c r="Q147" s="19">
        <v>1</v>
      </c>
      <c r="R147" s="58" t="s">
        <v>119</v>
      </c>
      <c r="S147" s="19">
        <v>1</v>
      </c>
      <c r="T147" s="36"/>
    </row>
    <row r="148" spans="3:20" x14ac:dyDescent="0.25">
      <c r="C148" s="85">
        <v>595</v>
      </c>
      <c r="D148" s="8">
        <v>144</v>
      </c>
      <c r="E148" s="10">
        <v>595</v>
      </c>
      <c r="F148" s="10">
        <v>3</v>
      </c>
      <c r="G148" s="10">
        <v>1</v>
      </c>
      <c r="H148" s="5" t="str">
        <f t="shared" si="11"/>
        <v>det_595</v>
      </c>
      <c r="I148" s="5" t="str">
        <f t="shared" si="12"/>
        <v>W:\Performance Measurement\1. Freeway\1. raw data\2011\data files\det_595.txt</v>
      </c>
      <c r="J148" s="5" t="str">
        <f t="shared" si="13"/>
        <v>W:\Performance Measurement\1. Freeway\1. raw data\2011\data files\det_595.xlsx</v>
      </c>
      <c r="K148" s="5" t="s">
        <v>82</v>
      </c>
      <c r="L148" s="47">
        <v>144</v>
      </c>
      <c r="M148" s="39" t="s">
        <v>66</v>
      </c>
      <c r="N148" s="10">
        <v>225</v>
      </c>
      <c r="O148" s="10">
        <v>3</v>
      </c>
      <c r="P148" s="10">
        <v>1</v>
      </c>
      <c r="Q148" s="19">
        <v>1</v>
      </c>
      <c r="R148" s="58" t="s">
        <v>119</v>
      </c>
      <c r="S148" s="19">
        <v>1</v>
      </c>
      <c r="T148" s="36"/>
    </row>
    <row r="149" spans="3:20" x14ac:dyDescent="0.25">
      <c r="C149" s="85">
        <v>596</v>
      </c>
      <c r="D149" s="8">
        <v>145</v>
      </c>
      <c r="E149" s="10">
        <v>596</v>
      </c>
      <c r="F149" s="10">
        <v>3</v>
      </c>
      <c r="G149" s="10">
        <v>1</v>
      </c>
      <c r="H149" s="5" t="str">
        <f t="shared" si="11"/>
        <v>det_596</v>
      </c>
      <c r="I149" s="5" t="str">
        <f t="shared" si="12"/>
        <v>W:\Performance Measurement\1. Freeway\1. raw data\2011\data files\det_596.txt</v>
      </c>
      <c r="J149" s="5" t="str">
        <f t="shared" si="13"/>
        <v>W:\Performance Measurement\1. Freeway\1. raw data\2011\data files\det_596.xlsx</v>
      </c>
      <c r="K149" s="5" t="s">
        <v>82</v>
      </c>
      <c r="L149" s="47">
        <v>145</v>
      </c>
      <c r="M149" s="39" t="s">
        <v>66</v>
      </c>
      <c r="N149" s="10">
        <v>223</v>
      </c>
      <c r="O149" s="10">
        <v>4</v>
      </c>
      <c r="P149" s="10">
        <v>1</v>
      </c>
      <c r="Q149" s="19">
        <v>1</v>
      </c>
      <c r="R149" s="8"/>
      <c r="S149" s="19">
        <v>1</v>
      </c>
      <c r="T149" s="36"/>
    </row>
    <row r="150" spans="3:20" x14ac:dyDescent="0.25">
      <c r="C150" s="85">
        <v>597</v>
      </c>
      <c r="D150" s="8">
        <v>146</v>
      </c>
      <c r="E150" s="10">
        <v>597</v>
      </c>
      <c r="F150" s="10">
        <v>3</v>
      </c>
      <c r="G150" s="10">
        <v>1</v>
      </c>
      <c r="H150" s="5" t="str">
        <f t="shared" si="11"/>
        <v>det_597</v>
      </c>
      <c r="I150" s="5" t="str">
        <f t="shared" si="12"/>
        <v>W:\Performance Measurement\1. Freeway\1. raw data\2011\data files\det_597.txt</v>
      </c>
      <c r="J150" s="5" t="str">
        <f t="shared" si="13"/>
        <v>W:\Performance Measurement\1. Freeway\1. raw data\2011\data files\det_597.xlsx</v>
      </c>
      <c r="K150" s="5" t="s">
        <v>82</v>
      </c>
      <c r="L150" s="47">
        <v>146</v>
      </c>
      <c r="M150" s="39" t="s">
        <v>66</v>
      </c>
      <c r="N150" s="10">
        <v>220</v>
      </c>
      <c r="O150" s="10">
        <v>3</v>
      </c>
      <c r="P150" s="10">
        <v>1</v>
      </c>
      <c r="Q150" s="19">
        <v>1</v>
      </c>
      <c r="R150" s="58" t="s">
        <v>114</v>
      </c>
      <c r="S150" s="19">
        <v>1</v>
      </c>
      <c r="T150" s="36"/>
    </row>
    <row r="151" spans="3:20" x14ac:dyDescent="0.25">
      <c r="C151" s="85">
        <v>598</v>
      </c>
      <c r="D151" s="8">
        <v>147</v>
      </c>
      <c r="E151" s="10">
        <v>598</v>
      </c>
      <c r="F151" s="10">
        <v>3</v>
      </c>
      <c r="G151" s="10">
        <v>1</v>
      </c>
      <c r="H151" s="5" t="str">
        <f t="shared" si="11"/>
        <v>det_598</v>
      </c>
      <c r="I151" s="5" t="str">
        <f t="shared" si="12"/>
        <v>W:\Performance Measurement\1. Freeway\1. raw data\2011\data files\det_598.txt</v>
      </c>
      <c r="J151" s="5" t="str">
        <f t="shared" si="13"/>
        <v>W:\Performance Measurement\1. Freeway\1. raw data\2011\data files\det_598.xlsx</v>
      </c>
      <c r="K151" s="5" t="s">
        <v>82</v>
      </c>
      <c r="L151" s="47">
        <v>147</v>
      </c>
      <c r="M151" s="39" t="s">
        <v>66</v>
      </c>
      <c r="N151" s="10">
        <v>217</v>
      </c>
      <c r="O151" s="10">
        <v>2</v>
      </c>
      <c r="P151" s="10">
        <v>1</v>
      </c>
      <c r="Q151" s="19">
        <v>1</v>
      </c>
      <c r="R151" s="58" t="s">
        <v>119</v>
      </c>
      <c r="S151" s="19">
        <v>1</v>
      </c>
      <c r="T151" s="36"/>
    </row>
    <row r="152" spans="3:20" x14ac:dyDescent="0.25">
      <c r="C152" s="85">
        <v>599</v>
      </c>
      <c r="D152" s="8">
        <v>148</v>
      </c>
      <c r="E152" s="10">
        <v>599</v>
      </c>
      <c r="F152" s="10">
        <v>3</v>
      </c>
      <c r="G152" s="10">
        <v>1</v>
      </c>
      <c r="H152" s="5" t="str">
        <f t="shared" si="11"/>
        <v>det_599</v>
      </c>
      <c r="I152" s="5" t="str">
        <f t="shared" si="12"/>
        <v>W:\Performance Measurement\1. Freeway\1. raw data\2011\data files\det_599.txt</v>
      </c>
      <c r="J152" s="5" t="str">
        <f t="shared" si="13"/>
        <v>W:\Performance Measurement\1. Freeway\1. raw data\2011\data files\det_599.xlsx</v>
      </c>
      <c r="K152" s="5" t="s">
        <v>82</v>
      </c>
      <c r="L152" s="47">
        <v>148</v>
      </c>
      <c r="M152" s="39" t="s">
        <v>67</v>
      </c>
      <c r="N152" s="10">
        <v>427</v>
      </c>
      <c r="O152" s="10">
        <v>3</v>
      </c>
      <c r="P152" s="10">
        <v>1</v>
      </c>
      <c r="Q152" s="19" t="s">
        <v>44</v>
      </c>
      <c r="R152" s="63"/>
      <c r="S152" s="19">
        <v>1</v>
      </c>
    </row>
    <row r="153" spans="3:20" x14ac:dyDescent="0.25">
      <c r="C153" s="85">
        <v>600</v>
      </c>
      <c r="D153" s="8">
        <v>149</v>
      </c>
      <c r="E153" s="10">
        <v>600</v>
      </c>
      <c r="F153" s="10">
        <v>3</v>
      </c>
      <c r="G153" s="10">
        <v>0</v>
      </c>
      <c r="H153" s="5" t="str">
        <f t="shared" si="11"/>
        <v>det_600</v>
      </c>
      <c r="I153" s="5" t="str">
        <f t="shared" si="12"/>
        <v>W:\Performance Measurement\1. Freeway\1. raw data\2011\data files\det_600.txt</v>
      </c>
      <c r="J153" s="5" t="str">
        <f t="shared" si="13"/>
        <v>W:\Performance Measurement\1. Freeway\1. raw data\2011\data files\det_600.xlsx</v>
      </c>
      <c r="K153" s="5" t="s">
        <v>82</v>
      </c>
      <c r="L153" s="47">
        <v>149</v>
      </c>
      <c r="M153" s="39" t="s">
        <v>67</v>
      </c>
      <c r="N153" s="10">
        <v>428</v>
      </c>
      <c r="O153" s="10">
        <v>4</v>
      </c>
      <c r="P153" s="10">
        <v>1</v>
      </c>
      <c r="Q153" s="19">
        <v>1</v>
      </c>
      <c r="R153" s="63"/>
      <c r="S153" s="19">
        <v>1</v>
      </c>
      <c r="T153" s="36"/>
    </row>
    <row r="154" spans="3:20" x14ac:dyDescent="0.25">
      <c r="C154" s="85">
        <v>601</v>
      </c>
      <c r="D154" s="8">
        <v>150</v>
      </c>
      <c r="E154" s="10">
        <v>601</v>
      </c>
      <c r="F154" s="10">
        <v>3</v>
      </c>
      <c r="G154" s="10">
        <v>0</v>
      </c>
      <c r="H154" s="5" t="str">
        <f t="shared" si="11"/>
        <v>det_601</v>
      </c>
      <c r="I154" s="5" t="str">
        <f t="shared" si="12"/>
        <v>W:\Performance Measurement\1. Freeway\1. raw data\2011\data files\det_601.txt</v>
      </c>
      <c r="J154" s="5" t="str">
        <f t="shared" si="13"/>
        <v>W:\Performance Measurement\1. Freeway\1. raw data\2011\data files\det_601.xlsx</v>
      </c>
      <c r="K154" s="5" t="s">
        <v>82</v>
      </c>
      <c r="L154" s="47">
        <v>150</v>
      </c>
      <c r="M154" s="39" t="s">
        <v>67</v>
      </c>
      <c r="N154" s="10">
        <v>432</v>
      </c>
      <c r="O154" s="10">
        <v>3</v>
      </c>
      <c r="P154" s="10">
        <v>1</v>
      </c>
      <c r="Q154" s="19">
        <v>1</v>
      </c>
      <c r="R154" s="59" t="s">
        <v>144</v>
      </c>
      <c r="S154" s="19">
        <v>1</v>
      </c>
      <c r="T154" s="36"/>
    </row>
    <row r="155" spans="3:20" x14ac:dyDescent="0.25">
      <c r="C155" s="85">
        <v>602</v>
      </c>
      <c r="D155" s="8">
        <v>151</v>
      </c>
      <c r="E155" s="10">
        <v>602</v>
      </c>
      <c r="F155" s="10">
        <v>3</v>
      </c>
      <c r="G155" s="10">
        <v>1</v>
      </c>
      <c r="H155" s="5" t="str">
        <f t="shared" si="11"/>
        <v>det_602</v>
      </c>
      <c r="I155" s="5" t="str">
        <f t="shared" si="12"/>
        <v>W:\Performance Measurement\1. Freeway\1. raw data\2011\data files\det_602.txt</v>
      </c>
      <c r="J155" s="5" t="str">
        <f t="shared" si="13"/>
        <v>W:\Performance Measurement\1. Freeway\1. raw data\2011\data files\det_602.xlsx</v>
      </c>
      <c r="K155" s="5" t="s">
        <v>82</v>
      </c>
      <c r="L155" s="47">
        <v>151</v>
      </c>
      <c r="M155" s="39" t="s">
        <v>67</v>
      </c>
      <c r="N155" s="10">
        <v>435</v>
      </c>
      <c r="O155" s="10">
        <v>3</v>
      </c>
      <c r="P155" s="10">
        <v>1</v>
      </c>
      <c r="Q155" s="19">
        <v>1</v>
      </c>
      <c r="R155" s="59" t="s">
        <v>144</v>
      </c>
      <c r="S155" s="19">
        <v>1</v>
      </c>
      <c r="T155" s="36"/>
    </row>
    <row r="156" spans="3:20" x14ac:dyDescent="0.25">
      <c r="C156" s="85">
        <v>603</v>
      </c>
      <c r="D156" s="8">
        <v>152</v>
      </c>
      <c r="E156" s="10">
        <v>603</v>
      </c>
      <c r="F156" s="10">
        <v>3</v>
      </c>
      <c r="G156" s="10">
        <v>1</v>
      </c>
      <c r="H156" s="5" t="str">
        <f t="shared" si="11"/>
        <v>det_603</v>
      </c>
      <c r="I156" s="5" t="str">
        <f t="shared" si="12"/>
        <v>W:\Performance Measurement\1. Freeway\1. raw data\2011\data files\det_603.txt</v>
      </c>
      <c r="J156" s="5" t="str">
        <f t="shared" si="13"/>
        <v>W:\Performance Measurement\1. Freeway\1. raw data\2011\data files\det_603.xlsx</v>
      </c>
      <c r="K156" s="5" t="s">
        <v>82</v>
      </c>
      <c r="L156" s="47">
        <v>152</v>
      </c>
      <c r="M156" s="39" t="s">
        <v>67</v>
      </c>
      <c r="N156" s="10">
        <v>438</v>
      </c>
      <c r="O156" s="10">
        <v>3</v>
      </c>
      <c r="P156" s="10">
        <v>1</v>
      </c>
      <c r="Q156" s="19">
        <v>1</v>
      </c>
      <c r="R156" s="59" t="s">
        <v>119</v>
      </c>
      <c r="S156" s="19">
        <v>1</v>
      </c>
      <c r="T156" s="36"/>
    </row>
    <row r="157" spans="3:20" x14ac:dyDescent="0.25">
      <c r="C157" s="85">
        <v>604</v>
      </c>
      <c r="D157" s="8">
        <v>153</v>
      </c>
      <c r="E157" s="10">
        <v>604</v>
      </c>
      <c r="F157" s="10">
        <v>3</v>
      </c>
      <c r="G157" s="10">
        <v>1</v>
      </c>
      <c r="H157" s="5" t="str">
        <f t="shared" si="11"/>
        <v>det_604</v>
      </c>
      <c r="I157" s="5" t="str">
        <f t="shared" si="12"/>
        <v>W:\Performance Measurement\1. Freeway\1. raw data\2011\data files\det_604.txt</v>
      </c>
      <c r="J157" s="5" t="str">
        <f t="shared" si="13"/>
        <v>W:\Performance Measurement\1. Freeway\1. raw data\2011\data files\det_604.xlsx</v>
      </c>
      <c r="K157" s="5" t="s">
        <v>82</v>
      </c>
      <c r="L157" s="47">
        <v>153</v>
      </c>
      <c r="M157" s="39" t="s">
        <v>67</v>
      </c>
      <c r="N157" s="10">
        <v>439</v>
      </c>
      <c r="O157" s="10">
        <v>3</v>
      </c>
      <c r="P157" s="10">
        <v>1</v>
      </c>
      <c r="Q157" s="56" t="s">
        <v>44</v>
      </c>
      <c r="R157" s="58" t="s">
        <v>184</v>
      </c>
      <c r="S157" s="19">
        <v>1</v>
      </c>
    </row>
    <row r="158" spans="3:20" x14ac:dyDescent="0.25">
      <c r="C158" s="85">
        <v>605</v>
      </c>
      <c r="D158" s="8">
        <v>154</v>
      </c>
      <c r="E158" s="10">
        <v>605</v>
      </c>
      <c r="F158" s="10">
        <v>3</v>
      </c>
      <c r="G158" s="10">
        <v>1</v>
      </c>
      <c r="H158" s="5" t="str">
        <f t="shared" si="11"/>
        <v>det_605</v>
      </c>
      <c r="I158" s="5" t="str">
        <f t="shared" si="12"/>
        <v>W:\Performance Measurement\1. Freeway\1. raw data\2011\data files\det_605.txt</v>
      </c>
      <c r="J158" s="5" t="str">
        <f t="shared" si="13"/>
        <v>W:\Performance Measurement\1. Freeway\1. raw data\2011\data files\det_605.xlsx</v>
      </c>
      <c r="K158" s="5" t="s">
        <v>82</v>
      </c>
      <c r="L158" s="47">
        <v>154</v>
      </c>
      <c r="M158" s="39" t="s">
        <v>67</v>
      </c>
      <c r="N158" s="10">
        <v>494</v>
      </c>
      <c r="O158" s="10">
        <v>4</v>
      </c>
      <c r="P158" s="10">
        <v>1</v>
      </c>
      <c r="Q158" s="19">
        <v>1</v>
      </c>
      <c r="R158" s="58" t="s">
        <v>185</v>
      </c>
      <c r="S158" s="55">
        <v>1</v>
      </c>
      <c r="T158" s="36"/>
    </row>
    <row r="159" spans="3:20" x14ac:dyDescent="0.25">
      <c r="C159" s="85">
        <v>606</v>
      </c>
      <c r="D159" s="8">
        <v>155</v>
      </c>
      <c r="E159" s="10">
        <v>606</v>
      </c>
      <c r="F159" s="10">
        <v>3</v>
      </c>
      <c r="G159" s="10">
        <v>1</v>
      </c>
      <c r="H159" s="5" t="str">
        <f t="shared" si="11"/>
        <v>det_606</v>
      </c>
      <c r="I159" s="5" t="str">
        <f t="shared" si="12"/>
        <v>W:\Performance Measurement\1. Freeway\1. raw data\2011\data files\det_606.txt</v>
      </c>
      <c r="J159" s="5" t="str">
        <f t="shared" si="13"/>
        <v>W:\Performance Measurement\1. Freeway\1. raw data\2011\data files\det_606.xlsx</v>
      </c>
      <c r="K159" s="5" t="s">
        <v>82</v>
      </c>
      <c r="L159" s="47">
        <v>155</v>
      </c>
      <c r="M159" s="39" t="s">
        <v>67</v>
      </c>
      <c r="N159" s="10">
        <v>497</v>
      </c>
      <c r="O159" s="10">
        <v>3</v>
      </c>
      <c r="P159" s="10">
        <v>1</v>
      </c>
      <c r="Q159" s="19">
        <v>1</v>
      </c>
      <c r="R159" s="58" t="s">
        <v>128</v>
      </c>
      <c r="S159" s="55">
        <v>1</v>
      </c>
      <c r="T159" s="36"/>
    </row>
    <row r="160" spans="3:20" x14ac:dyDescent="0.25">
      <c r="D160" s="8">
        <v>156</v>
      </c>
      <c r="E160" s="10"/>
      <c r="F160" s="10"/>
      <c r="G160" s="10"/>
      <c r="H160" s="5" t="str">
        <f t="shared" si="11"/>
        <v>det_</v>
      </c>
      <c r="I160" s="5" t="str">
        <f t="shared" si="12"/>
        <v>W:\Performance Measurement\1. Freeway\1. raw data\2011\data files\det_.txt</v>
      </c>
      <c r="J160" s="5" t="str">
        <f t="shared" si="13"/>
        <v>W:\Performance Measurement\1. Freeway\1. raw data\2011\data files\det_.xlsx</v>
      </c>
      <c r="K160" s="5" t="s">
        <v>82</v>
      </c>
      <c r="L160" s="47">
        <v>156</v>
      </c>
      <c r="M160" s="39" t="s">
        <v>67</v>
      </c>
      <c r="N160" s="10">
        <v>500</v>
      </c>
      <c r="O160" s="10">
        <v>3</v>
      </c>
      <c r="P160" s="10">
        <v>1</v>
      </c>
      <c r="Q160" s="19">
        <v>1</v>
      </c>
      <c r="R160" s="58" t="s">
        <v>119</v>
      </c>
      <c r="S160" s="55">
        <v>1</v>
      </c>
      <c r="T160" s="36"/>
    </row>
    <row r="161" spans="4:20" x14ac:dyDescent="0.25">
      <c r="D161" s="8">
        <v>157</v>
      </c>
      <c r="E161" s="10"/>
      <c r="F161" s="10"/>
      <c r="G161" s="10"/>
      <c r="H161" s="5" t="str">
        <f t="shared" si="11"/>
        <v>det_</v>
      </c>
      <c r="I161" s="5" t="str">
        <f t="shared" si="12"/>
        <v>W:\Performance Measurement\1. Freeway\1. raw data\2011\data files\det_.txt</v>
      </c>
      <c r="J161" s="5" t="str">
        <f t="shared" si="13"/>
        <v>W:\Performance Measurement\1. Freeway\1. raw data\2011\data files\det_.xlsx</v>
      </c>
      <c r="K161" s="5" t="s">
        <v>82</v>
      </c>
      <c r="L161" s="47">
        <v>157</v>
      </c>
      <c r="M161" s="39" t="s">
        <v>67</v>
      </c>
      <c r="N161" s="33">
        <v>502</v>
      </c>
      <c r="O161" s="10">
        <v>3</v>
      </c>
      <c r="P161" s="10">
        <v>1</v>
      </c>
      <c r="Q161" s="19">
        <v>1</v>
      </c>
      <c r="R161" s="8"/>
      <c r="S161" s="55">
        <v>0</v>
      </c>
      <c r="T161" s="36"/>
    </row>
    <row r="162" spans="4:20" x14ac:dyDescent="0.25">
      <c r="D162" s="8">
        <v>158</v>
      </c>
      <c r="E162" s="10"/>
      <c r="F162" s="10"/>
      <c r="G162" s="10"/>
      <c r="H162" s="5" t="str">
        <f t="shared" si="11"/>
        <v>det_</v>
      </c>
      <c r="I162" s="5" t="str">
        <f t="shared" si="12"/>
        <v>W:\Performance Measurement\1. Freeway\1. raw data\2011\data files\det_.txt</v>
      </c>
      <c r="J162" s="5" t="str">
        <f t="shared" si="13"/>
        <v>W:\Performance Measurement\1. Freeway\1. raw data\2011\data files\det_.xlsx</v>
      </c>
      <c r="K162" s="5" t="s">
        <v>82</v>
      </c>
      <c r="L162" s="47">
        <v>158</v>
      </c>
      <c r="M162" s="39" t="s">
        <v>67</v>
      </c>
      <c r="N162" s="10">
        <v>504</v>
      </c>
      <c r="O162" s="10">
        <v>3</v>
      </c>
      <c r="P162" s="10">
        <v>1</v>
      </c>
      <c r="Q162" s="19" t="s">
        <v>44</v>
      </c>
      <c r="R162" s="58" t="s">
        <v>186</v>
      </c>
      <c r="S162" s="55">
        <v>1</v>
      </c>
    </row>
    <row r="163" spans="4:20" x14ac:dyDescent="0.25">
      <c r="D163" s="8">
        <v>159</v>
      </c>
      <c r="E163" s="10"/>
      <c r="F163" s="10"/>
      <c r="G163" s="10"/>
      <c r="H163" s="5" t="str">
        <f t="shared" si="11"/>
        <v>det_</v>
      </c>
      <c r="I163" s="5" t="str">
        <f t="shared" si="12"/>
        <v>W:\Performance Measurement\1. Freeway\1. raw data\2011\data files\det_.txt</v>
      </c>
      <c r="J163" s="5" t="str">
        <f t="shared" si="13"/>
        <v>W:\Performance Measurement\1. Freeway\1. raw data\2011\data files\det_.xlsx</v>
      </c>
      <c r="K163" s="5" t="s">
        <v>82</v>
      </c>
      <c r="L163" s="47">
        <v>159</v>
      </c>
      <c r="M163" s="39" t="s">
        <v>68</v>
      </c>
      <c r="N163" s="10">
        <v>441</v>
      </c>
      <c r="O163" s="10">
        <v>3</v>
      </c>
      <c r="P163" s="10">
        <v>1</v>
      </c>
      <c r="Q163" s="19" t="s">
        <v>44</v>
      </c>
      <c r="R163" s="59" t="s">
        <v>145</v>
      </c>
      <c r="S163" s="55">
        <v>1</v>
      </c>
    </row>
    <row r="164" spans="4:20" x14ac:dyDescent="0.25">
      <c r="D164" s="8">
        <v>160</v>
      </c>
      <c r="E164" s="10"/>
      <c r="F164" s="10"/>
      <c r="G164" s="10"/>
      <c r="H164" s="5" t="str">
        <f t="shared" si="11"/>
        <v>det_</v>
      </c>
      <c r="I164" s="5" t="str">
        <f t="shared" si="12"/>
        <v>W:\Performance Measurement\1. Freeway\1. raw data\2011\data files\det_.txt</v>
      </c>
      <c r="J164" s="5" t="str">
        <f t="shared" si="13"/>
        <v>W:\Performance Measurement\1. Freeway\1. raw data\2011\data files\det_.xlsx</v>
      </c>
      <c r="K164" s="5" t="s">
        <v>82</v>
      </c>
      <c r="L164" s="47">
        <v>160</v>
      </c>
      <c r="M164" s="39" t="s">
        <v>68</v>
      </c>
      <c r="N164" s="10">
        <v>444</v>
      </c>
      <c r="O164" s="10">
        <v>5</v>
      </c>
      <c r="P164" s="10">
        <v>1</v>
      </c>
      <c r="Q164" s="19">
        <v>1</v>
      </c>
      <c r="R164" s="59" t="s">
        <v>146</v>
      </c>
      <c r="S164" s="55">
        <v>1</v>
      </c>
      <c r="T164" s="36"/>
    </row>
    <row r="165" spans="4:20" x14ac:dyDescent="0.25">
      <c r="D165" s="8">
        <v>161</v>
      </c>
      <c r="E165" s="10"/>
      <c r="F165" s="10"/>
      <c r="G165" s="10"/>
      <c r="H165" s="5" t="str">
        <f t="shared" si="11"/>
        <v>det_</v>
      </c>
      <c r="I165" s="5" t="str">
        <f t="shared" si="12"/>
        <v>W:\Performance Measurement\1. Freeway\1. raw data\2011\data files\det_.txt</v>
      </c>
      <c r="J165" s="5" t="str">
        <f t="shared" si="13"/>
        <v>W:\Performance Measurement\1. Freeway\1. raw data\2011\data files\det_.xlsx</v>
      </c>
      <c r="K165" s="5" t="s">
        <v>82</v>
      </c>
      <c r="L165" s="47">
        <v>161</v>
      </c>
      <c r="M165" s="39" t="s">
        <v>68</v>
      </c>
      <c r="N165" s="10">
        <v>447</v>
      </c>
      <c r="O165" s="10">
        <v>5</v>
      </c>
      <c r="P165" s="10">
        <v>1</v>
      </c>
      <c r="Q165" s="19">
        <v>1</v>
      </c>
      <c r="R165" s="63"/>
      <c r="S165" s="55">
        <v>1</v>
      </c>
      <c r="T165" s="36"/>
    </row>
    <row r="166" spans="4:20" x14ac:dyDescent="0.25">
      <c r="D166" s="8">
        <v>162</v>
      </c>
      <c r="E166" s="10"/>
      <c r="F166" s="10"/>
      <c r="G166" s="10"/>
      <c r="H166" s="5" t="str">
        <f t="shared" ref="H166:H229" si="14">"det_"&amp;E166&amp;""</f>
        <v>det_</v>
      </c>
      <c r="I166" s="5" t="str">
        <f t="shared" ref="I166:I229" si="15">$B$5&amp;"\"&amp;H166&amp;".txt"</f>
        <v>W:\Performance Measurement\1. Freeway\1. raw data\2011\data files\det_.txt</v>
      </c>
      <c r="J166" s="5" t="str">
        <f t="shared" ref="J166:J229" si="16">$B$5&amp;"\"&amp;H166&amp;".xlsx"</f>
        <v>W:\Performance Measurement\1. Freeway\1. raw data\2011\data files\det_.xlsx</v>
      </c>
      <c r="K166" s="5" t="s">
        <v>82</v>
      </c>
      <c r="L166" s="47">
        <v>162</v>
      </c>
      <c r="M166" s="39" t="s">
        <v>68</v>
      </c>
      <c r="N166" s="10">
        <v>450</v>
      </c>
      <c r="O166" s="10">
        <v>5</v>
      </c>
      <c r="P166" s="10">
        <v>1</v>
      </c>
      <c r="Q166" s="19">
        <v>1</v>
      </c>
      <c r="R166" s="63"/>
      <c r="S166" s="55">
        <v>1</v>
      </c>
      <c r="T166" s="36"/>
    </row>
    <row r="167" spans="4:20" x14ac:dyDescent="0.25">
      <c r="D167" s="8">
        <v>163</v>
      </c>
      <c r="E167" s="10"/>
      <c r="F167" s="10"/>
      <c r="G167" s="10"/>
      <c r="H167" s="5" t="str">
        <f t="shared" si="14"/>
        <v>det_</v>
      </c>
      <c r="I167" s="5" t="str">
        <f t="shared" si="15"/>
        <v>W:\Performance Measurement\1. Freeway\1. raw data\2011\data files\det_.txt</v>
      </c>
      <c r="J167" s="5" t="str">
        <f t="shared" si="16"/>
        <v>W:\Performance Measurement\1. Freeway\1. raw data\2011\data files\det_.xlsx</v>
      </c>
      <c r="K167" s="5" t="s">
        <v>82</v>
      </c>
      <c r="L167" s="47">
        <v>163</v>
      </c>
      <c r="M167" s="39" t="s">
        <v>68</v>
      </c>
      <c r="N167" s="10">
        <v>453</v>
      </c>
      <c r="O167" s="10">
        <v>5</v>
      </c>
      <c r="P167" s="10">
        <v>1</v>
      </c>
      <c r="Q167" s="19">
        <v>1</v>
      </c>
      <c r="R167" s="63"/>
      <c r="S167" s="55">
        <v>1</v>
      </c>
      <c r="T167" s="36"/>
    </row>
    <row r="168" spans="4:20" x14ac:dyDescent="0.25">
      <c r="D168" s="8">
        <v>164</v>
      </c>
      <c r="E168" s="10"/>
      <c r="F168" s="10"/>
      <c r="G168" s="10"/>
      <c r="H168" s="5" t="str">
        <f t="shared" si="14"/>
        <v>det_</v>
      </c>
      <c r="I168" s="5" t="str">
        <f t="shared" si="15"/>
        <v>W:\Performance Measurement\1. Freeway\1. raw data\2011\data files\det_.txt</v>
      </c>
      <c r="J168" s="5" t="str">
        <f t="shared" si="16"/>
        <v>W:\Performance Measurement\1. Freeway\1. raw data\2011\data files\det_.xlsx</v>
      </c>
      <c r="K168" s="5" t="s">
        <v>82</v>
      </c>
      <c r="L168" s="47">
        <v>164</v>
      </c>
      <c r="M168" s="39" t="s">
        <v>68</v>
      </c>
      <c r="N168" s="10">
        <v>456</v>
      </c>
      <c r="O168" s="10">
        <v>5</v>
      </c>
      <c r="P168" s="10">
        <v>1</v>
      </c>
      <c r="Q168" s="19">
        <v>1</v>
      </c>
      <c r="R168" s="63"/>
      <c r="S168" s="55">
        <v>1</v>
      </c>
      <c r="T168" s="36"/>
    </row>
    <row r="169" spans="4:20" x14ac:dyDescent="0.25">
      <c r="D169" s="8">
        <v>165</v>
      </c>
      <c r="E169" s="10"/>
      <c r="F169" s="10"/>
      <c r="G169" s="10"/>
      <c r="H169" s="5" t="str">
        <f t="shared" si="14"/>
        <v>det_</v>
      </c>
      <c r="I169" s="5" t="str">
        <f t="shared" si="15"/>
        <v>W:\Performance Measurement\1. Freeway\1. raw data\2011\data files\det_.txt</v>
      </c>
      <c r="J169" s="5" t="str">
        <f t="shared" si="16"/>
        <v>W:\Performance Measurement\1. Freeway\1. raw data\2011\data files\det_.xlsx</v>
      </c>
      <c r="K169" s="5" t="s">
        <v>82</v>
      </c>
      <c r="L169" s="47">
        <v>165</v>
      </c>
      <c r="M169" s="39" t="s">
        <v>68</v>
      </c>
      <c r="N169" s="10">
        <v>459</v>
      </c>
      <c r="O169" s="10">
        <v>5</v>
      </c>
      <c r="P169" s="10">
        <v>1</v>
      </c>
      <c r="Q169" s="19">
        <v>1</v>
      </c>
      <c r="R169" s="63"/>
      <c r="S169" s="55">
        <v>1</v>
      </c>
      <c r="T169" s="36"/>
    </row>
    <row r="170" spans="4:20" x14ac:dyDescent="0.25">
      <c r="D170" s="8">
        <v>166</v>
      </c>
      <c r="E170" s="10"/>
      <c r="F170" s="10"/>
      <c r="G170" s="10"/>
      <c r="H170" s="5" t="str">
        <f t="shared" si="14"/>
        <v>det_</v>
      </c>
      <c r="I170" s="5" t="str">
        <f t="shared" si="15"/>
        <v>W:\Performance Measurement\1. Freeway\1. raw data\2011\data files\det_.txt</v>
      </c>
      <c r="J170" s="5" t="str">
        <f t="shared" si="16"/>
        <v>W:\Performance Measurement\1. Freeway\1. raw data\2011\data files\det_.xlsx</v>
      </c>
      <c r="K170" s="5" t="s">
        <v>82</v>
      </c>
      <c r="L170" s="47">
        <v>166</v>
      </c>
      <c r="M170" s="39" t="s">
        <v>68</v>
      </c>
      <c r="N170" s="10">
        <v>462</v>
      </c>
      <c r="O170" s="10">
        <v>5</v>
      </c>
      <c r="P170" s="10">
        <v>1</v>
      </c>
      <c r="Q170" s="19">
        <v>1</v>
      </c>
      <c r="R170" s="59" t="s">
        <v>147</v>
      </c>
      <c r="S170" s="55">
        <v>1</v>
      </c>
      <c r="T170" s="36"/>
    </row>
    <row r="171" spans="4:20" x14ac:dyDescent="0.25">
      <c r="D171" s="8">
        <v>167</v>
      </c>
      <c r="E171" s="10"/>
      <c r="F171" s="10"/>
      <c r="G171" s="10"/>
      <c r="H171" s="5" t="str">
        <f t="shared" si="14"/>
        <v>det_</v>
      </c>
      <c r="I171" s="5" t="str">
        <f t="shared" si="15"/>
        <v>W:\Performance Measurement\1. Freeway\1. raw data\2011\data files\det_.txt</v>
      </c>
      <c r="J171" s="5" t="str">
        <f t="shared" si="16"/>
        <v>W:\Performance Measurement\1. Freeway\1. raw data\2011\data files\det_.xlsx</v>
      </c>
      <c r="K171" s="5" t="s">
        <v>82</v>
      </c>
      <c r="L171" s="47">
        <v>167</v>
      </c>
      <c r="M171" s="39" t="s">
        <v>68</v>
      </c>
      <c r="N171" s="10">
        <v>467</v>
      </c>
      <c r="O171" s="10">
        <v>5</v>
      </c>
      <c r="P171" s="10">
        <v>1</v>
      </c>
      <c r="Q171" s="19">
        <v>1</v>
      </c>
      <c r="R171" s="59" t="s">
        <v>148</v>
      </c>
      <c r="S171" s="55">
        <v>1</v>
      </c>
      <c r="T171" s="36"/>
    </row>
    <row r="172" spans="4:20" x14ac:dyDescent="0.25">
      <c r="D172" s="8">
        <v>168</v>
      </c>
      <c r="E172" s="10"/>
      <c r="F172" s="10"/>
      <c r="G172" s="10"/>
      <c r="H172" s="5" t="str">
        <f t="shared" si="14"/>
        <v>det_</v>
      </c>
      <c r="I172" s="5" t="str">
        <f t="shared" si="15"/>
        <v>W:\Performance Measurement\1. Freeway\1. raw data\2011\data files\det_.txt</v>
      </c>
      <c r="J172" s="5" t="str">
        <f t="shared" si="16"/>
        <v>W:\Performance Measurement\1. Freeway\1. raw data\2011\data files\det_.xlsx</v>
      </c>
      <c r="K172" s="5" t="s">
        <v>82</v>
      </c>
      <c r="L172" s="47">
        <v>168</v>
      </c>
      <c r="M172" s="39" t="s">
        <v>68</v>
      </c>
      <c r="N172" s="10">
        <v>470</v>
      </c>
      <c r="O172" s="10">
        <v>5</v>
      </c>
      <c r="P172" s="10">
        <v>1</v>
      </c>
      <c r="Q172" s="19">
        <v>1</v>
      </c>
      <c r="R172" s="59" t="s">
        <v>148</v>
      </c>
      <c r="S172" s="55">
        <v>1</v>
      </c>
      <c r="T172" s="36"/>
    </row>
    <row r="173" spans="4:20" x14ac:dyDescent="0.25">
      <c r="D173" s="8">
        <v>169</v>
      </c>
      <c r="E173" s="10"/>
      <c r="F173" s="10"/>
      <c r="G173" s="10"/>
      <c r="H173" s="5" t="str">
        <f t="shared" si="14"/>
        <v>det_</v>
      </c>
      <c r="I173" s="5" t="str">
        <f t="shared" si="15"/>
        <v>W:\Performance Measurement\1. Freeway\1. raw data\2011\data files\det_.txt</v>
      </c>
      <c r="J173" s="5" t="str">
        <f t="shared" si="16"/>
        <v>W:\Performance Measurement\1. Freeway\1. raw data\2011\data files\det_.xlsx</v>
      </c>
      <c r="K173" s="5" t="s">
        <v>82</v>
      </c>
      <c r="L173" s="47">
        <v>169</v>
      </c>
      <c r="M173" s="39" t="s">
        <v>68</v>
      </c>
      <c r="N173" s="10">
        <v>473</v>
      </c>
      <c r="O173" s="10">
        <v>5</v>
      </c>
      <c r="P173" s="10">
        <v>1</v>
      </c>
      <c r="Q173" s="19">
        <v>1</v>
      </c>
      <c r="R173" s="59" t="s">
        <v>148</v>
      </c>
      <c r="S173" s="55">
        <v>1</v>
      </c>
      <c r="T173" s="36"/>
    </row>
    <row r="174" spans="4:20" x14ac:dyDescent="0.25">
      <c r="D174" s="8">
        <v>170</v>
      </c>
      <c r="E174" s="10"/>
      <c r="F174" s="10"/>
      <c r="G174" s="10"/>
      <c r="H174" s="5" t="str">
        <f t="shared" si="14"/>
        <v>det_</v>
      </c>
      <c r="I174" s="5" t="str">
        <f t="shared" si="15"/>
        <v>W:\Performance Measurement\1. Freeway\1. raw data\2011\data files\det_.txt</v>
      </c>
      <c r="J174" s="5" t="str">
        <f t="shared" si="16"/>
        <v>W:\Performance Measurement\1. Freeway\1. raw data\2011\data files\det_.xlsx</v>
      </c>
      <c r="K174" s="5" t="s">
        <v>82</v>
      </c>
      <c r="L174" s="47">
        <v>170</v>
      </c>
      <c r="M174" s="39" t="s">
        <v>68</v>
      </c>
      <c r="N174" s="10">
        <v>476</v>
      </c>
      <c r="O174" s="10">
        <v>5</v>
      </c>
      <c r="P174" s="10">
        <v>1</v>
      </c>
      <c r="Q174" s="19">
        <v>1</v>
      </c>
      <c r="R174" s="59" t="s">
        <v>148</v>
      </c>
      <c r="S174" s="55">
        <v>1</v>
      </c>
      <c r="T174" s="36"/>
    </row>
    <row r="175" spans="4:20" x14ac:dyDescent="0.25">
      <c r="D175" s="8">
        <v>171</v>
      </c>
      <c r="E175" s="10"/>
      <c r="F175" s="10"/>
      <c r="G175" s="10"/>
      <c r="H175" s="5" t="str">
        <f t="shared" si="14"/>
        <v>det_</v>
      </c>
      <c r="I175" s="5" t="str">
        <f t="shared" si="15"/>
        <v>W:\Performance Measurement\1. Freeway\1. raw data\2011\data files\det_.txt</v>
      </c>
      <c r="J175" s="5" t="str">
        <f t="shared" si="16"/>
        <v>W:\Performance Measurement\1. Freeway\1. raw data\2011\data files\det_.xlsx</v>
      </c>
      <c r="K175" s="5" t="s">
        <v>82</v>
      </c>
      <c r="L175" s="47">
        <v>171</v>
      </c>
      <c r="M175" s="39" t="s">
        <v>68</v>
      </c>
      <c r="N175" s="10">
        <v>479</v>
      </c>
      <c r="O175" s="10">
        <v>5</v>
      </c>
      <c r="P175" s="10">
        <v>1</v>
      </c>
      <c r="Q175" s="19">
        <v>1</v>
      </c>
      <c r="R175" s="59" t="s">
        <v>149</v>
      </c>
      <c r="S175" s="55">
        <v>1</v>
      </c>
      <c r="T175" s="36"/>
    </row>
    <row r="176" spans="4:20" x14ac:dyDescent="0.25">
      <c r="D176" s="8">
        <v>172</v>
      </c>
      <c r="E176" s="10"/>
      <c r="F176" s="10"/>
      <c r="G176" s="10"/>
      <c r="H176" s="5" t="str">
        <f t="shared" si="14"/>
        <v>det_</v>
      </c>
      <c r="I176" s="5" t="str">
        <f t="shared" si="15"/>
        <v>W:\Performance Measurement\1. Freeway\1. raw data\2011\data files\det_.txt</v>
      </c>
      <c r="J176" s="5" t="str">
        <f t="shared" si="16"/>
        <v>W:\Performance Measurement\1. Freeway\1. raw data\2011\data files\det_.xlsx</v>
      </c>
      <c r="K176" s="5" t="s">
        <v>82</v>
      </c>
      <c r="L176" s="47">
        <v>172</v>
      </c>
      <c r="M176" s="39" t="s">
        <v>68</v>
      </c>
      <c r="N176" s="10">
        <v>482</v>
      </c>
      <c r="O176" s="10">
        <v>5</v>
      </c>
      <c r="P176" s="10">
        <v>1</v>
      </c>
      <c r="Q176" s="19">
        <v>1</v>
      </c>
      <c r="R176" s="59" t="s">
        <v>149</v>
      </c>
      <c r="S176" s="55">
        <v>1</v>
      </c>
      <c r="T176" s="36"/>
    </row>
    <row r="177" spans="4:20" x14ac:dyDescent="0.25">
      <c r="D177" s="8">
        <v>173</v>
      </c>
      <c r="E177" s="10"/>
      <c r="F177" s="10"/>
      <c r="G177" s="10"/>
      <c r="H177" s="5" t="str">
        <f t="shared" si="14"/>
        <v>det_</v>
      </c>
      <c r="I177" s="5" t="str">
        <f t="shared" si="15"/>
        <v>W:\Performance Measurement\1. Freeway\1. raw data\2011\data files\det_.txt</v>
      </c>
      <c r="J177" s="5" t="str">
        <f t="shared" si="16"/>
        <v>W:\Performance Measurement\1. Freeway\1. raw data\2011\data files\det_.xlsx</v>
      </c>
      <c r="K177" s="5" t="s">
        <v>82</v>
      </c>
      <c r="L177" s="47">
        <v>173</v>
      </c>
      <c r="M177" s="39" t="s">
        <v>68</v>
      </c>
      <c r="N177" s="10">
        <v>485</v>
      </c>
      <c r="O177" s="10">
        <v>5</v>
      </c>
      <c r="P177" s="10">
        <v>1</v>
      </c>
      <c r="Q177" s="19">
        <v>1</v>
      </c>
      <c r="R177" s="59" t="s">
        <v>149</v>
      </c>
      <c r="S177" s="55">
        <v>1</v>
      </c>
      <c r="T177" s="36"/>
    </row>
    <row r="178" spans="4:20" x14ac:dyDescent="0.25">
      <c r="D178" s="8">
        <v>174</v>
      </c>
      <c r="E178" s="10"/>
      <c r="F178" s="10"/>
      <c r="G178" s="10"/>
      <c r="H178" s="5" t="str">
        <f t="shared" si="14"/>
        <v>det_</v>
      </c>
      <c r="I178" s="5" t="str">
        <f t="shared" si="15"/>
        <v>W:\Performance Measurement\1. Freeway\1. raw data\2011\data files\det_.txt</v>
      </c>
      <c r="J178" s="5" t="str">
        <f t="shared" si="16"/>
        <v>W:\Performance Measurement\1. Freeway\1. raw data\2011\data files\det_.xlsx</v>
      </c>
      <c r="K178" s="5" t="s">
        <v>82</v>
      </c>
      <c r="L178" s="47">
        <v>174</v>
      </c>
      <c r="M178" s="39" t="s">
        <v>68</v>
      </c>
      <c r="N178" s="10">
        <v>488</v>
      </c>
      <c r="O178" s="10">
        <v>3</v>
      </c>
      <c r="P178" s="10">
        <v>1</v>
      </c>
      <c r="Q178" s="19">
        <v>1</v>
      </c>
      <c r="R178" s="59" t="s">
        <v>114</v>
      </c>
      <c r="S178" s="55">
        <v>1</v>
      </c>
      <c r="T178" s="36"/>
    </row>
    <row r="179" spans="4:20" x14ac:dyDescent="0.25">
      <c r="D179" s="8">
        <v>175</v>
      </c>
      <c r="E179" s="10"/>
      <c r="F179" s="10"/>
      <c r="G179" s="10"/>
      <c r="H179" s="5" t="str">
        <f t="shared" si="14"/>
        <v>det_</v>
      </c>
      <c r="I179" s="5" t="str">
        <f t="shared" si="15"/>
        <v>W:\Performance Measurement\1. Freeway\1. raw data\2011\data files\det_.txt</v>
      </c>
      <c r="J179" s="5" t="str">
        <f t="shared" si="16"/>
        <v>W:\Performance Measurement\1. Freeway\1. raw data\2011\data files\det_.xlsx</v>
      </c>
      <c r="K179" s="5" t="s">
        <v>82</v>
      </c>
      <c r="L179" s="47">
        <v>175</v>
      </c>
      <c r="M179" s="39" t="s">
        <v>68</v>
      </c>
      <c r="N179" s="10">
        <v>490</v>
      </c>
      <c r="O179" s="10">
        <v>3</v>
      </c>
      <c r="P179" s="10">
        <v>1</v>
      </c>
      <c r="Q179" s="19" t="s">
        <v>44</v>
      </c>
      <c r="R179" s="59" t="s">
        <v>150</v>
      </c>
      <c r="S179" s="55">
        <v>1</v>
      </c>
    </row>
    <row r="180" spans="4:20" x14ac:dyDescent="0.25">
      <c r="D180" s="8">
        <v>176</v>
      </c>
      <c r="E180" s="10"/>
      <c r="F180" s="10"/>
      <c r="G180" s="10"/>
      <c r="H180" s="5" t="str">
        <f t="shared" si="14"/>
        <v>det_</v>
      </c>
      <c r="I180" s="5" t="str">
        <f t="shared" si="15"/>
        <v>W:\Performance Measurement\1. Freeway\1. raw data\2011\data files\det_.txt</v>
      </c>
      <c r="J180" s="5" t="str">
        <f t="shared" si="16"/>
        <v>W:\Performance Measurement\1. Freeway\1. raw data\2011\data files\det_.xlsx</v>
      </c>
      <c r="K180" s="5" t="s">
        <v>82</v>
      </c>
      <c r="L180" s="47">
        <v>176</v>
      </c>
      <c r="M180" s="39" t="s">
        <v>69</v>
      </c>
      <c r="N180" s="10">
        <v>465</v>
      </c>
      <c r="O180" s="10">
        <v>5</v>
      </c>
      <c r="P180" s="10">
        <v>1</v>
      </c>
      <c r="Q180" s="19">
        <v>1</v>
      </c>
      <c r="R180" s="59"/>
      <c r="S180" s="64">
        <v>1</v>
      </c>
      <c r="T180" s="36"/>
    </row>
    <row r="181" spans="4:20" x14ac:dyDescent="0.25">
      <c r="D181" s="8">
        <v>177</v>
      </c>
      <c r="E181" s="10"/>
      <c r="F181" s="10"/>
      <c r="G181" s="10"/>
      <c r="H181" s="5" t="str">
        <f t="shared" si="14"/>
        <v>det_</v>
      </c>
      <c r="I181" s="5" t="str">
        <f t="shared" si="15"/>
        <v>W:\Performance Measurement\1. Freeway\1. raw data\2011\data files\det_.txt</v>
      </c>
      <c r="J181" s="5" t="str">
        <f t="shared" si="16"/>
        <v>W:\Performance Measurement\1. Freeway\1. raw data\2011\data files\det_.xlsx</v>
      </c>
      <c r="K181" s="5" t="s">
        <v>82</v>
      </c>
      <c r="L181" s="47">
        <v>177</v>
      </c>
      <c r="M181" s="39" t="s">
        <v>69</v>
      </c>
      <c r="N181" s="10">
        <v>520</v>
      </c>
      <c r="O181" s="10">
        <v>5</v>
      </c>
      <c r="P181" s="10">
        <v>1</v>
      </c>
      <c r="Q181" s="19">
        <v>1</v>
      </c>
      <c r="R181" s="59"/>
      <c r="S181" s="64">
        <v>1</v>
      </c>
      <c r="T181" s="36"/>
    </row>
    <row r="182" spans="4:20" x14ac:dyDescent="0.25">
      <c r="D182" s="8">
        <v>178</v>
      </c>
      <c r="E182" s="10"/>
      <c r="F182" s="10"/>
      <c r="G182" s="10"/>
      <c r="H182" s="5" t="str">
        <f t="shared" si="14"/>
        <v>det_</v>
      </c>
      <c r="I182" s="5" t="str">
        <f t="shared" si="15"/>
        <v>W:\Performance Measurement\1. Freeway\1. raw data\2011\data files\det_.txt</v>
      </c>
      <c r="J182" s="5" t="str">
        <f t="shared" si="16"/>
        <v>W:\Performance Measurement\1. Freeway\1. raw data\2011\data files\det_.xlsx</v>
      </c>
      <c r="K182" s="5" t="s">
        <v>82</v>
      </c>
      <c r="L182" s="47">
        <v>178</v>
      </c>
      <c r="M182" s="39" t="s">
        <v>69</v>
      </c>
      <c r="N182" s="10">
        <v>521</v>
      </c>
      <c r="O182" s="10">
        <v>5</v>
      </c>
      <c r="P182" s="10">
        <v>1</v>
      </c>
      <c r="Q182" s="19">
        <v>1</v>
      </c>
      <c r="R182" s="59"/>
      <c r="S182" s="64">
        <v>1</v>
      </c>
      <c r="T182" s="36"/>
    </row>
    <row r="183" spans="4:20" x14ac:dyDescent="0.25">
      <c r="D183" s="8">
        <v>179</v>
      </c>
      <c r="E183" s="10"/>
      <c r="F183" s="10"/>
      <c r="G183" s="10"/>
      <c r="H183" s="5" t="str">
        <f t="shared" si="14"/>
        <v>det_</v>
      </c>
      <c r="I183" s="5" t="str">
        <f t="shared" si="15"/>
        <v>W:\Performance Measurement\1. Freeway\1. raw data\2011\data files\det_.txt</v>
      </c>
      <c r="J183" s="5" t="str">
        <f t="shared" si="16"/>
        <v>W:\Performance Measurement\1. Freeway\1. raw data\2011\data files\det_.xlsx</v>
      </c>
      <c r="K183" s="5" t="s">
        <v>82</v>
      </c>
      <c r="L183" s="47">
        <v>179</v>
      </c>
      <c r="M183" s="39" t="s">
        <v>69</v>
      </c>
      <c r="N183" s="10">
        <v>522</v>
      </c>
      <c r="O183" s="10">
        <v>5</v>
      </c>
      <c r="P183" s="10">
        <v>1</v>
      </c>
      <c r="Q183" s="19">
        <v>1</v>
      </c>
      <c r="R183" s="59" t="s">
        <v>151</v>
      </c>
      <c r="S183" s="65">
        <v>0</v>
      </c>
      <c r="T183" s="36"/>
    </row>
    <row r="184" spans="4:20" x14ac:dyDescent="0.25">
      <c r="D184" s="8">
        <v>180</v>
      </c>
      <c r="E184" s="10"/>
      <c r="F184" s="10"/>
      <c r="G184" s="10"/>
      <c r="H184" s="5" t="str">
        <f t="shared" si="14"/>
        <v>det_</v>
      </c>
      <c r="I184" s="5" t="str">
        <f t="shared" si="15"/>
        <v>W:\Performance Measurement\1. Freeway\1. raw data\2011\data files\det_.txt</v>
      </c>
      <c r="J184" s="5" t="str">
        <f t="shared" si="16"/>
        <v>W:\Performance Measurement\1. Freeway\1. raw data\2011\data files\det_.xlsx</v>
      </c>
      <c r="K184" s="5" t="s">
        <v>82</v>
      </c>
      <c r="L184" s="47">
        <v>180</v>
      </c>
      <c r="M184" s="39" t="s">
        <v>69</v>
      </c>
      <c r="N184" s="10">
        <v>523</v>
      </c>
      <c r="O184" s="10">
        <v>5</v>
      </c>
      <c r="P184" s="10">
        <v>1</v>
      </c>
      <c r="Q184" s="19">
        <v>1</v>
      </c>
      <c r="R184" s="59" t="s">
        <v>152</v>
      </c>
      <c r="S184" s="64">
        <v>1</v>
      </c>
      <c r="T184" s="36"/>
    </row>
    <row r="185" spans="4:20" x14ac:dyDescent="0.25">
      <c r="D185" s="8">
        <v>181</v>
      </c>
      <c r="E185" s="10"/>
      <c r="F185" s="10"/>
      <c r="G185" s="10"/>
      <c r="H185" s="5" t="str">
        <f t="shared" si="14"/>
        <v>det_</v>
      </c>
      <c r="I185" s="5" t="str">
        <f t="shared" si="15"/>
        <v>W:\Performance Measurement\1. Freeway\1. raw data\2011\data files\det_.txt</v>
      </c>
      <c r="J185" s="5" t="str">
        <f t="shared" si="16"/>
        <v>W:\Performance Measurement\1. Freeway\1. raw data\2011\data files\det_.xlsx</v>
      </c>
      <c r="K185" s="5" t="s">
        <v>82</v>
      </c>
      <c r="L185" s="47">
        <v>181</v>
      </c>
      <c r="M185" s="39" t="s">
        <v>69</v>
      </c>
      <c r="N185" s="10">
        <v>524</v>
      </c>
      <c r="O185" s="10">
        <v>5</v>
      </c>
      <c r="P185" s="10">
        <v>1</v>
      </c>
      <c r="Q185" s="19">
        <v>1</v>
      </c>
      <c r="R185" s="59" t="s">
        <v>153</v>
      </c>
      <c r="S185" s="64">
        <v>1</v>
      </c>
      <c r="T185" s="36"/>
    </row>
    <row r="186" spans="4:20" x14ac:dyDescent="0.25">
      <c r="D186" s="8">
        <v>182</v>
      </c>
      <c r="E186" s="10"/>
      <c r="F186" s="10"/>
      <c r="G186" s="10"/>
      <c r="H186" s="5" t="str">
        <f t="shared" si="14"/>
        <v>det_</v>
      </c>
      <c r="I186" s="5" t="str">
        <f t="shared" si="15"/>
        <v>W:\Performance Measurement\1. Freeway\1. raw data\2011\data files\det_.txt</v>
      </c>
      <c r="J186" s="5" t="str">
        <f t="shared" si="16"/>
        <v>W:\Performance Measurement\1. Freeway\1. raw data\2011\data files\det_.xlsx</v>
      </c>
      <c r="K186" s="5" t="s">
        <v>82</v>
      </c>
      <c r="L186" s="47">
        <v>182</v>
      </c>
      <c r="M186" s="39" t="s">
        <v>69</v>
      </c>
      <c r="N186" s="10">
        <v>525</v>
      </c>
      <c r="O186" s="10">
        <v>4</v>
      </c>
      <c r="P186" s="10">
        <v>1</v>
      </c>
      <c r="Q186" s="19">
        <v>1</v>
      </c>
      <c r="R186" s="59" t="s">
        <v>153</v>
      </c>
      <c r="S186" s="64">
        <v>1</v>
      </c>
      <c r="T186" s="36"/>
    </row>
    <row r="187" spans="4:20" x14ac:dyDescent="0.25">
      <c r="D187" s="8">
        <v>183</v>
      </c>
      <c r="E187" s="10"/>
      <c r="F187" s="10"/>
      <c r="G187" s="10"/>
      <c r="H187" s="5" t="str">
        <f t="shared" si="14"/>
        <v>det_</v>
      </c>
      <c r="I187" s="5" t="str">
        <f t="shared" si="15"/>
        <v>W:\Performance Measurement\1. Freeway\1. raw data\2011\data files\det_.txt</v>
      </c>
      <c r="J187" s="5" t="str">
        <f t="shared" si="16"/>
        <v>W:\Performance Measurement\1. Freeway\1. raw data\2011\data files\det_.xlsx</v>
      </c>
      <c r="K187" s="5" t="s">
        <v>82</v>
      </c>
      <c r="L187" s="47">
        <v>183</v>
      </c>
      <c r="M187" s="39" t="s">
        <v>69</v>
      </c>
      <c r="N187" s="10">
        <v>526</v>
      </c>
      <c r="O187" s="10">
        <v>3</v>
      </c>
      <c r="P187" s="10">
        <v>1</v>
      </c>
      <c r="Q187" s="19" t="s">
        <v>44</v>
      </c>
      <c r="R187" s="59" t="s">
        <v>153</v>
      </c>
      <c r="S187" s="64">
        <v>1</v>
      </c>
    </row>
    <row r="188" spans="4:20" x14ac:dyDescent="0.25">
      <c r="D188" s="8">
        <v>184</v>
      </c>
      <c r="E188" s="10"/>
      <c r="F188" s="10"/>
      <c r="G188" s="10"/>
      <c r="H188" s="5" t="str">
        <f t="shared" si="14"/>
        <v>det_</v>
      </c>
      <c r="I188" s="5" t="str">
        <f t="shared" si="15"/>
        <v>W:\Performance Measurement\1. Freeway\1. raw data\2011\data files\det_.txt</v>
      </c>
      <c r="J188" s="5" t="str">
        <f t="shared" si="16"/>
        <v>W:\Performance Measurement\1. Freeway\1. raw data\2011\data files\det_.xlsx</v>
      </c>
      <c r="K188" s="5" t="s">
        <v>82</v>
      </c>
      <c r="L188" s="47">
        <v>184</v>
      </c>
      <c r="M188" s="39" t="s">
        <v>69</v>
      </c>
      <c r="N188" s="10">
        <v>532</v>
      </c>
      <c r="O188" s="10">
        <v>4</v>
      </c>
      <c r="P188" s="10">
        <v>1</v>
      </c>
      <c r="Q188" s="19" t="s">
        <v>43</v>
      </c>
      <c r="R188" s="59" t="s">
        <v>160</v>
      </c>
      <c r="S188" s="57">
        <v>1</v>
      </c>
    </row>
    <row r="189" spans="4:20" x14ac:dyDescent="0.25">
      <c r="D189" s="8">
        <v>185</v>
      </c>
      <c r="E189" s="10"/>
      <c r="F189" s="10"/>
      <c r="G189" s="10"/>
      <c r="H189" s="5" t="str">
        <f t="shared" si="14"/>
        <v>det_</v>
      </c>
      <c r="I189" s="5" t="str">
        <f t="shared" si="15"/>
        <v>W:\Performance Measurement\1. Freeway\1. raw data\2011\data files\det_.txt</v>
      </c>
      <c r="J189" s="5" t="str">
        <f t="shared" si="16"/>
        <v>W:\Performance Measurement\1. Freeway\1. raw data\2011\data files\det_.xlsx</v>
      </c>
      <c r="K189" s="5" t="s">
        <v>82</v>
      </c>
      <c r="L189" s="47">
        <v>185</v>
      </c>
      <c r="M189" s="39" t="s">
        <v>69</v>
      </c>
      <c r="N189" s="10">
        <v>533</v>
      </c>
      <c r="O189" s="10">
        <v>7</v>
      </c>
      <c r="P189" s="10">
        <v>1</v>
      </c>
      <c r="Q189" s="19">
        <v>1</v>
      </c>
      <c r="R189" s="59" t="s">
        <v>161</v>
      </c>
      <c r="S189" s="57">
        <v>1</v>
      </c>
      <c r="T189" s="36"/>
    </row>
    <row r="190" spans="4:20" x14ac:dyDescent="0.25">
      <c r="D190" s="8">
        <v>186</v>
      </c>
      <c r="E190" s="10"/>
      <c r="F190" s="10"/>
      <c r="G190" s="10"/>
      <c r="H190" s="5" t="str">
        <f t="shared" si="14"/>
        <v>det_</v>
      </c>
      <c r="I190" s="5" t="str">
        <f t="shared" si="15"/>
        <v>W:\Performance Measurement\1. Freeway\1. raw data\2011\data files\det_.txt</v>
      </c>
      <c r="J190" s="5" t="str">
        <f t="shared" si="16"/>
        <v>W:\Performance Measurement\1. Freeway\1. raw data\2011\data files\det_.xlsx</v>
      </c>
      <c r="K190" s="5" t="s">
        <v>82</v>
      </c>
      <c r="L190" s="47">
        <v>186</v>
      </c>
      <c r="M190" s="39" t="s">
        <v>69</v>
      </c>
      <c r="N190" s="10">
        <v>534</v>
      </c>
      <c r="O190" s="10">
        <v>5</v>
      </c>
      <c r="P190" s="10">
        <v>1</v>
      </c>
      <c r="Q190" s="19">
        <v>1</v>
      </c>
      <c r="R190" s="59" t="s">
        <v>160</v>
      </c>
      <c r="S190" s="57">
        <v>1</v>
      </c>
      <c r="T190" s="36"/>
    </row>
    <row r="191" spans="4:20" x14ac:dyDescent="0.25">
      <c r="D191" s="8">
        <v>187</v>
      </c>
      <c r="E191" s="10"/>
      <c r="F191" s="10"/>
      <c r="G191" s="10"/>
      <c r="H191" s="5" t="str">
        <f t="shared" si="14"/>
        <v>det_</v>
      </c>
      <c r="I191" s="5" t="str">
        <f t="shared" si="15"/>
        <v>W:\Performance Measurement\1. Freeway\1. raw data\2011\data files\det_.txt</v>
      </c>
      <c r="J191" s="5" t="str">
        <f t="shared" si="16"/>
        <v>W:\Performance Measurement\1. Freeway\1. raw data\2011\data files\det_.xlsx</v>
      </c>
      <c r="K191" s="5" t="s">
        <v>82</v>
      </c>
      <c r="L191" s="47">
        <v>187</v>
      </c>
      <c r="M191" s="39" t="s">
        <v>69</v>
      </c>
      <c r="N191" s="10">
        <v>535</v>
      </c>
      <c r="O191" s="10">
        <v>5</v>
      </c>
      <c r="P191" s="10">
        <v>1</v>
      </c>
      <c r="Q191" s="19">
        <v>1</v>
      </c>
      <c r="R191" s="59" t="s">
        <v>162</v>
      </c>
      <c r="S191" s="57">
        <v>1</v>
      </c>
      <c r="T191" s="36"/>
    </row>
    <row r="192" spans="4:20" x14ac:dyDescent="0.25">
      <c r="D192" s="8">
        <v>188</v>
      </c>
      <c r="E192" s="10"/>
      <c r="F192" s="10"/>
      <c r="G192" s="10"/>
      <c r="H192" s="5" t="str">
        <f t="shared" si="14"/>
        <v>det_</v>
      </c>
      <c r="I192" s="5" t="str">
        <f t="shared" si="15"/>
        <v>W:\Performance Measurement\1. Freeway\1. raw data\2011\data files\det_.txt</v>
      </c>
      <c r="J192" s="5" t="str">
        <f t="shared" si="16"/>
        <v>W:\Performance Measurement\1. Freeway\1. raw data\2011\data files\det_.xlsx</v>
      </c>
      <c r="K192" s="5" t="s">
        <v>82</v>
      </c>
      <c r="L192" s="47">
        <v>188</v>
      </c>
      <c r="M192" s="39" t="s">
        <v>69</v>
      </c>
      <c r="N192" s="10">
        <v>536</v>
      </c>
      <c r="O192" s="10">
        <v>5</v>
      </c>
      <c r="P192" s="10">
        <v>1</v>
      </c>
      <c r="Q192" s="19">
        <v>1</v>
      </c>
      <c r="R192" s="59" t="s">
        <v>162</v>
      </c>
      <c r="S192" s="57">
        <v>1</v>
      </c>
      <c r="T192" s="36"/>
    </row>
    <row r="193" spans="4:20" x14ac:dyDescent="0.25">
      <c r="D193" s="8">
        <v>189</v>
      </c>
      <c r="E193" s="10"/>
      <c r="F193" s="10"/>
      <c r="G193" s="10"/>
      <c r="H193" s="5" t="str">
        <f t="shared" si="14"/>
        <v>det_</v>
      </c>
      <c r="I193" s="5" t="str">
        <f t="shared" si="15"/>
        <v>W:\Performance Measurement\1. Freeway\1. raw data\2011\data files\det_.txt</v>
      </c>
      <c r="J193" s="5" t="str">
        <f t="shared" si="16"/>
        <v>W:\Performance Measurement\1. Freeway\1. raw data\2011\data files\det_.xlsx</v>
      </c>
      <c r="K193" s="5" t="s">
        <v>82</v>
      </c>
      <c r="L193" s="47">
        <v>189</v>
      </c>
      <c r="M193" s="39" t="s">
        <v>69</v>
      </c>
      <c r="N193" s="33">
        <v>537</v>
      </c>
      <c r="O193" s="10">
        <v>5</v>
      </c>
      <c r="P193" s="10">
        <v>1</v>
      </c>
      <c r="Q193" s="19">
        <v>1</v>
      </c>
      <c r="R193" s="59" t="s">
        <v>163</v>
      </c>
      <c r="S193" s="57">
        <v>0</v>
      </c>
      <c r="T193" s="36"/>
    </row>
    <row r="194" spans="4:20" x14ac:dyDescent="0.25">
      <c r="D194" s="8">
        <v>190</v>
      </c>
      <c r="E194" s="10"/>
      <c r="F194" s="10"/>
      <c r="G194" s="10"/>
      <c r="H194" s="5" t="str">
        <f t="shared" si="14"/>
        <v>det_</v>
      </c>
      <c r="I194" s="5" t="str">
        <f t="shared" si="15"/>
        <v>W:\Performance Measurement\1. Freeway\1. raw data\2011\data files\det_.txt</v>
      </c>
      <c r="J194" s="5" t="str">
        <f t="shared" si="16"/>
        <v>W:\Performance Measurement\1. Freeway\1. raw data\2011\data files\det_.xlsx</v>
      </c>
      <c r="K194" s="5" t="s">
        <v>82</v>
      </c>
      <c r="L194" s="47">
        <v>190</v>
      </c>
      <c r="M194" s="39" t="s">
        <v>69</v>
      </c>
      <c r="N194" s="10">
        <v>538</v>
      </c>
      <c r="O194" s="10">
        <v>5</v>
      </c>
      <c r="P194" s="10">
        <v>1</v>
      </c>
      <c r="Q194" s="19">
        <v>1</v>
      </c>
      <c r="R194" s="59" t="s">
        <v>160</v>
      </c>
      <c r="S194" s="57">
        <v>1</v>
      </c>
      <c r="T194" s="36"/>
    </row>
    <row r="195" spans="4:20" x14ac:dyDescent="0.25">
      <c r="D195" s="8">
        <v>191</v>
      </c>
      <c r="E195" s="10"/>
      <c r="F195" s="10"/>
      <c r="G195" s="10"/>
      <c r="H195" s="5" t="str">
        <f t="shared" si="14"/>
        <v>det_</v>
      </c>
      <c r="I195" s="5" t="str">
        <f t="shared" si="15"/>
        <v>W:\Performance Measurement\1. Freeway\1. raw data\2011\data files\det_.txt</v>
      </c>
      <c r="J195" s="5" t="str">
        <f t="shared" si="16"/>
        <v>W:\Performance Measurement\1. Freeway\1. raw data\2011\data files\det_.xlsx</v>
      </c>
      <c r="K195" s="5" t="s">
        <v>82</v>
      </c>
      <c r="L195" s="47">
        <v>191</v>
      </c>
      <c r="M195" s="39" t="s">
        <v>70</v>
      </c>
      <c r="N195" s="10">
        <v>178</v>
      </c>
      <c r="O195" s="10">
        <v>3</v>
      </c>
      <c r="P195" s="10">
        <v>0</v>
      </c>
      <c r="Q195" s="19">
        <v>13</v>
      </c>
      <c r="R195" s="60" t="s">
        <v>154</v>
      </c>
      <c r="S195" s="57">
        <v>1</v>
      </c>
    </row>
    <row r="196" spans="4:20" x14ac:dyDescent="0.25">
      <c r="D196" s="8">
        <v>192</v>
      </c>
      <c r="E196" s="10"/>
      <c r="F196" s="10"/>
      <c r="G196" s="10"/>
      <c r="H196" s="5" t="str">
        <f t="shared" si="14"/>
        <v>det_</v>
      </c>
      <c r="I196" s="5" t="str">
        <f t="shared" si="15"/>
        <v>W:\Performance Measurement\1. Freeway\1. raw data\2011\data files\det_.txt</v>
      </c>
      <c r="J196" s="5" t="str">
        <f t="shared" si="16"/>
        <v>W:\Performance Measurement\1. Freeway\1. raw data\2011\data files\det_.xlsx</v>
      </c>
      <c r="K196" s="5" t="s">
        <v>82</v>
      </c>
      <c r="L196" s="47">
        <v>192</v>
      </c>
      <c r="M196" s="39" t="s">
        <v>70</v>
      </c>
      <c r="N196" s="10">
        <v>179</v>
      </c>
      <c r="O196" s="10">
        <v>2</v>
      </c>
      <c r="P196" s="10">
        <v>0</v>
      </c>
      <c r="Q196" s="19">
        <v>1</v>
      </c>
      <c r="R196" s="60" t="s">
        <v>155</v>
      </c>
      <c r="S196" s="57">
        <v>1</v>
      </c>
      <c r="T196" s="36"/>
    </row>
    <row r="197" spans="4:20" x14ac:dyDescent="0.25">
      <c r="D197" s="8">
        <v>193</v>
      </c>
      <c r="E197" s="10"/>
      <c r="F197" s="10"/>
      <c r="G197" s="10"/>
      <c r="H197" s="5" t="str">
        <f t="shared" si="14"/>
        <v>det_</v>
      </c>
      <c r="I197" s="5" t="str">
        <f t="shared" si="15"/>
        <v>W:\Performance Measurement\1. Freeway\1. raw data\2011\data files\det_.txt</v>
      </c>
      <c r="J197" s="5" t="str">
        <f t="shared" si="16"/>
        <v>W:\Performance Measurement\1. Freeway\1. raw data\2011\data files\det_.xlsx</v>
      </c>
      <c r="K197" s="5" t="s">
        <v>82</v>
      </c>
      <c r="L197" s="47">
        <v>193</v>
      </c>
      <c r="M197" s="39" t="s">
        <v>70</v>
      </c>
      <c r="N197" s="10">
        <v>182</v>
      </c>
      <c r="O197" s="10">
        <v>3</v>
      </c>
      <c r="P197" s="10">
        <v>0</v>
      </c>
      <c r="Q197" s="19">
        <v>13</v>
      </c>
      <c r="R197" s="60" t="s">
        <v>156</v>
      </c>
      <c r="S197" s="57">
        <v>1</v>
      </c>
    </row>
    <row r="198" spans="4:20" x14ac:dyDescent="0.25">
      <c r="D198" s="8">
        <v>194</v>
      </c>
      <c r="E198" s="10"/>
      <c r="F198" s="10"/>
      <c r="G198" s="10"/>
      <c r="H198" s="5" t="str">
        <f t="shared" si="14"/>
        <v>det_</v>
      </c>
      <c r="I198" s="5" t="str">
        <f t="shared" si="15"/>
        <v>W:\Performance Measurement\1. Freeway\1. raw data\2011\data files\det_.txt</v>
      </c>
      <c r="J198" s="5" t="str">
        <f t="shared" si="16"/>
        <v>W:\Performance Measurement\1. Freeway\1. raw data\2011\data files\det_.xlsx</v>
      </c>
      <c r="K198" s="5" t="s">
        <v>82</v>
      </c>
      <c r="L198" s="47">
        <v>194</v>
      </c>
      <c r="M198" s="39" t="s">
        <v>70</v>
      </c>
      <c r="N198" s="10">
        <v>184</v>
      </c>
      <c r="O198" s="10">
        <v>2</v>
      </c>
      <c r="P198" s="10">
        <v>0</v>
      </c>
      <c r="Q198" s="19">
        <v>1</v>
      </c>
      <c r="R198" s="60" t="s">
        <v>157</v>
      </c>
      <c r="S198" s="57">
        <v>1</v>
      </c>
      <c r="T198" s="36"/>
    </row>
    <row r="199" spans="4:20" x14ac:dyDescent="0.25">
      <c r="D199" s="8">
        <v>195</v>
      </c>
      <c r="E199" s="10"/>
      <c r="F199" s="10"/>
      <c r="G199" s="10"/>
      <c r="H199" s="5" t="str">
        <f t="shared" si="14"/>
        <v>det_</v>
      </c>
      <c r="I199" s="5" t="str">
        <f t="shared" si="15"/>
        <v>W:\Performance Measurement\1. Freeway\1. raw data\2011\data files\det_.txt</v>
      </c>
      <c r="J199" s="5" t="str">
        <f t="shared" si="16"/>
        <v>W:\Performance Measurement\1. Freeway\1. raw data\2011\data files\det_.xlsx</v>
      </c>
      <c r="K199" s="5" t="s">
        <v>82</v>
      </c>
      <c r="L199" s="47">
        <v>195</v>
      </c>
      <c r="M199" s="39" t="s">
        <v>70</v>
      </c>
      <c r="N199" s="10">
        <v>187</v>
      </c>
      <c r="O199" s="10">
        <v>2</v>
      </c>
      <c r="P199" s="10">
        <v>0</v>
      </c>
      <c r="Q199" s="19">
        <v>12</v>
      </c>
      <c r="R199" s="60" t="s">
        <v>155</v>
      </c>
      <c r="S199" s="57">
        <v>1</v>
      </c>
    </row>
    <row r="200" spans="4:20" x14ac:dyDescent="0.25">
      <c r="D200" s="8">
        <v>196</v>
      </c>
      <c r="E200" s="10"/>
      <c r="F200" s="10"/>
      <c r="G200" s="10"/>
      <c r="H200" s="5" t="str">
        <f t="shared" si="14"/>
        <v>det_</v>
      </c>
      <c r="I200" s="5" t="str">
        <f t="shared" si="15"/>
        <v>W:\Performance Measurement\1. Freeway\1. raw data\2011\data files\det_.txt</v>
      </c>
      <c r="J200" s="5" t="str">
        <f t="shared" si="16"/>
        <v>W:\Performance Measurement\1. Freeway\1. raw data\2011\data files\det_.xlsx</v>
      </c>
      <c r="K200" s="5" t="s">
        <v>82</v>
      </c>
      <c r="L200" s="47">
        <v>196</v>
      </c>
      <c r="M200" s="39" t="s">
        <v>70</v>
      </c>
      <c r="N200" s="10">
        <v>176</v>
      </c>
      <c r="O200" s="10">
        <v>2</v>
      </c>
      <c r="P200" s="10">
        <v>0</v>
      </c>
      <c r="Q200" s="19">
        <v>12</v>
      </c>
      <c r="R200" s="59" t="s">
        <v>158</v>
      </c>
      <c r="S200" s="57">
        <v>1</v>
      </c>
    </row>
    <row r="201" spans="4:20" x14ac:dyDescent="0.25">
      <c r="D201" s="8">
        <v>197</v>
      </c>
      <c r="E201" s="10"/>
      <c r="F201" s="10"/>
      <c r="G201" s="10"/>
      <c r="H201" s="5" t="str">
        <f t="shared" si="14"/>
        <v>det_</v>
      </c>
      <c r="I201" s="5" t="str">
        <f t="shared" si="15"/>
        <v>W:\Performance Measurement\1. Freeway\1. raw data\2011\data files\det_.txt</v>
      </c>
      <c r="J201" s="5" t="str">
        <f t="shared" si="16"/>
        <v>W:\Performance Measurement\1. Freeway\1. raw data\2011\data files\det_.xlsx</v>
      </c>
      <c r="K201" s="5" t="s">
        <v>82</v>
      </c>
      <c r="L201" s="47">
        <v>197</v>
      </c>
      <c r="M201" s="39" t="s">
        <v>70</v>
      </c>
      <c r="N201" s="10">
        <v>171</v>
      </c>
      <c r="O201" s="10">
        <v>3</v>
      </c>
      <c r="P201" s="10">
        <v>0</v>
      </c>
      <c r="Q201" s="19">
        <v>1</v>
      </c>
      <c r="R201" s="59" t="s">
        <v>159</v>
      </c>
      <c r="S201" s="36">
        <v>1</v>
      </c>
      <c r="T201" s="36"/>
    </row>
    <row r="202" spans="4:20" x14ac:dyDescent="0.25">
      <c r="D202" s="8">
        <v>198</v>
      </c>
      <c r="E202" s="10"/>
      <c r="F202" s="10"/>
      <c r="G202" s="10"/>
      <c r="H202" s="5" t="str">
        <f t="shared" si="14"/>
        <v>det_</v>
      </c>
      <c r="I202" s="5" t="str">
        <f t="shared" si="15"/>
        <v>W:\Performance Measurement\1. Freeway\1. raw data\2011\data files\det_.txt</v>
      </c>
      <c r="J202" s="5" t="str">
        <f t="shared" si="16"/>
        <v>W:\Performance Measurement\1. Freeway\1. raw data\2011\data files\det_.xlsx</v>
      </c>
      <c r="K202" s="5" t="s">
        <v>82</v>
      </c>
      <c r="L202" s="47">
        <v>198</v>
      </c>
      <c r="M202" s="39" t="s">
        <v>70</v>
      </c>
      <c r="N202" s="33">
        <v>169</v>
      </c>
      <c r="O202" s="10">
        <v>3</v>
      </c>
      <c r="P202" s="10">
        <v>0</v>
      </c>
      <c r="Q202" s="19">
        <v>1</v>
      </c>
      <c r="R202" s="59" t="s">
        <v>167</v>
      </c>
      <c r="S202" s="36">
        <v>0</v>
      </c>
      <c r="T202" s="36"/>
    </row>
    <row r="203" spans="4:20" x14ac:dyDescent="0.25">
      <c r="D203" s="8">
        <v>199</v>
      </c>
      <c r="E203" s="10"/>
      <c r="F203" s="10"/>
      <c r="G203" s="10"/>
      <c r="H203" s="5" t="str">
        <f t="shared" si="14"/>
        <v>det_</v>
      </c>
      <c r="I203" s="5" t="str">
        <f t="shared" si="15"/>
        <v>W:\Performance Measurement\1. Freeway\1. raw data\2011\data files\det_.txt</v>
      </c>
      <c r="J203" s="5" t="str">
        <f t="shared" si="16"/>
        <v>W:\Performance Measurement\1. Freeway\1. raw data\2011\data files\det_.xlsx</v>
      </c>
      <c r="K203" s="5" t="s">
        <v>82</v>
      </c>
      <c r="L203" s="47">
        <v>199</v>
      </c>
      <c r="M203" s="39" t="s">
        <v>70</v>
      </c>
      <c r="N203" s="33">
        <v>167</v>
      </c>
      <c r="O203" s="10">
        <v>2</v>
      </c>
      <c r="P203" s="10">
        <v>0</v>
      </c>
      <c r="Q203" s="19">
        <v>1</v>
      </c>
      <c r="R203" s="59" t="s">
        <v>167</v>
      </c>
      <c r="S203" s="36">
        <v>0</v>
      </c>
      <c r="T203" s="36"/>
    </row>
    <row r="204" spans="4:20" x14ac:dyDescent="0.25">
      <c r="D204" s="8">
        <v>200</v>
      </c>
      <c r="E204" s="10"/>
      <c r="F204" s="10"/>
      <c r="G204" s="10"/>
      <c r="H204" s="5" t="str">
        <f t="shared" si="14"/>
        <v>det_</v>
      </c>
      <c r="I204" s="5" t="str">
        <f t="shared" si="15"/>
        <v>W:\Performance Measurement\1. Freeway\1. raw data\2011\data files\det_.txt</v>
      </c>
      <c r="J204" s="5" t="str">
        <f t="shared" si="16"/>
        <v>W:\Performance Measurement\1. Freeway\1. raw data\2011\data files\det_.xlsx</v>
      </c>
      <c r="K204" s="5" t="s">
        <v>82</v>
      </c>
      <c r="L204" s="47">
        <v>200</v>
      </c>
      <c r="M204" s="39" t="s">
        <v>71</v>
      </c>
      <c r="N204" s="10">
        <v>539</v>
      </c>
      <c r="O204" s="10">
        <v>1</v>
      </c>
      <c r="P204" s="10">
        <v>0</v>
      </c>
      <c r="Q204" s="19">
        <v>1</v>
      </c>
      <c r="R204" s="63" t="s">
        <v>166</v>
      </c>
      <c r="S204" s="36">
        <v>0</v>
      </c>
      <c r="T204" s="36"/>
    </row>
    <row r="205" spans="4:20" x14ac:dyDescent="0.25">
      <c r="D205" s="8">
        <v>201</v>
      </c>
      <c r="E205" s="10"/>
      <c r="F205" s="10"/>
      <c r="G205" s="10"/>
      <c r="H205" s="5" t="str">
        <f t="shared" si="14"/>
        <v>det_</v>
      </c>
      <c r="I205" s="5" t="str">
        <f t="shared" si="15"/>
        <v>W:\Performance Measurement\1. Freeway\1. raw data\2011\data files\det_.txt</v>
      </c>
      <c r="J205" s="5" t="str">
        <f t="shared" si="16"/>
        <v>W:\Performance Measurement\1. Freeway\1. raw data\2011\data files\det_.xlsx</v>
      </c>
      <c r="K205" s="5" t="s">
        <v>82</v>
      </c>
      <c r="L205" s="47">
        <v>201</v>
      </c>
      <c r="M205" s="39" t="s">
        <v>71</v>
      </c>
      <c r="N205" s="10">
        <v>540</v>
      </c>
      <c r="O205" s="10">
        <v>3</v>
      </c>
      <c r="P205" s="10">
        <v>1</v>
      </c>
      <c r="Q205" s="20">
        <v>1</v>
      </c>
      <c r="R205" s="59" t="s">
        <v>160</v>
      </c>
      <c r="S205" s="57">
        <v>1</v>
      </c>
      <c r="T205" s="38"/>
    </row>
    <row r="206" spans="4:20" x14ac:dyDescent="0.25">
      <c r="D206" s="8">
        <v>202</v>
      </c>
      <c r="E206" s="10"/>
      <c r="F206" s="10"/>
      <c r="G206" s="10"/>
      <c r="H206" s="5" t="str">
        <f t="shared" si="14"/>
        <v>det_</v>
      </c>
      <c r="I206" s="5" t="str">
        <f t="shared" si="15"/>
        <v>W:\Performance Measurement\1. Freeway\1. raw data\2011\data files\det_.txt</v>
      </c>
      <c r="J206" s="5" t="str">
        <f t="shared" si="16"/>
        <v>W:\Performance Measurement\1. Freeway\1. raw data\2011\data files\det_.xlsx</v>
      </c>
      <c r="K206" s="5" t="s">
        <v>82</v>
      </c>
      <c r="L206" s="47">
        <v>202</v>
      </c>
      <c r="M206" s="39" t="s">
        <v>71</v>
      </c>
      <c r="N206" s="10">
        <v>541</v>
      </c>
      <c r="O206" s="10">
        <v>3</v>
      </c>
      <c r="P206" s="10">
        <v>1</v>
      </c>
      <c r="Q206" s="20">
        <v>1</v>
      </c>
      <c r="R206" s="59" t="s">
        <v>160</v>
      </c>
      <c r="S206" s="57">
        <v>1</v>
      </c>
      <c r="T206" s="38"/>
    </row>
    <row r="207" spans="4:20" x14ac:dyDescent="0.25">
      <c r="D207" s="8">
        <v>203</v>
      </c>
      <c r="E207" s="10"/>
      <c r="F207" s="10"/>
      <c r="G207" s="10"/>
      <c r="H207" s="5" t="str">
        <f t="shared" si="14"/>
        <v>det_</v>
      </c>
      <c r="I207" s="5" t="str">
        <f t="shared" si="15"/>
        <v>W:\Performance Measurement\1. Freeway\1. raw data\2011\data files\det_.txt</v>
      </c>
      <c r="J207" s="5" t="str">
        <f t="shared" si="16"/>
        <v>W:\Performance Measurement\1. Freeway\1. raw data\2011\data files\det_.xlsx</v>
      </c>
      <c r="K207" s="5" t="s">
        <v>82</v>
      </c>
      <c r="L207" s="47">
        <v>203</v>
      </c>
      <c r="M207" s="39" t="s">
        <v>71</v>
      </c>
      <c r="N207" s="10">
        <v>542</v>
      </c>
      <c r="O207" s="10">
        <v>3</v>
      </c>
      <c r="P207" s="10">
        <v>1</v>
      </c>
      <c r="Q207" s="20">
        <v>1</v>
      </c>
      <c r="R207" s="59" t="s">
        <v>160</v>
      </c>
      <c r="S207" s="57">
        <v>1</v>
      </c>
      <c r="T207" s="38"/>
    </row>
    <row r="208" spans="4:20" x14ac:dyDescent="0.25">
      <c r="D208" s="8">
        <v>204</v>
      </c>
      <c r="E208" s="10"/>
      <c r="F208" s="10"/>
      <c r="G208" s="10"/>
      <c r="H208" s="5" t="str">
        <f t="shared" si="14"/>
        <v>det_</v>
      </c>
      <c r="I208" s="5" t="str">
        <f t="shared" si="15"/>
        <v>W:\Performance Measurement\1. Freeway\1. raw data\2011\data files\det_.txt</v>
      </c>
      <c r="J208" s="5" t="str">
        <f t="shared" si="16"/>
        <v>W:\Performance Measurement\1. Freeway\1. raw data\2011\data files\det_.xlsx</v>
      </c>
      <c r="K208" s="5" t="s">
        <v>82</v>
      </c>
      <c r="L208" s="47">
        <v>204</v>
      </c>
      <c r="M208" s="39" t="s">
        <v>71</v>
      </c>
      <c r="N208" s="10">
        <v>543</v>
      </c>
      <c r="O208" s="10">
        <v>3</v>
      </c>
      <c r="P208" s="10">
        <v>1</v>
      </c>
      <c r="Q208" s="19">
        <v>1</v>
      </c>
      <c r="R208" s="59" t="s">
        <v>168</v>
      </c>
      <c r="S208" s="57">
        <v>1</v>
      </c>
      <c r="T208" s="36"/>
    </row>
    <row r="209" spans="4:21" x14ac:dyDescent="0.25">
      <c r="D209" s="8">
        <v>205</v>
      </c>
      <c r="E209" s="10"/>
      <c r="F209" s="10"/>
      <c r="G209" s="10"/>
      <c r="H209" s="5" t="str">
        <f t="shared" si="14"/>
        <v>det_</v>
      </c>
      <c r="I209" s="5" t="str">
        <f t="shared" si="15"/>
        <v>W:\Performance Measurement\1. Freeway\1. raw data\2011\data files\det_.txt</v>
      </c>
      <c r="J209" s="5" t="str">
        <f t="shared" si="16"/>
        <v>W:\Performance Measurement\1. Freeway\1. raw data\2011\data files\det_.xlsx</v>
      </c>
      <c r="K209" s="5" t="s">
        <v>82</v>
      </c>
      <c r="L209" s="47">
        <v>205</v>
      </c>
      <c r="M209" s="39" t="s">
        <v>71</v>
      </c>
      <c r="N209" s="10">
        <v>514</v>
      </c>
      <c r="O209" s="10">
        <v>4</v>
      </c>
      <c r="P209" s="10">
        <v>1</v>
      </c>
      <c r="Q209" s="20">
        <v>1</v>
      </c>
      <c r="R209" s="59" t="s">
        <v>168</v>
      </c>
      <c r="S209" s="57">
        <v>1</v>
      </c>
      <c r="T209" s="38"/>
    </row>
    <row r="210" spans="4:21" x14ac:dyDescent="0.25">
      <c r="D210" s="8">
        <v>206</v>
      </c>
      <c r="E210" s="10"/>
      <c r="F210" s="10"/>
      <c r="G210" s="10"/>
      <c r="H210" s="5" t="str">
        <f t="shared" si="14"/>
        <v>det_</v>
      </c>
      <c r="I210" s="5" t="str">
        <f t="shared" si="15"/>
        <v>W:\Performance Measurement\1. Freeway\1. raw data\2011\data files\det_.txt</v>
      </c>
      <c r="J210" s="5" t="str">
        <f t="shared" si="16"/>
        <v>W:\Performance Measurement\1. Freeway\1. raw data\2011\data files\det_.xlsx</v>
      </c>
      <c r="K210" s="5" t="s">
        <v>82</v>
      </c>
      <c r="L210" s="47">
        <v>206</v>
      </c>
      <c r="M210" s="39" t="s">
        <v>71</v>
      </c>
      <c r="N210" s="10">
        <v>518</v>
      </c>
      <c r="O210" s="10">
        <v>3</v>
      </c>
      <c r="P210" s="10">
        <v>1</v>
      </c>
      <c r="Q210" s="19">
        <v>1</v>
      </c>
      <c r="R210" s="59" t="s">
        <v>168</v>
      </c>
      <c r="S210" s="57">
        <v>1</v>
      </c>
      <c r="U210"/>
    </row>
    <row r="211" spans="4:21" x14ac:dyDescent="0.25">
      <c r="D211" s="8">
        <v>207</v>
      </c>
      <c r="E211" s="10"/>
      <c r="F211" s="10"/>
      <c r="G211" s="10"/>
      <c r="H211" s="5" t="str">
        <f t="shared" si="14"/>
        <v>det_</v>
      </c>
      <c r="I211" s="5" t="str">
        <f t="shared" si="15"/>
        <v>W:\Performance Measurement\1. Freeway\1. raw data\2011\data files\det_.txt</v>
      </c>
      <c r="J211" s="5" t="str">
        <f t="shared" si="16"/>
        <v>W:\Performance Measurement\1. Freeway\1. raw data\2011\data files\det_.xlsx</v>
      </c>
      <c r="K211" s="5" t="s">
        <v>82</v>
      </c>
      <c r="L211" s="47">
        <v>207</v>
      </c>
      <c r="M211" s="39" t="s">
        <v>71</v>
      </c>
      <c r="N211" s="10">
        <v>510</v>
      </c>
      <c r="O211" s="10">
        <v>4</v>
      </c>
      <c r="P211" s="10">
        <v>1</v>
      </c>
      <c r="Q211" s="20">
        <v>1</v>
      </c>
      <c r="R211" s="59" t="s">
        <v>160</v>
      </c>
      <c r="S211" s="57">
        <v>1</v>
      </c>
      <c r="T211" s="38"/>
      <c r="U211"/>
    </row>
    <row r="212" spans="4:21" x14ac:dyDescent="0.25">
      <c r="D212" s="8">
        <v>208</v>
      </c>
      <c r="E212" s="10"/>
      <c r="F212" s="10"/>
      <c r="G212" s="10"/>
      <c r="H212" s="5" t="str">
        <f t="shared" si="14"/>
        <v>det_</v>
      </c>
      <c r="I212" s="5" t="str">
        <f t="shared" si="15"/>
        <v>W:\Performance Measurement\1. Freeway\1. raw data\2011\data files\det_.txt</v>
      </c>
      <c r="J212" s="5" t="str">
        <f t="shared" si="16"/>
        <v>W:\Performance Measurement\1. Freeway\1. raw data\2011\data files\det_.xlsx</v>
      </c>
      <c r="K212" s="5" t="s">
        <v>82</v>
      </c>
      <c r="L212" s="47">
        <v>208</v>
      </c>
      <c r="M212" s="39" t="s">
        <v>71</v>
      </c>
      <c r="N212" s="10">
        <v>513</v>
      </c>
      <c r="O212" s="10">
        <v>3</v>
      </c>
      <c r="P212" s="10">
        <v>0</v>
      </c>
      <c r="Q212" s="20">
        <v>0</v>
      </c>
      <c r="R212" s="58" t="s">
        <v>187</v>
      </c>
      <c r="S212" s="57">
        <v>1</v>
      </c>
      <c r="T212" s="38"/>
      <c r="U212"/>
    </row>
    <row r="213" spans="4:21" x14ac:dyDescent="0.25">
      <c r="D213" s="8">
        <v>209</v>
      </c>
      <c r="E213" s="10"/>
      <c r="F213" s="10"/>
      <c r="G213" s="10"/>
      <c r="H213" s="5" t="str">
        <f t="shared" si="14"/>
        <v>det_</v>
      </c>
      <c r="I213" s="5" t="str">
        <f t="shared" si="15"/>
        <v>W:\Performance Measurement\1. Freeway\1. raw data\2011\data files\det_.txt</v>
      </c>
      <c r="J213" s="5" t="str">
        <f t="shared" si="16"/>
        <v>W:\Performance Measurement\1. Freeway\1. raw data\2011\data files\det_.xlsx</v>
      </c>
      <c r="K213" s="5" t="s">
        <v>82</v>
      </c>
      <c r="L213" s="47">
        <v>209</v>
      </c>
      <c r="M213" s="39" t="s">
        <v>71</v>
      </c>
      <c r="N213" s="10">
        <v>544</v>
      </c>
      <c r="O213" s="10">
        <v>3</v>
      </c>
      <c r="P213" s="10">
        <v>1</v>
      </c>
      <c r="Q213" s="20">
        <v>1</v>
      </c>
      <c r="R213" s="59" t="s">
        <v>160</v>
      </c>
      <c r="S213" s="57">
        <v>1</v>
      </c>
      <c r="T213" s="38"/>
      <c r="U213"/>
    </row>
    <row r="214" spans="4:21" x14ac:dyDescent="0.25">
      <c r="D214" s="8">
        <v>210</v>
      </c>
      <c r="E214" s="10"/>
      <c r="F214" s="10"/>
      <c r="G214" s="10"/>
      <c r="H214" s="5" t="str">
        <f t="shared" si="14"/>
        <v>det_</v>
      </c>
      <c r="I214" s="5" t="str">
        <f t="shared" si="15"/>
        <v>W:\Performance Measurement\1. Freeway\1. raw data\2011\data files\det_.txt</v>
      </c>
      <c r="J214" s="5" t="str">
        <f t="shared" si="16"/>
        <v>W:\Performance Measurement\1. Freeway\1. raw data\2011\data files\det_.xlsx</v>
      </c>
      <c r="K214" s="5" t="s">
        <v>82</v>
      </c>
      <c r="L214" s="47">
        <v>210</v>
      </c>
      <c r="M214" s="39" t="s">
        <v>71</v>
      </c>
      <c r="N214" s="10">
        <v>545</v>
      </c>
      <c r="O214" s="10">
        <v>3</v>
      </c>
      <c r="P214" s="10">
        <v>1</v>
      </c>
      <c r="Q214" s="20">
        <v>1</v>
      </c>
      <c r="R214" s="59" t="s">
        <v>164</v>
      </c>
      <c r="S214" s="57">
        <v>1</v>
      </c>
      <c r="T214" s="38"/>
      <c r="U214"/>
    </row>
    <row r="215" spans="4:21" x14ac:dyDescent="0.25">
      <c r="D215" s="8">
        <v>211</v>
      </c>
      <c r="E215" s="10"/>
      <c r="F215" s="10"/>
      <c r="G215" s="10"/>
      <c r="H215" s="5" t="str">
        <f t="shared" si="14"/>
        <v>det_</v>
      </c>
      <c r="I215" s="5" t="str">
        <f t="shared" si="15"/>
        <v>W:\Performance Measurement\1. Freeway\1. raw data\2011\data files\det_.txt</v>
      </c>
      <c r="J215" s="5" t="str">
        <f t="shared" si="16"/>
        <v>W:\Performance Measurement\1. Freeway\1. raw data\2011\data files\det_.xlsx</v>
      </c>
      <c r="K215" s="5" t="s">
        <v>82</v>
      </c>
      <c r="L215" s="47">
        <v>211</v>
      </c>
      <c r="M215" s="39" t="s">
        <v>71</v>
      </c>
      <c r="N215" s="10">
        <v>546</v>
      </c>
      <c r="O215" s="10">
        <v>3</v>
      </c>
      <c r="P215" s="10">
        <v>1</v>
      </c>
      <c r="Q215" s="20">
        <v>1</v>
      </c>
      <c r="R215" s="59" t="s">
        <v>164</v>
      </c>
      <c r="S215" s="57">
        <v>1</v>
      </c>
      <c r="T215" s="38"/>
      <c r="U215"/>
    </row>
    <row r="216" spans="4:21" x14ac:dyDescent="0.25">
      <c r="D216" s="8">
        <v>212</v>
      </c>
      <c r="E216" s="10"/>
      <c r="F216" s="10"/>
      <c r="G216" s="10"/>
      <c r="H216" s="5" t="str">
        <f t="shared" si="14"/>
        <v>det_</v>
      </c>
      <c r="I216" s="5" t="str">
        <f t="shared" si="15"/>
        <v>W:\Performance Measurement\1. Freeway\1. raw data\2011\data files\det_.txt</v>
      </c>
      <c r="J216" s="5" t="str">
        <f t="shared" si="16"/>
        <v>W:\Performance Measurement\1. Freeway\1. raw data\2011\data files\det_.xlsx</v>
      </c>
      <c r="K216" s="5" t="s">
        <v>82</v>
      </c>
      <c r="L216" s="47">
        <v>212</v>
      </c>
      <c r="M216" s="39" t="s">
        <v>71</v>
      </c>
      <c r="N216" s="10">
        <v>547</v>
      </c>
      <c r="O216" s="10">
        <v>3</v>
      </c>
      <c r="P216" s="10">
        <v>1</v>
      </c>
      <c r="Q216" s="20">
        <v>1</v>
      </c>
      <c r="R216" s="59" t="s">
        <v>165</v>
      </c>
      <c r="S216" s="57">
        <v>1</v>
      </c>
      <c r="T216" s="38"/>
      <c r="U216"/>
    </row>
    <row r="217" spans="4:21" x14ac:dyDescent="0.25">
      <c r="D217" s="8">
        <v>213</v>
      </c>
      <c r="E217" s="10"/>
      <c r="F217" s="10"/>
      <c r="G217" s="10"/>
      <c r="H217" s="5" t="str">
        <f t="shared" si="14"/>
        <v>det_</v>
      </c>
      <c r="I217" s="5" t="str">
        <f t="shared" si="15"/>
        <v>W:\Performance Measurement\1. Freeway\1. raw data\2011\data files\det_.txt</v>
      </c>
      <c r="J217" s="5" t="str">
        <f t="shared" si="16"/>
        <v>W:\Performance Measurement\1. Freeway\1. raw data\2011\data files\det_.xlsx</v>
      </c>
      <c r="K217" s="5" t="s">
        <v>82</v>
      </c>
      <c r="L217" s="47">
        <v>213</v>
      </c>
      <c r="M217" s="39" t="s">
        <v>71</v>
      </c>
      <c r="N217" s="10">
        <v>548</v>
      </c>
      <c r="O217" s="10">
        <v>1</v>
      </c>
      <c r="P217" s="10">
        <v>0</v>
      </c>
      <c r="Q217" s="19">
        <v>12</v>
      </c>
      <c r="R217" s="63" t="s">
        <v>166</v>
      </c>
      <c r="S217" s="57">
        <v>0</v>
      </c>
      <c r="U217"/>
    </row>
    <row r="218" spans="4:21" x14ac:dyDescent="0.25">
      <c r="D218" s="8">
        <v>214</v>
      </c>
      <c r="E218" s="10"/>
      <c r="F218" s="10"/>
      <c r="G218" s="10"/>
      <c r="H218" s="5" t="str">
        <f t="shared" si="14"/>
        <v>det_</v>
      </c>
      <c r="I218" s="5" t="str">
        <f t="shared" si="15"/>
        <v>W:\Performance Measurement\1. Freeway\1. raw data\2011\data files\det_.txt</v>
      </c>
      <c r="J218" s="5" t="str">
        <f t="shared" si="16"/>
        <v>W:\Performance Measurement\1. Freeway\1. raw data\2011\data files\det_.xlsx</v>
      </c>
      <c r="K218" s="5" t="s">
        <v>82</v>
      </c>
      <c r="L218" s="47">
        <v>214</v>
      </c>
      <c r="M218" s="39" t="s">
        <v>72</v>
      </c>
      <c r="N218" s="10">
        <v>264</v>
      </c>
      <c r="O218" s="10">
        <v>5</v>
      </c>
      <c r="P218" s="10">
        <v>1</v>
      </c>
      <c r="Q218" s="19">
        <v>1</v>
      </c>
      <c r="R218" s="59" t="s">
        <v>160</v>
      </c>
      <c r="S218" s="19">
        <v>1</v>
      </c>
      <c r="T218" s="36"/>
      <c r="U218"/>
    </row>
    <row r="219" spans="4:21" x14ac:dyDescent="0.25">
      <c r="D219" s="8">
        <v>215</v>
      </c>
      <c r="E219" s="10"/>
      <c r="F219" s="10"/>
      <c r="G219" s="10"/>
      <c r="H219" s="5" t="str">
        <f t="shared" si="14"/>
        <v>det_</v>
      </c>
      <c r="I219" s="5" t="str">
        <f t="shared" si="15"/>
        <v>W:\Performance Measurement\1. Freeway\1. raw data\2011\data files\det_.txt</v>
      </c>
      <c r="J219" s="5" t="str">
        <f t="shared" si="16"/>
        <v>W:\Performance Measurement\1. Freeway\1. raw data\2011\data files\det_.xlsx</v>
      </c>
      <c r="K219" s="5" t="s">
        <v>82</v>
      </c>
      <c r="L219" s="47">
        <v>215</v>
      </c>
      <c r="M219" s="39" t="s">
        <v>72</v>
      </c>
      <c r="N219" s="10">
        <v>267</v>
      </c>
      <c r="O219" s="10">
        <v>4</v>
      </c>
      <c r="P219" s="10">
        <v>1</v>
      </c>
      <c r="Q219" s="19">
        <v>1</v>
      </c>
      <c r="R219" s="59" t="s">
        <v>168</v>
      </c>
      <c r="S219" s="19">
        <v>1</v>
      </c>
      <c r="T219" s="36"/>
    </row>
    <row r="220" spans="4:21" x14ac:dyDescent="0.25">
      <c r="D220" s="8">
        <v>216</v>
      </c>
      <c r="E220" s="10"/>
      <c r="F220" s="10"/>
      <c r="G220" s="10"/>
      <c r="H220" s="5" t="str">
        <f t="shared" si="14"/>
        <v>det_</v>
      </c>
      <c r="I220" s="5" t="str">
        <f t="shared" si="15"/>
        <v>W:\Performance Measurement\1. Freeway\1. raw data\2011\data files\det_.txt</v>
      </c>
      <c r="J220" s="5" t="str">
        <f t="shared" si="16"/>
        <v>W:\Performance Measurement\1. Freeway\1. raw data\2011\data files\det_.xlsx</v>
      </c>
      <c r="K220" s="5" t="s">
        <v>82</v>
      </c>
      <c r="L220" s="47">
        <v>216</v>
      </c>
      <c r="M220" s="39" t="s">
        <v>72</v>
      </c>
      <c r="N220" s="10">
        <v>270</v>
      </c>
      <c r="O220" s="10">
        <v>3</v>
      </c>
      <c r="P220" s="10">
        <v>1</v>
      </c>
      <c r="Q220" s="19" t="s">
        <v>44</v>
      </c>
      <c r="R220" s="59" t="s">
        <v>160</v>
      </c>
      <c r="S220" s="19">
        <v>1</v>
      </c>
    </row>
    <row r="221" spans="4:21" x14ac:dyDescent="0.25">
      <c r="D221" s="8">
        <v>217</v>
      </c>
      <c r="E221" s="10"/>
      <c r="F221" s="10"/>
      <c r="G221" s="10"/>
      <c r="H221" s="5" t="str">
        <f t="shared" si="14"/>
        <v>det_</v>
      </c>
      <c r="I221" s="5" t="str">
        <f t="shared" si="15"/>
        <v>W:\Performance Measurement\1. Freeway\1. raw data\2011\data files\det_.txt</v>
      </c>
      <c r="J221" s="5" t="str">
        <f t="shared" si="16"/>
        <v>W:\Performance Measurement\1. Freeway\1. raw data\2011\data files\det_.xlsx</v>
      </c>
      <c r="K221" s="5" t="s">
        <v>82</v>
      </c>
      <c r="L221" s="47">
        <v>217</v>
      </c>
      <c r="M221" s="39" t="s">
        <v>72</v>
      </c>
      <c r="N221" s="10">
        <v>271</v>
      </c>
      <c r="O221" s="10">
        <v>3</v>
      </c>
      <c r="P221" s="10">
        <v>0</v>
      </c>
      <c r="Q221" s="19">
        <v>1</v>
      </c>
      <c r="R221" s="59" t="s">
        <v>169</v>
      </c>
      <c r="S221" s="19">
        <v>0</v>
      </c>
      <c r="T221" s="36"/>
    </row>
    <row r="222" spans="4:21" x14ac:dyDescent="0.25">
      <c r="D222" s="8">
        <v>218</v>
      </c>
      <c r="E222" s="10"/>
      <c r="F222" s="10"/>
      <c r="G222" s="10"/>
      <c r="H222" s="5" t="str">
        <f t="shared" si="14"/>
        <v>det_</v>
      </c>
      <c r="I222" s="5" t="str">
        <f t="shared" si="15"/>
        <v>W:\Performance Measurement\1. Freeway\1. raw data\2011\data files\det_.txt</v>
      </c>
      <c r="J222" s="5" t="str">
        <f t="shared" si="16"/>
        <v>W:\Performance Measurement\1. Freeway\1. raw data\2011\data files\det_.xlsx</v>
      </c>
      <c r="K222" s="5" t="s">
        <v>82</v>
      </c>
      <c r="L222" s="47">
        <v>218</v>
      </c>
      <c r="M222" s="39" t="s">
        <v>72</v>
      </c>
      <c r="N222" s="10">
        <v>256</v>
      </c>
      <c r="O222" s="10">
        <v>3</v>
      </c>
      <c r="P222" s="10">
        <v>1</v>
      </c>
      <c r="Q222" s="34" t="s">
        <v>44</v>
      </c>
      <c r="R222" s="58" t="s">
        <v>170</v>
      </c>
      <c r="S222" s="56">
        <v>1</v>
      </c>
    </row>
    <row r="223" spans="4:21" x14ac:dyDescent="0.25">
      <c r="D223" s="8">
        <v>219</v>
      </c>
      <c r="E223" s="10"/>
      <c r="F223" s="10"/>
      <c r="G223" s="10"/>
      <c r="H223" s="5" t="str">
        <f t="shared" si="14"/>
        <v>det_</v>
      </c>
      <c r="I223" s="5" t="str">
        <f t="shared" si="15"/>
        <v>W:\Performance Measurement\1. Freeway\1. raw data\2011\data files\det_.txt</v>
      </c>
      <c r="J223" s="5" t="str">
        <f t="shared" si="16"/>
        <v>W:\Performance Measurement\1. Freeway\1. raw data\2011\data files\det_.xlsx</v>
      </c>
      <c r="K223" s="5" t="s">
        <v>82</v>
      </c>
      <c r="L223" s="47">
        <v>219</v>
      </c>
      <c r="M223" s="39" t="s">
        <v>72</v>
      </c>
      <c r="N223" s="10">
        <v>258</v>
      </c>
      <c r="O223" s="10">
        <v>5</v>
      </c>
      <c r="P223" s="10">
        <v>1</v>
      </c>
      <c r="Q223" s="19">
        <v>1</v>
      </c>
      <c r="R223" s="58" t="s">
        <v>189</v>
      </c>
      <c r="S223" s="56">
        <v>1</v>
      </c>
      <c r="T223" s="36"/>
    </row>
    <row r="224" spans="4:21" x14ac:dyDescent="0.25">
      <c r="D224" s="8">
        <v>220</v>
      </c>
      <c r="E224" s="10"/>
      <c r="F224" s="10"/>
      <c r="G224" s="10"/>
      <c r="H224" s="5" t="str">
        <f t="shared" si="14"/>
        <v>det_</v>
      </c>
      <c r="I224" s="5" t="str">
        <f t="shared" si="15"/>
        <v>W:\Performance Measurement\1. Freeway\1. raw data\2011\data files\det_.txt</v>
      </c>
      <c r="J224" s="5" t="str">
        <f t="shared" si="16"/>
        <v>W:\Performance Measurement\1. Freeway\1. raw data\2011\data files\det_.xlsx</v>
      </c>
      <c r="K224" s="5" t="s">
        <v>82</v>
      </c>
      <c r="L224" s="47">
        <v>220</v>
      </c>
      <c r="M224" s="39" t="s">
        <v>72</v>
      </c>
      <c r="N224" s="10">
        <v>261</v>
      </c>
      <c r="O224" s="10">
        <v>4</v>
      </c>
      <c r="P224" s="10">
        <v>1</v>
      </c>
      <c r="Q224" s="19">
        <v>1</v>
      </c>
      <c r="R224" s="58" t="s">
        <v>189</v>
      </c>
      <c r="S224" s="56">
        <v>1</v>
      </c>
      <c r="T224" s="36"/>
    </row>
    <row r="225" spans="4:20" x14ac:dyDescent="0.25">
      <c r="D225" s="8">
        <v>221</v>
      </c>
      <c r="E225" s="10"/>
      <c r="F225" s="10"/>
      <c r="G225" s="10"/>
      <c r="H225" s="5" t="str">
        <f t="shared" si="14"/>
        <v>det_</v>
      </c>
      <c r="I225" s="5" t="str">
        <f t="shared" si="15"/>
        <v>W:\Performance Measurement\1. Freeway\1. raw data\2011\data files\det_.txt</v>
      </c>
      <c r="J225" s="5" t="str">
        <f t="shared" si="16"/>
        <v>W:\Performance Measurement\1. Freeway\1. raw data\2011\data files\det_.xlsx</v>
      </c>
      <c r="K225" s="5" t="s">
        <v>82</v>
      </c>
      <c r="L225" s="47">
        <v>221</v>
      </c>
      <c r="M225" s="39" t="s">
        <v>72</v>
      </c>
      <c r="N225" s="10">
        <v>263</v>
      </c>
      <c r="O225" s="10">
        <v>4</v>
      </c>
      <c r="P225" s="10">
        <v>1</v>
      </c>
      <c r="Q225" s="19" t="s">
        <v>43</v>
      </c>
      <c r="R225" s="58" t="s">
        <v>189</v>
      </c>
      <c r="S225" s="56">
        <v>1</v>
      </c>
    </row>
    <row r="226" spans="4:20" x14ac:dyDescent="0.25">
      <c r="D226" s="8">
        <v>222</v>
      </c>
      <c r="E226" s="10"/>
      <c r="F226" s="10"/>
      <c r="G226" s="10"/>
      <c r="H226" s="5" t="str">
        <f t="shared" si="14"/>
        <v>det_</v>
      </c>
      <c r="I226" s="5" t="str">
        <f t="shared" si="15"/>
        <v>W:\Performance Measurement\1. Freeway\1. raw data\2011\data files\det_.txt</v>
      </c>
      <c r="J226" s="5" t="str">
        <f t="shared" si="16"/>
        <v>W:\Performance Measurement\1. Freeway\1. raw data\2011\data files\det_.xlsx</v>
      </c>
      <c r="K226" s="5" t="s">
        <v>82</v>
      </c>
      <c r="L226" s="47">
        <v>222</v>
      </c>
      <c r="M226" s="39" t="s">
        <v>72</v>
      </c>
      <c r="N226" s="10">
        <v>507</v>
      </c>
      <c r="O226" s="10">
        <v>3</v>
      </c>
      <c r="P226" s="10">
        <v>1</v>
      </c>
      <c r="Q226" s="21">
        <v>13</v>
      </c>
      <c r="R226" s="58" t="s">
        <v>189</v>
      </c>
      <c r="S226" s="56">
        <v>1</v>
      </c>
    </row>
    <row r="227" spans="4:20" x14ac:dyDescent="0.25">
      <c r="D227" s="8">
        <v>223</v>
      </c>
      <c r="E227" s="10"/>
      <c r="F227" s="10"/>
      <c r="G227" s="10"/>
      <c r="H227" s="5" t="str">
        <f t="shared" si="14"/>
        <v>det_</v>
      </c>
      <c r="I227" s="5" t="str">
        <f t="shared" si="15"/>
        <v>W:\Performance Measurement\1. Freeway\1. raw data\2011\data files\det_.txt</v>
      </c>
      <c r="J227" s="5" t="str">
        <f t="shared" si="16"/>
        <v>W:\Performance Measurement\1. Freeway\1. raw data\2011\data files\det_.xlsx</v>
      </c>
      <c r="K227" s="5" t="s">
        <v>82</v>
      </c>
      <c r="L227" s="47">
        <v>223</v>
      </c>
      <c r="M227" s="40" t="s">
        <v>73</v>
      </c>
      <c r="N227" s="18">
        <v>549</v>
      </c>
      <c r="O227" s="10">
        <v>4</v>
      </c>
      <c r="P227" s="10">
        <v>1</v>
      </c>
      <c r="Q227" s="21">
        <v>1</v>
      </c>
      <c r="R227" s="52"/>
      <c r="S227" s="37">
        <v>1</v>
      </c>
      <c r="T227" s="37"/>
    </row>
    <row r="228" spans="4:20" x14ac:dyDescent="0.25">
      <c r="D228" s="8">
        <v>224</v>
      </c>
      <c r="E228" s="10"/>
      <c r="F228" s="10"/>
      <c r="G228" s="10"/>
      <c r="H228" s="5" t="str">
        <f t="shared" si="14"/>
        <v>det_</v>
      </c>
      <c r="I228" s="5" t="str">
        <f t="shared" si="15"/>
        <v>W:\Performance Measurement\1. Freeway\1. raw data\2011\data files\det_.txt</v>
      </c>
      <c r="J228" s="5" t="str">
        <f t="shared" si="16"/>
        <v>W:\Performance Measurement\1. Freeway\1. raw data\2011\data files\det_.xlsx</v>
      </c>
      <c r="K228" s="5" t="s">
        <v>82</v>
      </c>
      <c r="L228" s="47">
        <v>224</v>
      </c>
      <c r="M228" s="40" t="s">
        <v>74</v>
      </c>
      <c r="N228" s="10">
        <v>550</v>
      </c>
      <c r="O228" s="10">
        <v>3</v>
      </c>
      <c r="P228" s="10">
        <v>1</v>
      </c>
      <c r="Q228" s="21">
        <v>1</v>
      </c>
      <c r="R228" s="52"/>
      <c r="S228" s="37">
        <v>1</v>
      </c>
      <c r="T228" s="37"/>
    </row>
    <row r="229" spans="4:20" x14ac:dyDescent="0.25">
      <c r="D229" s="8">
        <v>225</v>
      </c>
      <c r="E229" s="10"/>
      <c r="F229" s="10"/>
      <c r="G229" s="10"/>
      <c r="H229" s="5" t="str">
        <f t="shared" si="14"/>
        <v>det_</v>
      </c>
      <c r="I229" s="5" t="str">
        <f t="shared" si="15"/>
        <v>W:\Performance Measurement\1. Freeway\1. raw data\2011\data files\det_.txt</v>
      </c>
      <c r="J229" s="5" t="str">
        <f t="shared" si="16"/>
        <v>W:\Performance Measurement\1. Freeway\1. raw data\2011\data files\det_.xlsx</v>
      </c>
      <c r="K229" s="5" t="s">
        <v>82</v>
      </c>
      <c r="L229" s="47">
        <v>225</v>
      </c>
      <c r="M229" s="40" t="s">
        <v>73</v>
      </c>
      <c r="N229" s="10">
        <v>551</v>
      </c>
      <c r="O229" s="10">
        <v>3</v>
      </c>
      <c r="P229" s="10">
        <v>1</v>
      </c>
      <c r="Q229" s="21">
        <v>1</v>
      </c>
      <c r="R229" s="52"/>
      <c r="S229" s="37">
        <v>1</v>
      </c>
      <c r="T229" s="37"/>
    </row>
    <row r="230" spans="4:20" x14ac:dyDescent="0.25">
      <c r="D230" s="8">
        <v>226</v>
      </c>
      <c r="E230" s="10"/>
      <c r="F230" s="10"/>
      <c r="G230" s="10"/>
      <c r="H230" s="5" t="str">
        <f t="shared" ref="H230:H249" si="17">"det_"&amp;E230&amp;""</f>
        <v>det_</v>
      </c>
      <c r="I230" s="5" t="str">
        <f t="shared" ref="I230:I249" si="18">$B$5&amp;"\"&amp;H230&amp;".txt"</f>
        <v>W:\Performance Measurement\1. Freeway\1. raw data\2011\data files\det_.txt</v>
      </c>
      <c r="J230" s="5" t="str">
        <f t="shared" ref="J230:J249" si="19">$B$5&amp;"\"&amp;H230&amp;".xlsx"</f>
        <v>W:\Performance Measurement\1. Freeway\1. raw data\2011\data files\det_.xlsx</v>
      </c>
      <c r="K230" s="5" t="s">
        <v>82</v>
      </c>
      <c r="L230" s="47">
        <v>226</v>
      </c>
      <c r="M230" s="40" t="s">
        <v>74</v>
      </c>
      <c r="N230" s="10">
        <v>552</v>
      </c>
      <c r="O230" s="10">
        <v>3</v>
      </c>
      <c r="P230" s="10">
        <v>1</v>
      </c>
      <c r="Q230" s="21">
        <v>1</v>
      </c>
      <c r="R230" s="52"/>
      <c r="S230" s="37">
        <v>1</v>
      </c>
      <c r="T230" s="37"/>
    </row>
    <row r="231" spans="4:20" x14ac:dyDescent="0.25">
      <c r="D231" s="8">
        <v>227</v>
      </c>
      <c r="E231" s="10"/>
      <c r="F231" s="10"/>
      <c r="G231" s="10"/>
      <c r="H231" s="5" t="str">
        <f t="shared" si="17"/>
        <v>det_</v>
      </c>
      <c r="I231" s="5" t="str">
        <f t="shared" si="18"/>
        <v>W:\Performance Measurement\1. Freeway\1. raw data\2011\data files\det_.txt</v>
      </c>
      <c r="J231" s="5" t="str">
        <f t="shared" si="19"/>
        <v>W:\Performance Measurement\1. Freeway\1. raw data\2011\data files\det_.xlsx</v>
      </c>
      <c r="K231" s="5" t="s">
        <v>82</v>
      </c>
      <c r="L231" s="47">
        <v>227</v>
      </c>
      <c r="M231" s="40" t="s">
        <v>73</v>
      </c>
      <c r="N231" s="10">
        <v>553</v>
      </c>
      <c r="O231" s="10">
        <v>3</v>
      </c>
      <c r="P231" s="10">
        <v>1</v>
      </c>
      <c r="Q231" s="21">
        <v>1</v>
      </c>
      <c r="R231" s="52"/>
      <c r="S231" s="37">
        <v>1</v>
      </c>
      <c r="T231" s="37"/>
    </row>
    <row r="232" spans="4:20" x14ac:dyDescent="0.25">
      <c r="D232" s="8">
        <v>228</v>
      </c>
      <c r="E232" s="10"/>
      <c r="F232" s="10"/>
      <c r="G232" s="10"/>
      <c r="H232" s="5" t="str">
        <f t="shared" si="17"/>
        <v>det_</v>
      </c>
      <c r="I232" s="5" t="str">
        <f t="shared" si="18"/>
        <v>W:\Performance Measurement\1. Freeway\1. raw data\2011\data files\det_.txt</v>
      </c>
      <c r="J232" s="5" t="str">
        <f t="shared" si="19"/>
        <v>W:\Performance Measurement\1. Freeway\1. raw data\2011\data files\det_.xlsx</v>
      </c>
      <c r="K232" s="5" t="s">
        <v>82</v>
      </c>
      <c r="L232" s="47">
        <v>228</v>
      </c>
      <c r="M232" s="40" t="s">
        <v>74</v>
      </c>
      <c r="N232" s="10">
        <v>554</v>
      </c>
      <c r="O232" s="10">
        <v>3</v>
      </c>
      <c r="P232" s="10">
        <v>1</v>
      </c>
      <c r="Q232" s="21">
        <v>1</v>
      </c>
      <c r="R232" s="52"/>
      <c r="S232" s="37">
        <v>1</v>
      </c>
      <c r="T232" s="37"/>
    </row>
    <row r="233" spans="4:20" x14ac:dyDescent="0.25">
      <c r="D233" s="8">
        <v>229</v>
      </c>
      <c r="E233" s="10"/>
      <c r="F233" s="10"/>
      <c r="G233" s="10"/>
      <c r="H233" s="5" t="str">
        <f t="shared" si="17"/>
        <v>det_</v>
      </c>
      <c r="I233" s="5" t="str">
        <f t="shared" si="18"/>
        <v>W:\Performance Measurement\1. Freeway\1. raw data\2011\data files\det_.txt</v>
      </c>
      <c r="J233" s="5" t="str">
        <f t="shared" si="19"/>
        <v>W:\Performance Measurement\1. Freeway\1. raw data\2011\data files\det_.xlsx</v>
      </c>
      <c r="K233" s="5" t="s">
        <v>82</v>
      </c>
      <c r="L233" s="47">
        <v>229</v>
      </c>
      <c r="M233" s="40" t="s">
        <v>73</v>
      </c>
      <c r="N233" s="10">
        <v>555</v>
      </c>
      <c r="O233" s="10">
        <v>3</v>
      </c>
      <c r="P233" s="10">
        <v>1</v>
      </c>
      <c r="Q233" s="21">
        <v>1</v>
      </c>
      <c r="R233" s="59" t="s">
        <v>160</v>
      </c>
      <c r="S233" s="37">
        <v>1</v>
      </c>
      <c r="T233" s="37"/>
    </row>
    <row r="234" spans="4:20" x14ac:dyDescent="0.25">
      <c r="D234" s="8">
        <v>230</v>
      </c>
      <c r="E234" s="10"/>
      <c r="F234" s="10"/>
      <c r="G234" s="10"/>
      <c r="H234" s="5" t="str">
        <f t="shared" si="17"/>
        <v>det_</v>
      </c>
      <c r="I234" s="5" t="str">
        <f t="shared" si="18"/>
        <v>W:\Performance Measurement\1. Freeway\1. raw data\2011\data files\det_.txt</v>
      </c>
      <c r="J234" s="5" t="str">
        <f t="shared" si="19"/>
        <v>W:\Performance Measurement\1. Freeway\1. raw data\2011\data files\det_.xlsx</v>
      </c>
      <c r="K234" s="5" t="s">
        <v>82</v>
      </c>
      <c r="L234" s="47">
        <v>230</v>
      </c>
      <c r="M234" s="40" t="s">
        <v>74</v>
      </c>
      <c r="N234" s="10">
        <v>556</v>
      </c>
      <c r="O234" s="10">
        <v>3</v>
      </c>
      <c r="P234" s="10">
        <v>1</v>
      </c>
      <c r="Q234" s="21">
        <v>1</v>
      </c>
      <c r="R234" s="52"/>
      <c r="S234" s="37">
        <v>1</v>
      </c>
      <c r="T234" s="37"/>
    </row>
    <row r="235" spans="4:20" x14ac:dyDescent="0.25">
      <c r="D235" s="8">
        <v>231</v>
      </c>
      <c r="E235" s="10"/>
      <c r="F235" s="10"/>
      <c r="G235" s="10"/>
      <c r="H235" s="5" t="str">
        <f t="shared" si="17"/>
        <v>det_</v>
      </c>
      <c r="I235" s="5" t="str">
        <f t="shared" si="18"/>
        <v>W:\Performance Measurement\1. Freeway\1. raw data\2011\data files\det_.txt</v>
      </c>
      <c r="J235" s="5" t="str">
        <f t="shared" si="19"/>
        <v>W:\Performance Measurement\1. Freeway\1. raw data\2011\data files\det_.xlsx</v>
      </c>
      <c r="K235" s="5" t="s">
        <v>82</v>
      </c>
      <c r="L235" s="47">
        <v>231</v>
      </c>
      <c r="M235" s="40" t="s">
        <v>73</v>
      </c>
      <c r="N235" s="10">
        <v>557</v>
      </c>
      <c r="O235" s="10">
        <v>3</v>
      </c>
      <c r="P235" s="10">
        <v>1</v>
      </c>
      <c r="Q235" s="21">
        <v>1</v>
      </c>
      <c r="R235" s="52"/>
      <c r="S235" s="37">
        <v>1</v>
      </c>
      <c r="T235" s="37"/>
    </row>
    <row r="236" spans="4:20" x14ac:dyDescent="0.25">
      <c r="D236" s="8">
        <v>232</v>
      </c>
      <c r="E236" s="10"/>
      <c r="F236" s="10"/>
      <c r="G236" s="10"/>
      <c r="H236" s="5" t="str">
        <f t="shared" si="17"/>
        <v>det_</v>
      </c>
      <c r="I236" s="5" t="str">
        <f t="shared" si="18"/>
        <v>W:\Performance Measurement\1. Freeway\1. raw data\2011\data files\det_.txt</v>
      </c>
      <c r="J236" s="5" t="str">
        <f t="shared" si="19"/>
        <v>W:\Performance Measurement\1. Freeway\1. raw data\2011\data files\det_.xlsx</v>
      </c>
      <c r="K236" s="5" t="s">
        <v>82</v>
      </c>
      <c r="L236" s="47">
        <v>232</v>
      </c>
      <c r="M236" s="40" t="s">
        <v>74</v>
      </c>
      <c r="N236" s="10">
        <v>570</v>
      </c>
      <c r="O236" s="10">
        <v>3</v>
      </c>
      <c r="P236" s="10">
        <v>1</v>
      </c>
      <c r="Q236" s="21">
        <v>1</v>
      </c>
      <c r="R236" s="8"/>
      <c r="S236" s="37">
        <v>1</v>
      </c>
      <c r="T236" s="37"/>
    </row>
    <row r="237" spans="4:20" x14ac:dyDescent="0.25">
      <c r="D237" s="8">
        <v>233</v>
      </c>
      <c r="E237" s="10"/>
      <c r="F237" s="10"/>
      <c r="G237" s="10"/>
      <c r="H237" s="5" t="str">
        <f t="shared" si="17"/>
        <v>det_</v>
      </c>
      <c r="I237" s="5" t="str">
        <f t="shared" si="18"/>
        <v>W:\Performance Measurement\1. Freeway\1. raw data\2011\data files\det_.txt</v>
      </c>
      <c r="J237" s="5" t="str">
        <f t="shared" si="19"/>
        <v>W:\Performance Measurement\1. Freeway\1. raw data\2011\data files\det_.xlsx</v>
      </c>
      <c r="K237" s="5" t="s">
        <v>82</v>
      </c>
      <c r="L237" s="47">
        <v>233</v>
      </c>
      <c r="M237" s="40" t="s">
        <v>74</v>
      </c>
      <c r="N237" s="10">
        <v>571</v>
      </c>
      <c r="O237" s="10">
        <v>3</v>
      </c>
      <c r="P237" s="10">
        <v>1</v>
      </c>
      <c r="Q237" s="21">
        <v>1</v>
      </c>
      <c r="R237" s="58" t="s">
        <v>118</v>
      </c>
      <c r="S237" s="37">
        <v>1</v>
      </c>
      <c r="T237" s="37"/>
    </row>
    <row r="238" spans="4:20" x14ac:dyDescent="0.25">
      <c r="D238" s="8">
        <v>234</v>
      </c>
      <c r="E238" s="10"/>
      <c r="F238" s="10"/>
      <c r="G238" s="10"/>
      <c r="H238" s="5" t="str">
        <f t="shared" si="17"/>
        <v>det_</v>
      </c>
      <c r="I238" s="5" t="str">
        <f t="shared" si="18"/>
        <v>W:\Performance Measurement\1. Freeway\1. raw data\2011\data files\det_.txt</v>
      </c>
      <c r="J238" s="5" t="str">
        <f t="shared" si="19"/>
        <v>W:\Performance Measurement\1. Freeway\1. raw data\2011\data files\det_.xlsx</v>
      </c>
      <c r="K238" s="5" t="s">
        <v>82</v>
      </c>
      <c r="L238" s="47">
        <v>234</v>
      </c>
      <c r="M238" s="40" t="s">
        <v>74</v>
      </c>
      <c r="N238" s="10">
        <v>572</v>
      </c>
      <c r="O238" s="10">
        <v>3</v>
      </c>
      <c r="P238" s="10">
        <v>1</v>
      </c>
      <c r="Q238" s="21">
        <v>1</v>
      </c>
      <c r="R238" s="8"/>
      <c r="S238" s="37">
        <v>1</v>
      </c>
      <c r="T238" s="37"/>
    </row>
    <row r="239" spans="4:20" x14ac:dyDescent="0.25">
      <c r="D239" s="8">
        <v>235</v>
      </c>
      <c r="E239" s="10"/>
      <c r="F239" s="10"/>
      <c r="G239" s="10"/>
      <c r="H239" s="5" t="str">
        <f t="shared" si="17"/>
        <v>det_</v>
      </c>
      <c r="I239" s="5" t="str">
        <f t="shared" si="18"/>
        <v>W:\Performance Measurement\1. Freeway\1. raw data\2011\data files\det_.txt</v>
      </c>
      <c r="J239" s="5" t="str">
        <f t="shared" si="19"/>
        <v>W:\Performance Measurement\1. Freeway\1. raw data\2011\data files\det_.xlsx</v>
      </c>
      <c r="K239" s="5" t="s">
        <v>82</v>
      </c>
      <c r="L239" s="47">
        <v>235</v>
      </c>
      <c r="M239" s="40" t="s">
        <v>74</v>
      </c>
      <c r="N239" s="10">
        <v>573</v>
      </c>
      <c r="O239" s="10">
        <v>3</v>
      </c>
      <c r="P239" s="10">
        <v>1</v>
      </c>
      <c r="Q239" s="21">
        <v>1</v>
      </c>
      <c r="R239" s="8"/>
      <c r="S239" s="37">
        <v>1</v>
      </c>
      <c r="T239" s="37"/>
    </row>
    <row r="240" spans="4:20" x14ac:dyDescent="0.25">
      <c r="D240" s="8">
        <v>236</v>
      </c>
      <c r="E240" s="10"/>
      <c r="F240" s="10"/>
      <c r="G240" s="10"/>
      <c r="H240" s="5" t="str">
        <f t="shared" si="17"/>
        <v>det_</v>
      </c>
      <c r="I240" s="5" t="str">
        <f t="shared" si="18"/>
        <v>W:\Performance Measurement\1. Freeway\1. raw data\2011\data files\det_.txt</v>
      </c>
      <c r="J240" s="5" t="str">
        <f t="shared" si="19"/>
        <v>W:\Performance Measurement\1. Freeway\1. raw data\2011\data files\det_.xlsx</v>
      </c>
      <c r="K240" s="5" t="s">
        <v>82</v>
      </c>
      <c r="L240" s="47">
        <v>236</v>
      </c>
      <c r="M240" s="40" t="s">
        <v>74</v>
      </c>
      <c r="N240" s="10">
        <v>574</v>
      </c>
      <c r="O240" s="10">
        <v>3</v>
      </c>
      <c r="P240" s="10">
        <v>1</v>
      </c>
      <c r="Q240" s="21">
        <v>1</v>
      </c>
      <c r="R240" s="8"/>
      <c r="S240" s="37">
        <v>1</v>
      </c>
      <c r="T240" s="37"/>
    </row>
    <row r="241" spans="2:20" x14ac:dyDescent="0.25">
      <c r="D241" s="8">
        <v>237</v>
      </c>
      <c r="E241" s="10"/>
      <c r="F241" s="10"/>
      <c r="G241" s="10"/>
      <c r="H241" s="5" t="str">
        <f t="shared" si="17"/>
        <v>det_</v>
      </c>
      <c r="I241" s="5" t="str">
        <f t="shared" si="18"/>
        <v>W:\Performance Measurement\1. Freeway\1. raw data\2011\data files\det_.txt</v>
      </c>
      <c r="J241" s="5" t="str">
        <f t="shared" si="19"/>
        <v>W:\Performance Measurement\1. Freeway\1. raw data\2011\data files\det_.xlsx</v>
      </c>
      <c r="K241" s="5" t="s">
        <v>82</v>
      </c>
      <c r="L241" s="47">
        <v>237</v>
      </c>
      <c r="M241" s="40" t="s">
        <v>74</v>
      </c>
      <c r="N241" s="10">
        <v>575</v>
      </c>
      <c r="O241" s="10">
        <v>3</v>
      </c>
      <c r="P241" s="10">
        <v>1</v>
      </c>
      <c r="Q241" s="21">
        <v>1</v>
      </c>
      <c r="R241" s="58" t="s">
        <v>171</v>
      </c>
      <c r="S241" s="37">
        <v>1</v>
      </c>
      <c r="T241" s="37"/>
    </row>
    <row r="242" spans="2:20" x14ac:dyDescent="0.25">
      <c r="D242" s="8">
        <v>238</v>
      </c>
      <c r="E242" s="10"/>
      <c r="F242" s="10"/>
      <c r="G242" s="10"/>
      <c r="H242" s="5" t="str">
        <f t="shared" si="17"/>
        <v>det_</v>
      </c>
      <c r="I242" s="5" t="str">
        <f t="shared" si="18"/>
        <v>W:\Performance Measurement\1. Freeway\1. raw data\2011\data files\det_.txt</v>
      </c>
      <c r="J242" s="5" t="str">
        <f t="shared" si="19"/>
        <v>W:\Performance Measurement\1. Freeway\1. raw data\2011\data files\det_.xlsx</v>
      </c>
      <c r="K242" s="5" t="s">
        <v>82</v>
      </c>
      <c r="L242" s="47">
        <v>238</v>
      </c>
      <c r="M242" s="40" t="s">
        <v>74</v>
      </c>
      <c r="N242" s="10">
        <v>576</v>
      </c>
      <c r="O242" s="10">
        <v>3</v>
      </c>
      <c r="P242" s="10">
        <v>1</v>
      </c>
      <c r="Q242" s="21">
        <v>1</v>
      </c>
      <c r="R242" s="8"/>
      <c r="S242" s="37">
        <v>1</v>
      </c>
      <c r="T242" s="37"/>
    </row>
    <row r="243" spans="2:20" x14ac:dyDescent="0.25">
      <c r="D243" s="8">
        <v>239</v>
      </c>
      <c r="E243" s="10"/>
      <c r="F243" s="10"/>
      <c r="G243" s="10"/>
      <c r="H243" s="5" t="str">
        <f t="shared" si="17"/>
        <v>det_</v>
      </c>
      <c r="I243" s="5" t="str">
        <f t="shared" si="18"/>
        <v>W:\Performance Measurement\1. Freeway\1. raw data\2011\data files\det_.txt</v>
      </c>
      <c r="J243" s="5" t="str">
        <f t="shared" si="19"/>
        <v>W:\Performance Measurement\1. Freeway\1. raw data\2011\data files\det_.xlsx</v>
      </c>
      <c r="K243" s="5" t="s">
        <v>82</v>
      </c>
      <c r="L243" s="47">
        <v>239</v>
      </c>
      <c r="M243" s="40" t="s">
        <v>74</v>
      </c>
      <c r="N243" s="10">
        <v>577</v>
      </c>
      <c r="O243" s="10">
        <v>3</v>
      </c>
      <c r="P243" s="10">
        <v>1</v>
      </c>
      <c r="Q243" s="21">
        <v>1</v>
      </c>
      <c r="R243" s="58" t="s">
        <v>172</v>
      </c>
      <c r="S243" s="37">
        <v>1</v>
      </c>
      <c r="T243" s="37"/>
    </row>
    <row r="244" spans="2:20" x14ac:dyDescent="0.25">
      <c r="D244" s="8">
        <v>240</v>
      </c>
      <c r="E244" s="10"/>
      <c r="F244" s="10"/>
      <c r="G244" s="10"/>
      <c r="H244" s="5" t="str">
        <f t="shared" si="17"/>
        <v>det_</v>
      </c>
      <c r="I244" s="5" t="str">
        <f t="shared" si="18"/>
        <v>W:\Performance Measurement\1. Freeway\1. raw data\2011\data files\det_.txt</v>
      </c>
      <c r="J244" s="5" t="str">
        <f t="shared" si="19"/>
        <v>W:\Performance Measurement\1. Freeway\1. raw data\2011\data files\det_.xlsx</v>
      </c>
      <c r="K244" s="5" t="s">
        <v>82</v>
      </c>
      <c r="L244" s="47">
        <v>240</v>
      </c>
      <c r="M244" s="40" t="s">
        <v>74</v>
      </c>
      <c r="N244" s="10">
        <v>578</v>
      </c>
      <c r="O244" s="10">
        <v>4</v>
      </c>
      <c r="P244" s="10">
        <v>1</v>
      </c>
      <c r="Q244" s="21">
        <v>1</v>
      </c>
      <c r="R244" s="8"/>
      <c r="S244" s="37">
        <v>1</v>
      </c>
      <c r="T244" s="37"/>
    </row>
    <row r="245" spans="2:20" x14ac:dyDescent="0.25">
      <c r="D245" s="8">
        <v>241</v>
      </c>
      <c r="E245" s="10"/>
      <c r="F245" s="10"/>
      <c r="G245" s="10"/>
      <c r="H245" s="5" t="str">
        <f t="shared" si="17"/>
        <v>det_</v>
      </c>
      <c r="I245" s="5" t="str">
        <f t="shared" si="18"/>
        <v>W:\Performance Measurement\1. Freeway\1. raw data\2011\data files\det_.txt</v>
      </c>
      <c r="J245" s="5" t="str">
        <f t="shared" si="19"/>
        <v>W:\Performance Measurement\1. Freeway\1. raw data\2011\data files\det_.xlsx</v>
      </c>
      <c r="K245" s="5" t="s">
        <v>82</v>
      </c>
      <c r="L245" s="47">
        <v>241</v>
      </c>
      <c r="M245" s="39" t="s">
        <v>73</v>
      </c>
      <c r="N245" s="10">
        <v>255</v>
      </c>
      <c r="O245" s="10">
        <v>4</v>
      </c>
      <c r="P245" s="10">
        <v>0</v>
      </c>
      <c r="Q245" s="19">
        <v>14</v>
      </c>
      <c r="R245" s="67" t="s">
        <v>188</v>
      </c>
      <c r="S245" s="37">
        <v>1</v>
      </c>
    </row>
    <row r="246" spans="2:20" x14ac:dyDescent="0.25">
      <c r="D246" s="8">
        <v>242</v>
      </c>
      <c r="E246" s="10"/>
      <c r="F246" s="10"/>
      <c r="G246" s="10"/>
      <c r="H246" s="5" t="str">
        <f t="shared" si="17"/>
        <v>det_</v>
      </c>
      <c r="I246" s="5" t="str">
        <f t="shared" si="18"/>
        <v>W:\Performance Measurement\1. Freeway\1. raw data\2011\data files\det_.txt</v>
      </c>
      <c r="J246" s="5" t="str">
        <f t="shared" si="19"/>
        <v>W:\Performance Measurement\1. Freeway\1. raw data\2011\data files\det_.xlsx</v>
      </c>
      <c r="K246" s="5" t="s">
        <v>82</v>
      </c>
      <c r="L246" s="47">
        <v>242</v>
      </c>
      <c r="M246" s="40" t="s">
        <v>75</v>
      </c>
      <c r="N246" s="10">
        <v>558</v>
      </c>
      <c r="O246" s="10">
        <v>3</v>
      </c>
      <c r="P246" s="10">
        <v>1</v>
      </c>
      <c r="Q246" s="22">
        <v>1</v>
      </c>
      <c r="R246" s="63"/>
      <c r="S246" s="37">
        <v>1</v>
      </c>
      <c r="T246" s="37"/>
    </row>
    <row r="247" spans="2:20" x14ac:dyDescent="0.25">
      <c r="B247" s="8" t="s">
        <v>52</v>
      </c>
      <c r="D247" s="8">
        <v>243</v>
      </c>
      <c r="E247" s="10"/>
      <c r="F247" s="10"/>
      <c r="G247" s="10"/>
      <c r="H247" s="5" t="str">
        <f t="shared" si="17"/>
        <v>det_</v>
      </c>
      <c r="I247" s="5" t="str">
        <f t="shared" si="18"/>
        <v>W:\Performance Measurement\1. Freeway\1. raw data\2011\data files\det_.txt</v>
      </c>
      <c r="J247" s="5" t="str">
        <f t="shared" si="19"/>
        <v>W:\Performance Measurement\1. Freeway\1. raw data\2011\data files\det_.xlsx</v>
      </c>
      <c r="K247" s="5" t="s">
        <v>82</v>
      </c>
      <c r="L247" s="47">
        <v>243</v>
      </c>
      <c r="M247" s="40" t="s">
        <v>75</v>
      </c>
      <c r="N247" s="10">
        <v>559</v>
      </c>
      <c r="O247" s="10">
        <v>3</v>
      </c>
      <c r="P247" s="10">
        <v>1</v>
      </c>
      <c r="Q247" s="22">
        <v>1</v>
      </c>
      <c r="R247" s="63"/>
      <c r="S247" s="37">
        <v>1</v>
      </c>
      <c r="T247" s="37"/>
    </row>
    <row r="248" spans="2:20" x14ac:dyDescent="0.25">
      <c r="D248" s="8">
        <v>244</v>
      </c>
      <c r="E248" s="18"/>
      <c r="F248" s="10"/>
      <c r="G248" s="10"/>
      <c r="H248" s="5" t="str">
        <f t="shared" si="17"/>
        <v>det_</v>
      </c>
      <c r="I248" s="5" t="str">
        <f t="shared" si="18"/>
        <v>W:\Performance Measurement\1. Freeway\1. raw data\2011\data files\det_.txt</v>
      </c>
      <c r="J248" s="5" t="str">
        <f t="shared" si="19"/>
        <v>W:\Performance Measurement\1. Freeway\1. raw data\2011\data files\det_.xlsx</v>
      </c>
      <c r="K248" s="5" t="s">
        <v>82</v>
      </c>
      <c r="L248" s="47">
        <v>244</v>
      </c>
      <c r="M248" s="40" t="s">
        <v>75</v>
      </c>
      <c r="N248" s="10">
        <v>560</v>
      </c>
      <c r="O248" s="10">
        <v>3</v>
      </c>
      <c r="P248" s="10">
        <v>1</v>
      </c>
      <c r="Q248" s="22">
        <v>1</v>
      </c>
      <c r="R248" s="63"/>
      <c r="S248" s="37">
        <v>1</v>
      </c>
      <c r="T248" s="37"/>
    </row>
    <row r="249" spans="2:20" x14ac:dyDescent="0.25">
      <c r="D249" s="8">
        <v>245</v>
      </c>
      <c r="E249" s="18"/>
      <c r="F249" s="10"/>
      <c r="G249" s="10"/>
      <c r="H249" s="5" t="str">
        <f t="shared" si="17"/>
        <v>det_</v>
      </c>
      <c r="I249" s="5" t="str">
        <f t="shared" si="18"/>
        <v>W:\Performance Measurement\1. Freeway\1. raw data\2011\data files\det_.txt</v>
      </c>
      <c r="J249" s="5" t="str">
        <f t="shared" si="19"/>
        <v>W:\Performance Measurement\1. Freeway\1. raw data\2011\data files\det_.xlsx</v>
      </c>
      <c r="K249" s="5" t="s">
        <v>82</v>
      </c>
      <c r="L249" s="47">
        <v>245</v>
      </c>
      <c r="M249" s="40" t="s">
        <v>75</v>
      </c>
      <c r="N249" s="10">
        <v>561</v>
      </c>
      <c r="O249" s="10">
        <v>4</v>
      </c>
      <c r="P249" s="10">
        <v>1</v>
      </c>
      <c r="Q249" s="22">
        <v>1</v>
      </c>
      <c r="R249" s="63"/>
      <c r="S249" s="37">
        <v>1</v>
      </c>
      <c r="T249" s="37"/>
    </row>
    <row r="250" spans="2:20" x14ac:dyDescent="0.25">
      <c r="L250" s="47">
        <v>246</v>
      </c>
      <c r="M250" s="40" t="s">
        <v>75</v>
      </c>
      <c r="N250" s="10">
        <v>562</v>
      </c>
      <c r="O250" s="10">
        <v>3</v>
      </c>
      <c r="P250" s="10">
        <v>1</v>
      </c>
      <c r="Q250" s="22">
        <v>1</v>
      </c>
      <c r="R250" s="63"/>
      <c r="S250" s="37">
        <v>1</v>
      </c>
      <c r="T250" s="37"/>
    </row>
    <row r="251" spans="2:20" x14ac:dyDescent="0.25">
      <c r="L251" s="47">
        <v>247</v>
      </c>
      <c r="M251" s="40" t="s">
        <v>75</v>
      </c>
      <c r="N251" s="10">
        <v>563</v>
      </c>
      <c r="O251" s="10">
        <v>4</v>
      </c>
      <c r="P251" s="10">
        <v>1</v>
      </c>
      <c r="Q251" s="22">
        <v>1</v>
      </c>
      <c r="R251" s="63"/>
      <c r="S251" s="37">
        <v>1</v>
      </c>
      <c r="T251" s="37"/>
    </row>
    <row r="252" spans="2:20" x14ac:dyDescent="0.25">
      <c r="L252" s="47">
        <v>248</v>
      </c>
      <c r="M252" s="40" t="s">
        <v>75</v>
      </c>
      <c r="N252" s="10">
        <v>564</v>
      </c>
      <c r="O252" s="10">
        <v>3</v>
      </c>
      <c r="P252" s="10">
        <v>1</v>
      </c>
      <c r="Q252" s="22">
        <v>1</v>
      </c>
      <c r="R252" s="58" t="s">
        <v>173</v>
      </c>
      <c r="S252" s="37">
        <v>1</v>
      </c>
      <c r="T252" s="37"/>
    </row>
    <row r="253" spans="2:20" x14ac:dyDescent="0.25">
      <c r="L253" s="47">
        <v>249</v>
      </c>
      <c r="M253" s="40" t="s">
        <v>75</v>
      </c>
      <c r="N253" s="10">
        <v>565</v>
      </c>
      <c r="O253" s="10">
        <v>4</v>
      </c>
      <c r="P253" s="10">
        <v>1</v>
      </c>
      <c r="Q253" s="22">
        <v>1</v>
      </c>
      <c r="R253" s="58" t="s">
        <v>173</v>
      </c>
      <c r="S253" s="37">
        <v>1</v>
      </c>
      <c r="T253" s="37"/>
    </row>
    <row r="254" spans="2:20" x14ac:dyDescent="0.25">
      <c r="L254" s="47">
        <v>250</v>
      </c>
      <c r="M254" s="40" t="s">
        <v>75</v>
      </c>
      <c r="N254" s="10">
        <v>566</v>
      </c>
      <c r="O254" s="10">
        <v>3</v>
      </c>
      <c r="P254" s="10">
        <v>1</v>
      </c>
      <c r="Q254" s="22">
        <v>1</v>
      </c>
      <c r="R254" s="58" t="s">
        <v>173</v>
      </c>
      <c r="S254" s="37">
        <v>1</v>
      </c>
      <c r="T254" s="37"/>
    </row>
    <row r="255" spans="2:20" x14ac:dyDescent="0.25">
      <c r="L255" s="47">
        <v>251</v>
      </c>
      <c r="M255" s="40" t="s">
        <v>75</v>
      </c>
      <c r="N255" s="10">
        <v>567</v>
      </c>
      <c r="O255" s="10">
        <v>4</v>
      </c>
      <c r="P255" s="10">
        <v>1</v>
      </c>
      <c r="Q255" s="22">
        <v>1</v>
      </c>
      <c r="R255" s="58" t="s">
        <v>173</v>
      </c>
      <c r="S255" s="37">
        <v>1</v>
      </c>
      <c r="T255" s="37"/>
    </row>
    <row r="256" spans="2:20" x14ac:dyDescent="0.25">
      <c r="L256" s="47">
        <v>252</v>
      </c>
      <c r="M256" s="40" t="s">
        <v>75</v>
      </c>
      <c r="N256" s="10">
        <v>568</v>
      </c>
      <c r="O256" s="10">
        <v>3</v>
      </c>
      <c r="P256" s="10">
        <v>1</v>
      </c>
      <c r="Q256" s="22">
        <v>1</v>
      </c>
      <c r="R256" s="58" t="s">
        <v>174</v>
      </c>
      <c r="S256" s="37">
        <v>1</v>
      </c>
      <c r="T256" s="37"/>
    </row>
    <row r="257" spans="12:20" x14ac:dyDescent="0.25">
      <c r="L257" s="47">
        <v>253</v>
      </c>
      <c r="M257" s="40" t="s">
        <v>75</v>
      </c>
      <c r="N257" s="10">
        <v>569</v>
      </c>
      <c r="O257" s="10">
        <v>3</v>
      </c>
      <c r="P257" s="10">
        <v>1</v>
      </c>
      <c r="Q257" s="22">
        <v>1</v>
      </c>
      <c r="R257" s="58" t="s">
        <v>173</v>
      </c>
      <c r="S257" s="37">
        <v>1</v>
      </c>
      <c r="T257" s="37"/>
    </row>
    <row r="258" spans="12:20" x14ac:dyDescent="0.25">
      <c r="L258" s="47">
        <v>254</v>
      </c>
      <c r="M258" s="40" t="s">
        <v>76</v>
      </c>
      <c r="N258" s="41">
        <v>601</v>
      </c>
      <c r="O258" s="10">
        <v>3</v>
      </c>
      <c r="P258" s="10">
        <v>0</v>
      </c>
      <c r="Q258" s="22"/>
    </row>
    <row r="259" spans="12:20" x14ac:dyDescent="0.25">
      <c r="L259" s="47">
        <v>255</v>
      </c>
      <c r="M259" s="40" t="s">
        <v>76</v>
      </c>
      <c r="N259" s="41">
        <v>602</v>
      </c>
      <c r="O259" s="10">
        <v>3</v>
      </c>
      <c r="P259" s="10">
        <v>1</v>
      </c>
      <c r="Q259" s="22">
        <v>1</v>
      </c>
      <c r="R259" s="52"/>
      <c r="S259" s="37"/>
      <c r="T259" s="37"/>
    </row>
    <row r="260" spans="12:20" x14ac:dyDescent="0.25">
      <c r="L260" s="47">
        <v>256</v>
      </c>
      <c r="M260" s="40" t="s">
        <v>76</v>
      </c>
      <c r="N260" s="41">
        <v>603</v>
      </c>
      <c r="O260" s="10">
        <v>3</v>
      </c>
      <c r="P260" s="10">
        <v>1</v>
      </c>
      <c r="Q260" s="22">
        <v>1</v>
      </c>
      <c r="R260" s="52"/>
      <c r="S260" s="37"/>
      <c r="T260" s="37"/>
    </row>
    <row r="261" spans="12:20" x14ac:dyDescent="0.25">
      <c r="L261" s="47">
        <v>257</v>
      </c>
      <c r="M261" s="40" t="s">
        <v>76</v>
      </c>
      <c r="N261" s="41">
        <v>604</v>
      </c>
      <c r="O261" s="10">
        <v>3</v>
      </c>
      <c r="P261" s="10">
        <v>1</v>
      </c>
      <c r="Q261" s="22">
        <v>1</v>
      </c>
      <c r="R261" s="52"/>
      <c r="S261" s="37"/>
      <c r="T261" s="37"/>
    </row>
    <row r="262" spans="12:20" x14ac:dyDescent="0.25">
      <c r="L262" s="47">
        <v>258</v>
      </c>
      <c r="M262" s="40" t="s">
        <v>76</v>
      </c>
      <c r="N262" s="41">
        <v>605</v>
      </c>
      <c r="O262" s="10">
        <v>3</v>
      </c>
      <c r="P262" s="10">
        <v>1</v>
      </c>
      <c r="Q262" s="22">
        <v>1</v>
      </c>
      <c r="R262" s="52"/>
      <c r="S262" s="37"/>
      <c r="T262" s="37"/>
    </row>
    <row r="263" spans="12:20" x14ac:dyDescent="0.25">
      <c r="L263" s="47">
        <v>259</v>
      </c>
      <c r="M263" s="40" t="s">
        <v>76</v>
      </c>
      <c r="N263" s="41">
        <v>606</v>
      </c>
      <c r="O263" s="10">
        <v>3</v>
      </c>
      <c r="P263" s="10">
        <v>1</v>
      </c>
      <c r="Q263" s="22">
        <v>1</v>
      </c>
      <c r="R263" s="52"/>
      <c r="S263" s="37"/>
      <c r="T263" s="37"/>
    </row>
    <row r="264" spans="12:20" x14ac:dyDescent="0.25">
      <c r="L264" s="47">
        <v>260</v>
      </c>
      <c r="M264" s="40" t="s">
        <v>76</v>
      </c>
      <c r="N264" s="41">
        <v>594</v>
      </c>
      <c r="O264" s="10">
        <v>3</v>
      </c>
      <c r="P264" s="10">
        <v>1</v>
      </c>
      <c r="Q264" s="22">
        <v>1</v>
      </c>
      <c r="R264" s="52"/>
      <c r="S264" s="37"/>
      <c r="T264" s="37"/>
    </row>
    <row r="265" spans="12:20" x14ac:dyDescent="0.25">
      <c r="L265" s="47">
        <v>261</v>
      </c>
      <c r="M265" s="40" t="s">
        <v>76</v>
      </c>
      <c r="N265" s="41">
        <v>595</v>
      </c>
      <c r="O265" s="10">
        <v>3</v>
      </c>
      <c r="P265" s="10">
        <v>1</v>
      </c>
      <c r="Q265" s="22">
        <v>1</v>
      </c>
      <c r="R265" s="52"/>
      <c r="S265" s="37"/>
      <c r="T265" s="37"/>
    </row>
    <row r="266" spans="12:20" x14ac:dyDescent="0.25">
      <c r="L266" s="47">
        <v>262</v>
      </c>
      <c r="M266" s="40" t="s">
        <v>76</v>
      </c>
      <c r="N266" s="41">
        <v>596</v>
      </c>
      <c r="O266" s="10">
        <v>3</v>
      </c>
      <c r="P266" s="10">
        <v>1</v>
      </c>
      <c r="Q266" s="22">
        <v>1</v>
      </c>
      <c r="R266" s="52"/>
      <c r="S266" s="37"/>
      <c r="T266" s="37"/>
    </row>
    <row r="267" spans="12:20" x14ac:dyDescent="0.25">
      <c r="L267" s="47">
        <v>263</v>
      </c>
      <c r="M267" s="40" t="s">
        <v>76</v>
      </c>
      <c r="N267" s="41">
        <v>597</v>
      </c>
      <c r="O267" s="10">
        <v>3</v>
      </c>
      <c r="P267" s="10">
        <v>1</v>
      </c>
      <c r="Q267" s="22">
        <v>1</v>
      </c>
      <c r="R267" s="52"/>
      <c r="S267" s="37"/>
      <c r="T267" s="37"/>
    </row>
    <row r="268" spans="12:20" x14ac:dyDescent="0.25">
      <c r="L268" s="47">
        <v>264</v>
      </c>
      <c r="M268" s="40" t="s">
        <v>76</v>
      </c>
      <c r="N268" s="41">
        <v>598</v>
      </c>
      <c r="O268" s="10">
        <v>3</v>
      </c>
      <c r="P268" s="10">
        <v>1</v>
      </c>
      <c r="Q268" s="22">
        <v>1</v>
      </c>
      <c r="R268" s="52"/>
      <c r="S268" s="37"/>
      <c r="T268" s="37"/>
    </row>
    <row r="269" spans="12:20" x14ac:dyDescent="0.25">
      <c r="L269" s="47">
        <v>265</v>
      </c>
      <c r="M269" s="40" t="s">
        <v>76</v>
      </c>
      <c r="N269" s="41">
        <v>599</v>
      </c>
      <c r="O269" s="10">
        <v>3</v>
      </c>
      <c r="P269" s="10">
        <v>1</v>
      </c>
      <c r="Q269" s="22">
        <v>1</v>
      </c>
      <c r="R269" s="52"/>
      <c r="S269" s="37"/>
      <c r="T269" s="37"/>
    </row>
    <row r="270" spans="12:20" x14ac:dyDescent="0.25">
      <c r="L270" s="47">
        <v>266</v>
      </c>
      <c r="M270" s="40" t="s">
        <v>76</v>
      </c>
      <c r="N270" s="41">
        <v>600</v>
      </c>
      <c r="O270" s="10">
        <v>3</v>
      </c>
      <c r="P270" s="10">
        <v>1</v>
      </c>
      <c r="Q270" s="22" t="s">
        <v>44</v>
      </c>
    </row>
    <row r="271" spans="12:20" x14ac:dyDescent="0.25">
      <c r="L271" s="47">
        <v>267</v>
      </c>
      <c r="M271" s="40" t="s">
        <v>77</v>
      </c>
      <c r="N271" s="18">
        <v>586</v>
      </c>
      <c r="O271" s="10">
        <v>2</v>
      </c>
      <c r="P271" s="10">
        <v>0</v>
      </c>
      <c r="Q271" s="22">
        <v>12</v>
      </c>
    </row>
    <row r="272" spans="12:20" x14ac:dyDescent="0.25">
      <c r="L272" s="47">
        <v>268</v>
      </c>
      <c r="M272" s="40" t="s">
        <v>77</v>
      </c>
      <c r="N272" s="10">
        <v>587</v>
      </c>
      <c r="O272" s="10">
        <v>3</v>
      </c>
      <c r="P272" s="10">
        <v>0</v>
      </c>
      <c r="Q272" s="22">
        <v>1</v>
      </c>
      <c r="R272" s="52"/>
      <c r="S272" s="37"/>
      <c r="T272" s="37"/>
    </row>
    <row r="273" spans="12:20" x14ac:dyDescent="0.25">
      <c r="L273" s="47">
        <v>269</v>
      </c>
      <c r="M273" s="40" t="s">
        <v>77</v>
      </c>
      <c r="N273" s="10">
        <v>588</v>
      </c>
      <c r="O273" s="10">
        <v>3</v>
      </c>
      <c r="P273" s="10">
        <v>0</v>
      </c>
      <c r="Q273" s="22">
        <v>1</v>
      </c>
      <c r="R273" s="52"/>
      <c r="S273" s="37"/>
      <c r="T273" s="37"/>
    </row>
    <row r="274" spans="12:20" x14ac:dyDescent="0.25">
      <c r="L274" s="47">
        <v>270</v>
      </c>
      <c r="M274" s="40" t="s">
        <v>77</v>
      </c>
      <c r="N274" s="33">
        <v>589</v>
      </c>
      <c r="O274" s="10">
        <v>3</v>
      </c>
      <c r="P274" s="10">
        <v>0</v>
      </c>
      <c r="Q274" s="22">
        <v>1</v>
      </c>
      <c r="R274" s="52"/>
      <c r="S274" s="37"/>
      <c r="T274" s="37"/>
    </row>
    <row r="275" spans="12:20" x14ac:dyDescent="0.25">
      <c r="L275" s="47">
        <v>271</v>
      </c>
      <c r="M275" s="40" t="s">
        <v>77</v>
      </c>
      <c r="N275" s="33">
        <v>590</v>
      </c>
      <c r="O275" s="10">
        <v>3</v>
      </c>
      <c r="P275" s="10">
        <v>0</v>
      </c>
      <c r="Q275" s="22">
        <v>1</v>
      </c>
      <c r="R275" s="52"/>
      <c r="S275" s="37"/>
      <c r="T275" s="37"/>
    </row>
    <row r="276" spans="12:20" x14ac:dyDescent="0.25">
      <c r="L276" s="47">
        <v>272</v>
      </c>
      <c r="M276" s="40" t="s">
        <v>77</v>
      </c>
      <c r="N276" s="33">
        <v>591</v>
      </c>
      <c r="O276" s="10">
        <v>3</v>
      </c>
      <c r="P276" s="10">
        <v>0</v>
      </c>
      <c r="Q276" s="22">
        <v>1</v>
      </c>
      <c r="R276" s="52"/>
      <c r="S276" s="37"/>
      <c r="T276" s="37"/>
    </row>
    <row r="277" spans="12:20" x14ac:dyDescent="0.25">
      <c r="L277" s="47">
        <v>273</v>
      </c>
      <c r="M277" s="40" t="s">
        <v>77</v>
      </c>
      <c r="N277" s="33">
        <v>592</v>
      </c>
      <c r="O277" s="10">
        <v>3</v>
      </c>
      <c r="P277" s="10">
        <v>0</v>
      </c>
      <c r="Q277" s="22">
        <v>1</v>
      </c>
      <c r="R277" s="52"/>
      <c r="S277" s="37"/>
      <c r="T277" s="37"/>
    </row>
    <row r="278" spans="12:20" x14ac:dyDescent="0.25">
      <c r="L278" s="47">
        <v>274</v>
      </c>
      <c r="M278" s="40" t="s">
        <v>77</v>
      </c>
      <c r="N278" s="33">
        <v>593</v>
      </c>
      <c r="O278" s="10">
        <v>3</v>
      </c>
      <c r="P278" s="10">
        <v>0</v>
      </c>
      <c r="Q278" s="22">
        <v>1</v>
      </c>
      <c r="R278" s="52"/>
      <c r="S278" s="37"/>
      <c r="T278" s="37"/>
    </row>
    <row r="279" spans="12:20" x14ac:dyDescent="0.25">
      <c r="L279" s="47">
        <v>275</v>
      </c>
      <c r="M279" s="40" t="s">
        <v>77</v>
      </c>
      <c r="N279" s="18">
        <v>579</v>
      </c>
      <c r="O279" s="10">
        <v>3</v>
      </c>
      <c r="P279" s="10">
        <v>0</v>
      </c>
      <c r="Q279" s="22">
        <v>13</v>
      </c>
    </row>
    <row r="280" spans="12:20" x14ac:dyDescent="0.25">
      <c r="L280" s="47">
        <v>276</v>
      </c>
      <c r="M280" s="40" t="s">
        <v>77</v>
      </c>
      <c r="N280" s="10">
        <v>580</v>
      </c>
      <c r="O280" s="10">
        <v>3</v>
      </c>
      <c r="P280" s="10">
        <v>0</v>
      </c>
      <c r="Q280" s="22">
        <v>1</v>
      </c>
      <c r="R280" s="52"/>
      <c r="S280" s="37"/>
      <c r="T280" s="37"/>
    </row>
    <row r="281" spans="12:20" x14ac:dyDescent="0.25">
      <c r="L281" s="47">
        <v>277</v>
      </c>
      <c r="M281" s="40" t="s">
        <v>77</v>
      </c>
      <c r="N281" s="10">
        <v>581</v>
      </c>
      <c r="O281" s="10">
        <v>3</v>
      </c>
      <c r="P281" s="10">
        <v>0</v>
      </c>
      <c r="Q281" s="22">
        <v>1</v>
      </c>
      <c r="R281" s="52"/>
      <c r="S281" s="37"/>
      <c r="T281" s="37"/>
    </row>
    <row r="282" spans="12:20" x14ac:dyDescent="0.25">
      <c r="L282" s="47">
        <v>278</v>
      </c>
      <c r="M282" s="40" t="s">
        <v>77</v>
      </c>
      <c r="N282" s="10">
        <v>582</v>
      </c>
      <c r="O282" s="10">
        <v>3</v>
      </c>
      <c r="P282" s="10">
        <v>0</v>
      </c>
      <c r="Q282" s="22">
        <v>1</v>
      </c>
      <c r="R282" s="52"/>
      <c r="S282" s="37"/>
      <c r="T282" s="37"/>
    </row>
    <row r="283" spans="12:20" x14ac:dyDescent="0.25">
      <c r="L283" s="47">
        <v>279</v>
      </c>
      <c r="M283" s="40" t="s">
        <v>77</v>
      </c>
      <c r="N283" s="10">
        <v>583</v>
      </c>
      <c r="O283" s="10">
        <v>3</v>
      </c>
      <c r="P283" s="10">
        <v>0</v>
      </c>
      <c r="Q283" s="22">
        <v>1</v>
      </c>
      <c r="R283" s="52"/>
      <c r="S283" s="37"/>
      <c r="T283" s="37"/>
    </row>
    <row r="284" spans="12:20" x14ac:dyDescent="0.25">
      <c r="L284" s="47">
        <v>280</v>
      </c>
      <c r="M284" s="40" t="s">
        <v>77</v>
      </c>
      <c r="N284" s="10">
        <v>584</v>
      </c>
      <c r="O284" s="10">
        <v>3</v>
      </c>
      <c r="P284" s="10">
        <v>0</v>
      </c>
      <c r="Q284" s="22">
        <v>1</v>
      </c>
      <c r="R284" s="52"/>
      <c r="S284" s="37"/>
      <c r="T284" s="37"/>
    </row>
    <row r="285" spans="12:20" x14ac:dyDescent="0.25">
      <c r="L285" s="47">
        <v>281</v>
      </c>
      <c r="M285" s="40" t="s">
        <v>77</v>
      </c>
      <c r="N285" s="10">
        <v>585</v>
      </c>
      <c r="O285" s="10">
        <v>2</v>
      </c>
      <c r="P285" s="10">
        <v>0</v>
      </c>
      <c r="Q285" s="22">
        <v>12</v>
      </c>
    </row>
    <row r="286" spans="12:20" x14ac:dyDescent="0.25">
      <c r="L286" s="47">
        <v>282</v>
      </c>
      <c r="M286" s="40" t="s">
        <v>78</v>
      </c>
      <c r="N286" s="41">
        <v>607</v>
      </c>
      <c r="O286" s="10">
        <v>2</v>
      </c>
      <c r="P286" s="10">
        <v>1</v>
      </c>
      <c r="Q286" s="22" t="s">
        <v>44</v>
      </c>
    </row>
    <row r="287" spans="12:20" x14ac:dyDescent="0.25">
      <c r="L287" s="47">
        <v>283</v>
      </c>
      <c r="M287" s="40" t="s">
        <v>78</v>
      </c>
      <c r="N287" s="41">
        <v>608</v>
      </c>
      <c r="O287" s="10">
        <v>3</v>
      </c>
      <c r="P287" s="10">
        <v>1</v>
      </c>
      <c r="Q287" s="22">
        <v>1</v>
      </c>
      <c r="R287" s="52"/>
      <c r="S287" s="37"/>
      <c r="T287" s="37"/>
    </row>
    <row r="288" spans="12:20" x14ac:dyDescent="0.25">
      <c r="L288" s="47">
        <v>284</v>
      </c>
      <c r="M288" s="40" t="s">
        <v>78</v>
      </c>
      <c r="N288" s="41">
        <v>609</v>
      </c>
      <c r="O288" s="10">
        <v>3</v>
      </c>
      <c r="P288" s="10">
        <v>1</v>
      </c>
      <c r="Q288" s="22">
        <v>1</v>
      </c>
      <c r="R288" s="52"/>
      <c r="S288" s="37"/>
      <c r="T288" s="37"/>
    </row>
    <row r="289" spans="12:20" x14ac:dyDescent="0.25">
      <c r="L289" s="47">
        <v>285</v>
      </c>
      <c r="M289" s="40" t="s">
        <v>78</v>
      </c>
      <c r="N289" s="41">
        <v>610</v>
      </c>
      <c r="O289" s="10">
        <v>3</v>
      </c>
      <c r="P289" s="10">
        <v>1</v>
      </c>
      <c r="Q289" s="22">
        <v>1</v>
      </c>
      <c r="R289" s="52"/>
      <c r="S289" s="37"/>
      <c r="T289" s="37"/>
    </row>
    <row r="290" spans="12:20" x14ac:dyDescent="0.25">
      <c r="L290" s="47">
        <v>286</v>
      </c>
      <c r="M290" s="40" t="s">
        <v>78</v>
      </c>
      <c r="N290" s="41">
        <v>611</v>
      </c>
      <c r="O290" s="10">
        <v>3</v>
      </c>
      <c r="P290" s="10">
        <v>1</v>
      </c>
      <c r="Q290" s="22">
        <v>1</v>
      </c>
      <c r="R290" s="52"/>
      <c r="S290" s="37"/>
      <c r="T290" s="37"/>
    </row>
    <row r="291" spans="12:20" x14ac:dyDescent="0.25">
      <c r="L291" s="47">
        <v>287</v>
      </c>
      <c r="M291" s="40" t="s">
        <v>78</v>
      </c>
      <c r="N291" s="41">
        <v>612</v>
      </c>
      <c r="O291" s="10">
        <v>3</v>
      </c>
      <c r="P291" s="10">
        <v>1</v>
      </c>
      <c r="Q291" s="22">
        <v>1</v>
      </c>
      <c r="R291" s="52"/>
      <c r="S291" s="37"/>
      <c r="T291" s="37"/>
    </row>
    <row r="292" spans="12:20" x14ac:dyDescent="0.25">
      <c r="L292" s="47">
        <v>288</v>
      </c>
      <c r="M292" s="40" t="s">
        <v>78</v>
      </c>
      <c r="N292" s="41">
        <v>613</v>
      </c>
      <c r="O292" s="10">
        <v>3</v>
      </c>
      <c r="P292" s="10">
        <v>1</v>
      </c>
      <c r="Q292" s="22">
        <v>1</v>
      </c>
      <c r="R292" s="52"/>
      <c r="S292" s="37"/>
      <c r="T292" s="37"/>
    </row>
    <row r="293" spans="12:20" x14ac:dyDescent="0.25">
      <c r="L293" s="47">
        <v>289</v>
      </c>
      <c r="M293" s="40" t="s">
        <v>78</v>
      </c>
      <c r="N293" s="41">
        <v>614</v>
      </c>
      <c r="O293" s="10">
        <v>3</v>
      </c>
      <c r="P293" s="10">
        <v>1</v>
      </c>
      <c r="Q293" s="22">
        <v>1</v>
      </c>
      <c r="R293" s="52"/>
      <c r="S293" s="37"/>
      <c r="T293" s="37"/>
    </row>
    <row r="294" spans="12:20" x14ac:dyDescent="0.25">
      <c r="L294" s="47">
        <v>290</v>
      </c>
      <c r="M294" s="40" t="s">
        <v>78</v>
      </c>
      <c r="N294" s="41">
        <v>615</v>
      </c>
      <c r="O294" s="10">
        <v>3</v>
      </c>
      <c r="P294" s="10">
        <v>1</v>
      </c>
      <c r="Q294" s="22">
        <v>1</v>
      </c>
      <c r="R294" s="52"/>
      <c r="S294" s="37"/>
      <c r="T294" s="37"/>
    </row>
    <row r="295" spans="12:20" x14ac:dyDescent="0.25">
      <c r="L295" s="47">
        <v>291</v>
      </c>
      <c r="M295" s="40" t="s">
        <v>78</v>
      </c>
      <c r="N295" s="41">
        <v>616</v>
      </c>
      <c r="O295" s="10">
        <v>3</v>
      </c>
      <c r="P295" s="10">
        <v>1</v>
      </c>
      <c r="Q295" s="22">
        <v>1</v>
      </c>
      <c r="R295" s="52"/>
      <c r="S295" s="37"/>
      <c r="T295" s="37"/>
    </row>
    <row r="296" spans="12:20" x14ac:dyDescent="0.25">
      <c r="L296" s="47">
        <v>292</v>
      </c>
      <c r="M296" s="40" t="s">
        <v>78</v>
      </c>
      <c r="N296" s="41">
        <v>617</v>
      </c>
      <c r="O296" s="10">
        <v>3</v>
      </c>
      <c r="P296" s="10">
        <v>1</v>
      </c>
      <c r="Q296" s="22">
        <v>1</v>
      </c>
      <c r="R296" s="52"/>
      <c r="S296" s="37"/>
      <c r="T296" s="37"/>
    </row>
    <row r="297" spans="12:20" x14ac:dyDescent="0.25">
      <c r="L297" s="47">
        <v>293</v>
      </c>
      <c r="M297" s="40" t="s">
        <v>78</v>
      </c>
      <c r="N297" s="41">
        <v>618</v>
      </c>
      <c r="O297" s="10">
        <v>3</v>
      </c>
      <c r="P297" s="10">
        <v>1</v>
      </c>
      <c r="Q297" s="22">
        <v>1</v>
      </c>
      <c r="R297" s="52"/>
      <c r="S297" s="37"/>
      <c r="T297" s="37"/>
    </row>
    <row r="298" spans="12:20" x14ac:dyDescent="0.25">
      <c r="L298" s="47">
        <v>294</v>
      </c>
      <c r="M298" s="40" t="s">
        <v>78</v>
      </c>
      <c r="N298" s="41">
        <v>619</v>
      </c>
      <c r="O298" s="10">
        <v>3</v>
      </c>
      <c r="P298" s="10">
        <v>1</v>
      </c>
      <c r="Q298" s="22">
        <v>1</v>
      </c>
      <c r="R298" s="52"/>
      <c r="S298" s="37"/>
      <c r="T298" s="37"/>
    </row>
    <row r="299" spans="12:20" x14ac:dyDescent="0.25">
      <c r="L299" s="47">
        <v>295</v>
      </c>
      <c r="M299" s="40" t="s">
        <v>78</v>
      </c>
      <c r="N299" s="41">
        <v>620</v>
      </c>
      <c r="O299" s="10">
        <v>3</v>
      </c>
      <c r="P299" s="10">
        <v>1</v>
      </c>
      <c r="Q299" s="22">
        <v>1</v>
      </c>
      <c r="R299" s="52"/>
      <c r="S299" s="37"/>
      <c r="T299" s="37"/>
    </row>
    <row r="300" spans="12:20" x14ac:dyDescent="0.25">
      <c r="L300" s="47">
        <v>296</v>
      </c>
      <c r="M300" s="40" t="s">
        <v>78</v>
      </c>
      <c r="N300" s="41">
        <v>621</v>
      </c>
      <c r="O300" s="10">
        <v>3</v>
      </c>
      <c r="P300" s="10">
        <v>1</v>
      </c>
      <c r="Q300" s="22" t="s">
        <v>44</v>
      </c>
    </row>
    <row r="301" spans="12:20" x14ac:dyDescent="0.25">
      <c r="L301" s="47">
        <v>297</v>
      </c>
      <c r="M301" s="39" t="s">
        <v>79</v>
      </c>
      <c r="N301" s="10">
        <v>527</v>
      </c>
      <c r="O301" s="10">
        <v>3</v>
      </c>
      <c r="P301" s="10">
        <v>1</v>
      </c>
      <c r="Q301" s="23" t="s">
        <v>44</v>
      </c>
    </row>
    <row r="302" spans="12:20" x14ac:dyDescent="0.25">
      <c r="L302" s="47">
        <v>298</v>
      </c>
      <c r="M302" s="39" t="s">
        <v>79</v>
      </c>
      <c r="N302" s="10">
        <v>528</v>
      </c>
      <c r="O302" s="10">
        <v>5</v>
      </c>
      <c r="P302" s="10">
        <v>1</v>
      </c>
      <c r="Q302" s="23">
        <v>1</v>
      </c>
      <c r="R302" s="44"/>
      <c r="S302" s="36"/>
      <c r="T302" s="36"/>
    </row>
    <row r="303" spans="12:20" x14ac:dyDescent="0.25">
      <c r="L303" s="47">
        <v>299</v>
      </c>
      <c r="M303" s="39" t="s">
        <v>79</v>
      </c>
      <c r="N303" s="10">
        <v>529</v>
      </c>
      <c r="O303" s="10">
        <v>4</v>
      </c>
      <c r="P303" s="10">
        <v>1</v>
      </c>
      <c r="Q303" s="23">
        <v>1</v>
      </c>
      <c r="R303" s="44"/>
      <c r="S303" s="36"/>
      <c r="T303" s="36"/>
    </row>
    <row r="304" spans="12:20" x14ac:dyDescent="0.25">
      <c r="L304" s="47">
        <v>300</v>
      </c>
      <c r="M304" s="39" t="s">
        <v>79</v>
      </c>
      <c r="N304" s="33">
        <v>530</v>
      </c>
      <c r="O304" s="10">
        <v>3</v>
      </c>
      <c r="P304" s="10">
        <v>1</v>
      </c>
      <c r="Q304" s="23" t="s">
        <v>44</v>
      </c>
    </row>
    <row r="305" spans="12:20" x14ac:dyDescent="0.25">
      <c r="L305" s="47">
        <v>301</v>
      </c>
      <c r="M305" s="39" t="s">
        <v>79</v>
      </c>
      <c r="N305" s="10">
        <v>531</v>
      </c>
      <c r="O305" s="10">
        <v>3</v>
      </c>
      <c r="P305" s="10">
        <v>1</v>
      </c>
      <c r="Q305" s="23">
        <v>1</v>
      </c>
      <c r="R305" s="44"/>
      <c r="S305" s="36"/>
      <c r="T305" s="36"/>
    </row>
    <row r="306" spans="12:20" x14ac:dyDescent="0.25">
      <c r="M306" s="47"/>
      <c r="N306" s="10" t="s">
        <v>44</v>
      </c>
      <c r="O306" s="10"/>
      <c r="P306" s="10"/>
      <c r="Q306" s="23"/>
    </row>
    <row r="307" spans="12:20" x14ac:dyDescent="0.25">
      <c r="M307" s="47"/>
      <c r="N307" s="18" t="s">
        <v>43</v>
      </c>
      <c r="O307" s="10"/>
      <c r="P307" s="10"/>
      <c r="Q307" s="22"/>
    </row>
    <row r="308" spans="12:20" x14ac:dyDescent="0.25">
      <c r="M308" s="47"/>
      <c r="N308" s="10" t="s">
        <v>45</v>
      </c>
      <c r="O308" s="10"/>
      <c r="P308" s="10"/>
      <c r="Q308" s="23"/>
    </row>
    <row r="309" spans="12:20" x14ac:dyDescent="0.25">
      <c r="N309" s="10" t="s">
        <v>41</v>
      </c>
      <c r="O309" s="10"/>
      <c r="P309" s="10"/>
      <c r="Q309" s="23"/>
    </row>
    <row r="310" spans="12:20" x14ac:dyDescent="0.25">
      <c r="N310" s="32">
        <v>12</v>
      </c>
      <c r="O310" s="10"/>
      <c r="P310" s="10"/>
      <c r="Q310" s="19"/>
    </row>
    <row r="311" spans="12:20" x14ac:dyDescent="0.25">
      <c r="N311" s="32">
        <v>13</v>
      </c>
      <c r="O311" s="10"/>
      <c r="P311" s="10"/>
      <c r="Q311" s="21"/>
    </row>
    <row r="312" spans="12:20" x14ac:dyDescent="0.25">
      <c r="N312" s="32">
        <v>14</v>
      </c>
      <c r="O312" s="10"/>
      <c r="P312" s="10"/>
      <c r="Q312" s="34">
        <v>14</v>
      </c>
    </row>
    <row r="313" spans="12:20" x14ac:dyDescent="0.25">
      <c r="N313" s="10"/>
      <c r="O313" s="10"/>
      <c r="P313" s="10"/>
      <c r="Q313" s="23"/>
      <c r="R313" s="44"/>
      <c r="S313" s="36"/>
      <c r="T313" s="36"/>
    </row>
    <row r="314" spans="12:20" x14ac:dyDescent="0.25">
      <c r="N314" s="10">
        <v>312</v>
      </c>
      <c r="O314" s="10">
        <v>3</v>
      </c>
      <c r="P314" s="10">
        <v>1</v>
      </c>
      <c r="Q314" s="23">
        <v>1</v>
      </c>
      <c r="R314" s="44"/>
      <c r="S314" s="36"/>
      <c r="T314" s="36"/>
    </row>
    <row r="315" spans="12:20" x14ac:dyDescent="0.25">
      <c r="N315" s="10">
        <v>522</v>
      </c>
      <c r="O315" s="10">
        <v>5</v>
      </c>
      <c r="P315" s="10">
        <v>1</v>
      </c>
      <c r="Q315" s="23">
        <v>1</v>
      </c>
      <c r="R315" s="44"/>
      <c r="S315" s="36"/>
      <c r="T315" s="36"/>
    </row>
    <row r="316" spans="12:20" x14ac:dyDescent="0.25">
      <c r="N316" s="10">
        <v>524</v>
      </c>
      <c r="O316" s="10">
        <v>5</v>
      </c>
      <c r="P316" s="10">
        <v>1</v>
      </c>
      <c r="Q316" s="23">
        <v>1</v>
      </c>
      <c r="R316" s="44"/>
      <c r="S316" s="36"/>
      <c r="T316" s="36"/>
    </row>
    <row r="317" spans="12:20" x14ac:dyDescent="0.25">
      <c r="N317" s="10">
        <v>525</v>
      </c>
      <c r="O317" s="10">
        <v>4</v>
      </c>
      <c r="P317" s="10">
        <v>1</v>
      </c>
      <c r="Q317" s="23">
        <v>1</v>
      </c>
      <c r="R317" s="44"/>
      <c r="S317" s="36"/>
      <c r="T317" s="36"/>
    </row>
    <row r="318" spans="12:20" x14ac:dyDescent="0.25">
      <c r="N318" s="10">
        <v>536</v>
      </c>
      <c r="O318" s="10">
        <v>5</v>
      </c>
      <c r="P318" s="10">
        <v>1</v>
      </c>
      <c r="Q318" s="23">
        <v>1</v>
      </c>
      <c r="R318" s="52"/>
      <c r="S318" s="37"/>
      <c r="T318" s="37"/>
    </row>
    <row r="319" spans="12:20" x14ac:dyDescent="0.25">
      <c r="N319" s="10">
        <v>537</v>
      </c>
      <c r="O319" s="10">
        <v>5</v>
      </c>
      <c r="P319" s="10">
        <v>1</v>
      </c>
      <c r="Q319" s="23">
        <v>1</v>
      </c>
      <c r="R319" s="44"/>
      <c r="S319" s="36"/>
      <c r="T319" s="36"/>
    </row>
    <row r="320" spans="12:20" x14ac:dyDescent="0.25">
      <c r="N320" s="10">
        <v>167</v>
      </c>
      <c r="O320" s="10">
        <v>2</v>
      </c>
      <c r="P320" s="10">
        <v>0</v>
      </c>
      <c r="Q320" s="23">
        <v>12</v>
      </c>
      <c r="R320" s="44"/>
      <c r="S320" s="36"/>
      <c r="T320" s="36"/>
    </row>
    <row r="321" spans="14:20" x14ac:dyDescent="0.25">
      <c r="N321" s="10">
        <v>176</v>
      </c>
      <c r="O321" s="10">
        <v>2</v>
      </c>
      <c r="P321" s="10">
        <v>0</v>
      </c>
      <c r="Q321" s="23">
        <v>12</v>
      </c>
      <c r="R321" s="44"/>
      <c r="S321" s="36"/>
      <c r="T321" s="36"/>
    </row>
    <row r="322" spans="14:20" x14ac:dyDescent="0.25">
      <c r="N322" s="10">
        <v>179</v>
      </c>
      <c r="O322" s="10">
        <v>2</v>
      </c>
      <c r="P322" s="10">
        <v>0</v>
      </c>
      <c r="Q322" s="23">
        <v>12</v>
      </c>
      <c r="R322" s="44"/>
      <c r="S322" s="36"/>
      <c r="T322" s="36"/>
    </row>
    <row r="323" spans="14:20" x14ac:dyDescent="0.25">
      <c r="N323" s="10">
        <v>184</v>
      </c>
      <c r="O323" s="10">
        <v>2</v>
      </c>
      <c r="P323" s="10">
        <v>0</v>
      </c>
      <c r="Q323" s="23">
        <v>12</v>
      </c>
      <c r="R323" s="44"/>
      <c r="S323" s="36"/>
      <c r="T323" s="36"/>
    </row>
    <row r="324" spans="14:20" x14ac:dyDescent="0.25">
      <c r="N324" s="10">
        <v>187</v>
      </c>
      <c r="O324" s="10">
        <v>2</v>
      </c>
      <c r="P324" s="10">
        <v>0</v>
      </c>
      <c r="Q324" s="23">
        <v>12</v>
      </c>
      <c r="R324" s="44"/>
      <c r="S324" s="36"/>
      <c r="T324" s="36"/>
    </row>
    <row r="325" spans="14:20" x14ac:dyDescent="0.25">
      <c r="N325" s="10">
        <v>39</v>
      </c>
      <c r="O325" s="10">
        <v>3</v>
      </c>
      <c r="P325" s="10">
        <v>0</v>
      </c>
      <c r="Q325" s="23">
        <v>13</v>
      </c>
      <c r="R325" s="44"/>
      <c r="S325" s="36"/>
      <c r="T325" s="36"/>
    </row>
    <row r="326" spans="14:20" x14ac:dyDescent="0.25">
      <c r="N326" s="10">
        <v>169</v>
      </c>
      <c r="O326" s="10">
        <v>3</v>
      </c>
      <c r="P326" s="10">
        <v>0</v>
      </c>
      <c r="Q326" s="23">
        <v>13</v>
      </c>
      <c r="R326" s="44"/>
      <c r="S326" s="36"/>
      <c r="T326" s="36"/>
    </row>
    <row r="327" spans="14:20" x14ac:dyDescent="0.25">
      <c r="N327" s="10">
        <v>171</v>
      </c>
      <c r="O327" s="10">
        <v>3</v>
      </c>
      <c r="P327" s="10">
        <v>0</v>
      </c>
      <c r="Q327" s="23">
        <v>13</v>
      </c>
      <c r="R327" s="44"/>
      <c r="S327" s="36"/>
      <c r="T327" s="36"/>
    </row>
    <row r="328" spans="14:20" x14ac:dyDescent="0.25">
      <c r="N328" s="10">
        <v>178</v>
      </c>
      <c r="O328" s="10">
        <v>3</v>
      </c>
      <c r="P328" s="10">
        <v>0</v>
      </c>
      <c r="Q328" s="23">
        <v>13</v>
      </c>
    </row>
    <row r="329" spans="14:20" x14ac:dyDescent="0.25">
      <c r="N329" s="10">
        <v>182</v>
      </c>
      <c r="O329" s="10">
        <v>3</v>
      </c>
      <c r="P329" s="10">
        <v>0</v>
      </c>
      <c r="Q329" s="23">
        <v>13</v>
      </c>
    </row>
    <row r="330" spans="14:20" x14ac:dyDescent="0.25">
      <c r="N330" s="10">
        <v>336</v>
      </c>
      <c r="O330" s="10">
        <v>3</v>
      </c>
      <c r="P330" s="10">
        <v>1</v>
      </c>
      <c r="Q330" s="23" t="s">
        <v>44</v>
      </c>
    </row>
    <row r="331" spans="14:20" x14ac:dyDescent="0.25">
      <c r="N331" s="10">
        <v>526</v>
      </c>
      <c r="O331" s="10">
        <v>3</v>
      </c>
      <c r="P331" s="10">
        <v>1</v>
      </c>
      <c r="Q331" s="23" t="s">
        <v>44</v>
      </c>
    </row>
    <row r="332" spans="14:20" x14ac:dyDescent="0.25">
      <c r="N332" s="10">
        <v>530</v>
      </c>
      <c r="O332" s="10">
        <v>3</v>
      </c>
      <c r="P332" s="10">
        <v>1</v>
      </c>
      <c r="Q332" s="23" t="s">
        <v>44</v>
      </c>
    </row>
  </sheetData>
  <sortState ref="E44:F127">
    <sortCondition ref="E44:E127"/>
  </sortState>
  <conditionalFormatting sqref="R70:R77">
    <cfRule type="cellIs" dxfId="5" priority="7" operator="lessThan">
      <formula>0.95</formula>
    </cfRule>
  </conditionalFormatting>
  <conditionalFormatting sqref="R118:R126">
    <cfRule type="cellIs" dxfId="4" priority="5" operator="lessThan">
      <formula>0.95</formula>
    </cfRule>
  </conditionalFormatting>
  <conditionalFormatting sqref="R180:R187">
    <cfRule type="cellIs" dxfId="3" priority="4" operator="lessThan">
      <formula>0.95</formula>
    </cfRule>
  </conditionalFormatting>
  <conditionalFormatting sqref="R204">
    <cfRule type="cellIs" dxfId="2" priority="3" operator="lessThan">
      <formula>0.95</formula>
    </cfRule>
  </conditionalFormatting>
  <conditionalFormatting sqref="R217">
    <cfRule type="cellIs" dxfId="1" priority="2" operator="lessThan">
      <formula>0.95</formula>
    </cfRule>
  </conditionalFormatting>
  <conditionalFormatting sqref="R217">
    <cfRule type="cellIs" dxfId="0" priority="1" operator="lessThan">
      <formula>0.95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locked="0" defaultSize="0" print="0" autoFill="0" autoPict="0" macro="[0]!Step3">
                <anchor moveWithCells="1" sizeWithCells="1">
                  <from>
                    <xdr:col>1</xdr:col>
                    <xdr:colOff>0</xdr:colOff>
                    <xdr:row>2</xdr:row>
                    <xdr:rowOff>0</xdr:rowOff>
                  </from>
                  <to>
                    <xdr:col>2</xdr:col>
                    <xdr:colOff>638175</xdr:colOff>
                    <xdr:row>3</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K296"/>
  <sheetViews>
    <sheetView zoomScaleNormal="100" workbookViewId="0">
      <selection activeCell="E8" sqref="E8"/>
    </sheetView>
  </sheetViews>
  <sheetFormatPr defaultRowHeight="15" x14ac:dyDescent="0.25"/>
  <cols>
    <col min="1" max="1" width="4.140625" style="95" customWidth="1"/>
    <col min="2" max="2" width="10.7109375" style="95" customWidth="1"/>
    <col min="3" max="3" width="21.7109375" style="95" customWidth="1"/>
    <col min="4" max="4" width="8.7109375" style="95" customWidth="1"/>
    <col min="5" max="8" width="10.7109375" style="95" customWidth="1"/>
    <col min="9" max="10" width="24" style="95" customWidth="1"/>
    <col min="11" max="11" width="10.5703125" style="95" customWidth="1"/>
    <col min="12" max="16384" width="9.140625" style="95"/>
  </cols>
  <sheetData>
    <row r="1" spans="2:11" ht="18.75" x14ac:dyDescent="0.3">
      <c r="B1" s="13" t="s">
        <v>21</v>
      </c>
      <c r="C1" s="13"/>
      <c r="D1" s="13"/>
      <c r="E1" s="13"/>
      <c r="H1" s="13"/>
      <c r="I1" s="12" t="s">
        <v>20</v>
      </c>
    </row>
    <row r="2" spans="2:11" x14ac:dyDescent="0.25">
      <c r="E2" s="6"/>
      <c r="F2" s="6"/>
      <c r="G2" s="6"/>
      <c r="H2" s="6"/>
      <c r="I2" s="6"/>
      <c r="J2" s="6"/>
      <c r="K2" s="6"/>
    </row>
    <row r="3" spans="2:11" x14ac:dyDescent="0.25">
      <c r="E3" s="6"/>
      <c r="F3" s="6"/>
      <c r="G3" s="6"/>
    </row>
    <row r="4" spans="2:11" x14ac:dyDescent="0.25">
      <c r="D4" s="95" t="s">
        <v>19</v>
      </c>
      <c r="E4" s="95" t="s">
        <v>18</v>
      </c>
      <c r="F4" s="95" t="s">
        <v>38</v>
      </c>
      <c r="G4" s="95" t="s">
        <v>39</v>
      </c>
      <c r="H4" s="95" t="s">
        <v>17</v>
      </c>
      <c r="I4" s="95" t="s">
        <v>16</v>
      </c>
      <c r="J4" s="95" t="s">
        <v>15</v>
      </c>
    </row>
    <row r="5" spans="2:11" x14ac:dyDescent="0.25">
      <c r="B5" s="2" t="s">
        <v>272</v>
      </c>
      <c r="C5" s="95" t="s">
        <v>14</v>
      </c>
      <c r="D5" s="95">
        <v>1</v>
      </c>
      <c r="E5" s="10">
        <v>2</v>
      </c>
      <c r="F5" s="10">
        <v>5</v>
      </c>
      <c r="G5" s="10">
        <v>1</v>
      </c>
      <c r="H5" s="5" t="str">
        <f t="shared" ref="H5:H68" si="0">"det_"&amp;E5&amp;""</f>
        <v>det_2</v>
      </c>
      <c r="I5" s="5" t="str">
        <f t="shared" ref="I5:I68" si="1">$B$5&amp;"\"&amp;H5&amp;".txt"</f>
        <v>W:\Performance Measurement\1. Freeway\1. raw data\2012\data files\det_2.txt</v>
      </c>
      <c r="J5" s="5" t="str">
        <f t="shared" ref="J5:J68" si="2">$B$5&amp;"\"&amp;H5&amp;".xlsx"</f>
        <v>W:\Performance Measurement\1. Freeway\1. raw data\2012\data files\det_2.xlsx</v>
      </c>
      <c r="K5" s="5"/>
    </row>
    <row r="6" spans="2:11" x14ac:dyDescent="0.25">
      <c r="B6" s="2" t="s">
        <v>47</v>
      </c>
      <c r="C6" s="95" t="s">
        <v>13</v>
      </c>
      <c r="D6" s="95">
        <v>2</v>
      </c>
      <c r="E6" s="10">
        <v>4</v>
      </c>
      <c r="F6" s="10">
        <v>4</v>
      </c>
      <c r="G6" s="10">
        <v>1</v>
      </c>
      <c r="H6" s="5" t="str">
        <f t="shared" si="0"/>
        <v>det_4</v>
      </c>
      <c r="I6" s="5" t="str">
        <f t="shared" si="1"/>
        <v>W:\Performance Measurement\1. Freeway\1. raw data\2012\data files\det_4.txt</v>
      </c>
      <c r="J6" s="5" t="str">
        <f t="shared" si="2"/>
        <v>W:\Performance Measurement\1. Freeway\1. raw data\2012\data files\det_4.xlsx</v>
      </c>
      <c r="K6" s="5"/>
    </row>
    <row r="7" spans="2:11" x14ac:dyDescent="0.25">
      <c r="B7" s="2" t="s">
        <v>271</v>
      </c>
      <c r="C7" s="95" t="s">
        <v>11</v>
      </c>
      <c r="D7" s="95">
        <v>3</v>
      </c>
      <c r="E7" s="10">
        <v>20</v>
      </c>
      <c r="F7" s="10">
        <v>4</v>
      </c>
      <c r="G7" s="10">
        <v>1</v>
      </c>
      <c r="H7" s="5" t="str">
        <f t="shared" si="0"/>
        <v>det_20</v>
      </c>
      <c r="I7" s="5" t="str">
        <f t="shared" si="1"/>
        <v>W:\Performance Measurement\1. Freeway\1. raw data\2012\data files\det_20.txt</v>
      </c>
      <c r="J7" s="5" t="str">
        <f t="shared" si="2"/>
        <v>W:\Performance Measurement\1. Freeway\1. raw data\2012\data files\det_20.xlsx</v>
      </c>
      <c r="K7" s="5"/>
    </row>
    <row r="8" spans="2:11" x14ac:dyDescent="0.25">
      <c r="B8" s="2" t="s">
        <v>260</v>
      </c>
      <c r="C8" s="1" t="s">
        <v>10</v>
      </c>
      <c r="D8" s="95">
        <v>4</v>
      </c>
      <c r="E8" s="10">
        <v>24</v>
      </c>
      <c r="F8" s="10">
        <v>4</v>
      </c>
      <c r="G8" s="10">
        <v>1</v>
      </c>
      <c r="H8" s="5" t="str">
        <f t="shared" si="0"/>
        <v>det_24</v>
      </c>
      <c r="I8" s="5" t="str">
        <f t="shared" si="1"/>
        <v>W:\Performance Measurement\1. Freeway\1. raw data\2012\data files\det_24.txt</v>
      </c>
      <c r="J8" s="5" t="str">
        <f t="shared" si="2"/>
        <v>W:\Performance Measurement\1. Freeway\1. raw data\2012\data files\det_24.xlsx</v>
      </c>
      <c r="K8" s="5"/>
    </row>
    <row r="9" spans="2:11" x14ac:dyDescent="0.25">
      <c r="D9" s="95">
        <v>5</v>
      </c>
      <c r="E9" s="10">
        <v>40</v>
      </c>
      <c r="F9" s="10">
        <v>5</v>
      </c>
      <c r="G9" s="10">
        <v>1</v>
      </c>
      <c r="H9" s="5" t="str">
        <f t="shared" si="0"/>
        <v>det_40</v>
      </c>
      <c r="I9" s="5" t="str">
        <f t="shared" si="1"/>
        <v>W:\Performance Measurement\1. Freeway\1. raw data\2012\data files\det_40.txt</v>
      </c>
      <c r="J9" s="5" t="str">
        <f t="shared" si="2"/>
        <v>W:\Performance Measurement\1. Freeway\1. raw data\2012\data files\det_40.xlsx</v>
      </c>
      <c r="K9" s="5"/>
    </row>
    <row r="10" spans="2:11" x14ac:dyDescent="0.25">
      <c r="B10" s="3">
        <v>2012</v>
      </c>
      <c r="C10" s="95" t="s">
        <v>9</v>
      </c>
      <c r="D10" s="95">
        <v>6</v>
      </c>
      <c r="E10" s="10">
        <v>47</v>
      </c>
      <c r="F10" s="10">
        <v>5</v>
      </c>
      <c r="G10" s="10">
        <v>1</v>
      </c>
      <c r="H10" s="5" t="str">
        <f t="shared" si="0"/>
        <v>det_47</v>
      </c>
      <c r="I10" s="5" t="str">
        <f t="shared" si="1"/>
        <v>W:\Performance Measurement\1. Freeway\1. raw data\2012\data files\det_47.txt</v>
      </c>
      <c r="J10" s="5" t="str">
        <f t="shared" si="2"/>
        <v>W:\Performance Measurement\1. Freeway\1. raw data\2012\data files\det_47.xlsx</v>
      </c>
      <c r="K10" s="5"/>
    </row>
    <row r="11" spans="2:11" x14ac:dyDescent="0.25">
      <c r="B11" s="3">
        <v>366</v>
      </c>
      <c r="C11" s="95" t="s">
        <v>0</v>
      </c>
      <c r="D11" s="95">
        <v>7</v>
      </c>
      <c r="E11" s="10">
        <v>50</v>
      </c>
      <c r="F11" s="10">
        <v>4</v>
      </c>
      <c r="G11" s="10">
        <v>1</v>
      </c>
      <c r="H11" s="5" t="str">
        <f t="shared" si="0"/>
        <v>det_50</v>
      </c>
      <c r="I11" s="5" t="str">
        <f t="shared" si="1"/>
        <v>W:\Performance Measurement\1. Freeway\1. raw data\2012\data files\det_50.txt</v>
      </c>
      <c r="J11" s="5" t="str">
        <f t="shared" si="2"/>
        <v>W:\Performance Measurement\1. Freeway\1. raw data\2012\data files\det_50.xlsx</v>
      </c>
      <c r="K11" s="5"/>
    </row>
    <row r="12" spans="2:11" x14ac:dyDescent="0.25">
      <c r="B12" s="3">
        <v>249</v>
      </c>
      <c r="C12" s="95" t="s">
        <v>1</v>
      </c>
      <c r="D12" s="95">
        <v>8</v>
      </c>
      <c r="E12" s="10">
        <v>64</v>
      </c>
      <c r="F12" s="10">
        <v>5</v>
      </c>
      <c r="G12" s="10">
        <v>1</v>
      </c>
      <c r="H12" s="5" t="str">
        <f t="shared" si="0"/>
        <v>det_64</v>
      </c>
      <c r="I12" s="5" t="str">
        <f t="shared" si="1"/>
        <v>W:\Performance Measurement\1. Freeway\1. raw data\2012\data files\det_64.txt</v>
      </c>
      <c r="J12" s="5" t="str">
        <f t="shared" si="2"/>
        <v>W:\Performance Measurement\1. Freeway\1. raw data\2012\data files\det_64.xlsx</v>
      </c>
      <c r="K12" s="5"/>
    </row>
    <row r="13" spans="2:11" x14ac:dyDescent="0.25">
      <c r="D13" s="95">
        <v>9</v>
      </c>
      <c r="E13" s="10">
        <v>66</v>
      </c>
      <c r="F13" s="10">
        <v>6</v>
      </c>
      <c r="G13" s="10">
        <v>1</v>
      </c>
      <c r="H13" s="5" t="str">
        <f t="shared" si="0"/>
        <v>det_66</v>
      </c>
      <c r="I13" s="5" t="str">
        <f t="shared" si="1"/>
        <v>W:\Performance Measurement\1. Freeway\1. raw data\2012\data files\det_66.txt</v>
      </c>
      <c r="J13" s="5" t="str">
        <f t="shared" si="2"/>
        <v>W:\Performance Measurement\1. Freeway\1. raw data\2012\data files\det_66.xlsx</v>
      </c>
      <c r="K13" s="5"/>
    </row>
    <row r="14" spans="2:11" x14ac:dyDescent="0.25">
      <c r="B14" s="3">
        <v>1</v>
      </c>
      <c r="C14" s="1" t="s">
        <v>8</v>
      </c>
      <c r="D14" s="95">
        <v>10</v>
      </c>
      <c r="E14" s="10">
        <v>68</v>
      </c>
      <c r="F14" s="10">
        <v>4</v>
      </c>
      <c r="G14" s="10">
        <v>1</v>
      </c>
      <c r="H14" s="5" t="str">
        <f t="shared" si="0"/>
        <v>det_68</v>
      </c>
      <c r="I14" s="5" t="str">
        <f t="shared" si="1"/>
        <v>W:\Performance Measurement\1. Freeway\1. raw data\2012\data files\det_68.txt</v>
      </c>
      <c r="J14" s="5" t="str">
        <f t="shared" si="2"/>
        <v>W:\Performance Measurement\1. Freeway\1. raw data\2012\data files\det_68.xlsx</v>
      </c>
      <c r="K14" s="5"/>
    </row>
    <row r="15" spans="2:11" x14ac:dyDescent="0.25">
      <c r="D15" s="95">
        <v>11</v>
      </c>
      <c r="E15" s="10">
        <v>73</v>
      </c>
      <c r="F15" s="10">
        <v>5</v>
      </c>
      <c r="G15" s="10">
        <v>1</v>
      </c>
      <c r="H15" s="5" t="str">
        <f t="shared" si="0"/>
        <v>det_73</v>
      </c>
      <c r="I15" s="5" t="str">
        <f t="shared" si="1"/>
        <v>W:\Performance Measurement\1. Freeway\1. raw data\2012\data files\det_73.txt</v>
      </c>
      <c r="J15" s="5" t="str">
        <f t="shared" si="2"/>
        <v>W:\Performance Measurement\1. Freeway\1. raw data\2012\data files\det_73.xlsx</v>
      </c>
      <c r="K15" s="5"/>
    </row>
    <row r="16" spans="2:11" x14ac:dyDescent="0.25">
      <c r="B16" s="3">
        <v>44</v>
      </c>
      <c r="C16" s="95" t="s">
        <v>7</v>
      </c>
      <c r="D16" s="95">
        <v>12</v>
      </c>
      <c r="E16" s="10">
        <v>75</v>
      </c>
      <c r="F16" s="10">
        <v>5</v>
      </c>
      <c r="G16" s="10">
        <v>1</v>
      </c>
      <c r="H16" s="5" t="str">
        <f t="shared" si="0"/>
        <v>det_75</v>
      </c>
      <c r="I16" s="5" t="str">
        <f t="shared" si="1"/>
        <v>W:\Performance Measurement\1. Freeway\1. raw data\2012\data files\det_75.txt</v>
      </c>
      <c r="J16" s="5" t="str">
        <f t="shared" si="2"/>
        <v>W:\Performance Measurement\1. Freeway\1. raw data\2012\data files\det_75.xlsx</v>
      </c>
      <c r="K16" s="5"/>
    </row>
    <row r="17" spans="1:11" x14ac:dyDescent="0.25">
      <c r="B17" s="3">
        <v>68</v>
      </c>
      <c r="C17" s="95" t="s">
        <v>6</v>
      </c>
      <c r="D17" s="95">
        <v>13</v>
      </c>
      <c r="E17" s="10">
        <v>78</v>
      </c>
      <c r="F17" s="10">
        <v>4</v>
      </c>
      <c r="G17" s="10">
        <v>1</v>
      </c>
      <c r="H17" s="5" t="str">
        <f t="shared" si="0"/>
        <v>det_78</v>
      </c>
      <c r="I17" s="5" t="str">
        <f t="shared" si="1"/>
        <v>W:\Performance Measurement\1. Freeway\1. raw data\2012\data files\det_78.txt</v>
      </c>
      <c r="J17" s="5" t="str">
        <f t="shared" si="2"/>
        <v>W:\Performance Measurement\1. Freeway\1. raw data\2012\data files\det_78.xlsx</v>
      </c>
      <c r="K17" s="5"/>
    </row>
    <row r="18" spans="1:11" x14ac:dyDescent="0.25">
      <c r="C18" s="1"/>
      <c r="D18" s="95">
        <v>14</v>
      </c>
      <c r="E18" s="10">
        <v>85</v>
      </c>
      <c r="F18" s="10">
        <v>4</v>
      </c>
      <c r="G18" s="10">
        <v>1</v>
      </c>
      <c r="H18" s="5" t="str">
        <f t="shared" si="0"/>
        <v>det_85</v>
      </c>
      <c r="I18" s="5" t="str">
        <f t="shared" si="1"/>
        <v>W:\Performance Measurement\1. Freeway\1. raw data\2012\data files\det_85.txt</v>
      </c>
      <c r="J18" s="5" t="str">
        <f t="shared" si="2"/>
        <v>W:\Performance Measurement\1. Freeway\1. raw data\2012\data files\det_85.xlsx</v>
      </c>
      <c r="K18" s="5"/>
    </row>
    <row r="19" spans="1:11" x14ac:dyDescent="0.25">
      <c r="B19" s="7" t="str">
        <f>"E1:X"&amp;B$11*36/B14+1</f>
        <v>E1:X13177</v>
      </c>
      <c r="C19" s="1" t="s">
        <v>5</v>
      </c>
      <c r="D19" s="95">
        <v>15</v>
      </c>
      <c r="E19" s="10">
        <v>92</v>
      </c>
      <c r="F19" s="10">
        <v>3</v>
      </c>
      <c r="G19" s="10">
        <v>1</v>
      </c>
      <c r="H19" s="5" t="str">
        <f t="shared" si="0"/>
        <v>det_92</v>
      </c>
      <c r="I19" s="5" t="str">
        <f t="shared" si="1"/>
        <v>W:\Performance Measurement\1. Freeway\1. raw data\2012\data files\det_92.txt</v>
      </c>
      <c r="J19" s="5" t="str">
        <f t="shared" si="2"/>
        <v>W:\Performance Measurement\1. Freeway\1. raw data\2012\data files\det_92.xlsx</v>
      </c>
      <c r="K19" s="5"/>
    </row>
    <row r="20" spans="1:11" x14ac:dyDescent="0.25">
      <c r="B20" s="7" t="str">
        <f>"E1:X"&amp;B$11*72/B14+1</f>
        <v>E1:X26353</v>
      </c>
      <c r="C20" s="1" t="s">
        <v>4</v>
      </c>
      <c r="D20" s="95">
        <v>16</v>
      </c>
      <c r="E20" s="10">
        <v>139</v>
      </c>
      <c r="F20" s="10">
        <v>5</v>
      </c>
      <c r="G20" s="10">
        <v>1</v>
      </c>
      <c r="H20" s="5" t="str">
        <f t="shared" si="0"/>
        <v>det_139</v>
      </c>
      <c r="I20" s="5" t="str">
        <f t="shared" si="1"/>
        <v>W:\Performance Measurement\1. Freeway\1. raw data\2012\data files\det_139.txt</v>
      </c>
      <c r="J20" s="5" t="str">
        <f t="shared" si="2"/>
        <v>W:\Performance Measurement\1. Freeway\1. raw data\2012\data files\det_139.xlsx</v>
      </c>
      <c r="K20" s="5"/>
    </row>
    <row r="21" spans="1:11" x14ac:dyDescent="0.25">
      <c r="B21" s="7" t="str">
        <f>"E1:X"&amp;B$11*48/B14+1</f>
        <v>E1:X17569</v>
      </c>
      <c r="C21" s="1" t="s">
        <v>3</v>
      </c>
      <c r="D21" s="95">
        <v>17</v>
      </c>
      <c r="E21" s="10">
        <v>149</v>
      </c>
      <c r="F21" s="10">
        <v>3</v>
      </c>
      <c r="G21" s="10">
        <v>1</v>
      </c>
      <c r="H21" s="5" t="str">
        <f t="shared" si="0"/>
        <v>det_149</v>
      </c>
      <c r="I21" s="5" t="str">
        <f t="shared" si="1"/>
        <v>W:\Performance Measurement\1. Freeway\1. raw data\2012\data files\det_149.txt</v>
      </c>
      <c r="J21" s="5" t="str">
        <f t="shared" si="2"/>
        <v>W:\Performance Measurement\1. Freeway\1. raw data\2012\data files\det_149.xlsx</v>
      </c>
      <c r="K21" s="5"/>
    </row>
    <row r="22" spans="1:11" x14ac:dyDescent="0.25">
      <c r="B22" s="7" t="str">
        <f>"E1:X"&amp;B$11*132/B14+1</f>
        <v>E1:X48313</v>
      </c>
      <c r="C22" s="1" t="s">
        <v>2</v>
      </c>
      <c r="D22" s="95">
        <v>18</v>
      </c>
      <c r="E22" s="10">
        <v>190</v>
      </c>
      <c r="F22" s="10">
        <v>3</v>
      </c>
      <c r="G22" s="10">
        <v>1</v>
      </c>
      <c r="H22" s="5" t="str">
        <f t="shared" si="0"/>
        <v>det_190</v>
      </c>
      <c r="I22" s="5" t="str">
        <f t="shared" si="1"/>
        <v>W:\Performance Measurement\1. Freeway\1. raw data\2012\data files\det_190.txt</v>
      </c>
      <c r="J22" s="5" t="str">
        <f t="shared" si="2"/>
        <v>W:\Performance Measurement\1. Freeway\1. raw data\2012\data files\det_190.xlsx</v>
      </c>
      <c r="K22" s="5"/>
    </row>
    <row r="23" spans="1:11" x14ac:dyDescent="0.25">
      <c r="D23" s="95">
        <v>19</v>
      </c>
      <c r="E23" s="10">
        <v>198</v>
      </c>
      <c r="F23" s="10">
        <v>3</v>
      </c>
      <c r="G23" s="10">
        <v>1</v>
      </c>
      <c r="H23" s="5" t="str">
        <f t="shared" si="0"/>
        <v>det_198</v>
      </c>
      <c r="I23" s="5" t="str">
        <f t="shared" si="1"/>
        <v>W:\Performance Measurement\1. Freeway\1. raw data\2012\data files\det_198.txt</v>
      </c>
      <c r="J23" s="5" t="str">
        <f t="shared" si="2"/>
        <v>W:\Performance Measurement\1. Freeway\1. raw data\2012\data files\det_198.xlsx</v>
      </c>
      <c r="K23" s="5"/>
    </row>
    <row r="24" spans="1:11" x14ac:dyDescent="0.25">
      <c r="B24" s="4" t="str">
        <f>B6&amp;"\"&amp;B7</f>
        <v>W:\Performance Measurement\1. Freeway\2. processed data_quality control\a. template files\blank2012.xlsx</v>
      </c>
      <c r="D24" s="95">
        <v>20</v>
      </c>
      <c r="E24" s="10">
        <v>209</v>
      </c>
      <c r="F24" s="10">
        <v>3</v>
      </c>
      <c r="G24" s="10">
        <v>1</v>
      </c>
      <c r="H24" s="5" t="str">
        <f t="shared" si="0"/>
        <v>det_209</v>
      </c>
      <c r="I24" s="5" t="str">
        <f t="shared" si="1"/>
        <v>W:\Performance Measurement\1. Freeway\1. raw data\2012\data files\det_209.txt</v>
      </c>
      <c r="J24" s="5" t="str">
        <f t="shared" si="2"/>
        <v>W:\Performance Measurement\1. Freeway\1. raw data\2012\data files\det_209.xlsx</v>
      </c>
      <c r="K24" s="5"/>
    </row>
    <row r="25" spans="1:11" x14ac:dyDescent="0.25">
      <c r="B25" s="4" t="str">
        <f>B6&amp;"\"&amp;B8</f>
        <v>W:\Performance Measurement\1. Freeway\2. processed data_quality control\a. template files\Template.xlsx</v>
      </c>
      <c r="C25" s="1"/>
      <c r="D25" s="95">
        <v>21</v>
      </c>
      <c r="E25" s="10">
        <v>223</v>
      </c>
      <c r="F25" s="10">
        <v>4</v>
      </c>
      <c r="G25" s="10">
        <v>1</v>
      </c>
      <c r="H25" s="5" t="str">
        <f t="shared" si="0"/>
        <v>det_223</v>
      </c>
      <c r="I25" s="5" t="str">
        <f t="shared" si="1"/>
        <v>W:\Performance Measurement\1. Freeway\1. raw data\2012\data files\det_223.txt</v>
      </c>
      <c r="J25" s="5" t="str">
        <f t="shared" si="2"/>
        <v>W:\Performance Measurement\1. Freeway\1. raw data\2012\data files\det_223.xlsx</v>
      </c>
      <c r="K25" s="5"/>
    </row>
    <row r="26" spans="1:11" x14ac:dyDescent="0.25">
      <c r="B26" s="4"/>
      <c r="D26" s="95">
        <v>22</v>
      </c>
      <c r="E26" s="10">
        <v>233</v>
      </c>
      <c r="F26" s="10">
        <v>4</v>
      </c>
      <c r="G26" s="10">
        <v>1</v>
      </c>
      <c r="H26" s="5" t="str">
        <f t="shared" si="0"/>
        <v>det_233</v>
      </c>
      <c r="I26" s="5" t="str">
        <f t="shared" si="1"/>
        <v>W:\Performance Measurement\1. Freeway\1. raw data\2012\data files\det_233.txt</v>
      </c>
      <c r="J26" s="5" t="str">
        <f t="shared" si="2"/>
        <v>W:\Performance Measurement\1. Freeway\1. raw data\2012\data files\det_233.xlsx</v>
      </c>
      <c r="K26" s="5"/>
    </row>
    <row r="27" spans="1:11" x14ac:dyDescent="0.25">
      <c r="D27" s="95">
        <v>23</v>
      </c>
      <c r="E27" s="10">
        <v>243</v>
      </c>
      <c r="F27" s="10">
        <v>4</v>
      </c>
      <c r="G27" s="10">
        <v>1</v>
      </c>
      <c r="H27" s="5" t="str">
        <f t="shared" si="0"/>
        <v>det_243</v>
      </c>
      <c r="I27" s="5" t="str">
        <f t="shared" si="1"/>
        <v>W:\Performance Measurement\1. Freeway\1. raw data\2012\data files\det_243.txt</v>
      </c>
      <c r="J27" s="5" t="str">
        <f t="shared" si="2"/>
        <v>W:\Performance Measurement\1. Freeway\1. raw data\2012\data files\det_243.xlsx</v>
      </c>
      <c r="K27" s="5"/>
    </row>
    <row r="28" spans="1:11" x14ac:dyDescent="0.25">
      <c r="D28" s="95">
        <v>24</v>
      </c>
      <c r="E28" s="10">
        <v>246</v>
      </c>
      <c r="F28" s="10">
        <v>5</v>
      </c>
      <c r="G28" s="10">
        <v>1</v>
      </c>
      <c r="H28" s="5" t="str">
        <f t="shared" si="0"/>
        <v>det_246</v>
      </c>
      <c r="I28" s="5" t="str">
        <f t="shared" si="1"/>
        <v>W:\Performance Measurement\1. Freeway\1. raw data\2012\data files\det_246.txt</v>
      </c>
      <c r="J28" s="5" t="str">
        <f t="shared" si="2"/>
        <v>W:\Performance Measurement\1. Freeway\1. raw data\2012\data files\det_246.xlsx</v>
      </c>
      <c r="K28" s="5"/>
    </row>
    <row r="29" spans="1:11" x14ac:dyDescent="0.25">
      <c r="A29" s="1"/>
      <c r="C29" s="1"/>
      <c r="D29" s="95">
        <v>25</v>
      </c>
      <c r="E29" s="10">
        <v>261</v>
      </c>
      <c r="F29" s="10">
        <v>4</v>
      </c>
      <c r="G29" s="10">
        <v>1</v>
      </c>
      <c r="H29" s="5" t="str">
        <f t="shared" si="0"/>
        <v>det_261</v>
      </c>
      <c r="I29" s="5" t="str">
        <f t="shared" si="1"/>
        <v>W:\Performance Measurement\1. Freeway\1. raw data\2012\data files\det_261.txt</v>
      </c>
      <c r="J29" s="5" t="str">
        <f t="shared" si="2"/>
        <v>W:\Performance Measurement\1. Freeway\1. raw data\2012\data files\det_261.xlsx</v>
      </c>
      <c r="K29" s="5"/>
    </row>
    <row r="30" spans="1:11" x14ac:dyDescent="0.25">
      <c r="A30" s="1"/>
      <c r="C30" s="1"/>
      <c r="D30" s="95">
        <v>26</v>
      </c>
      <c r="E30" s="10">
        <v>264</v>
      </c>
      <c r="F30" s="10">
        <v>5</v>
      </c>
      <c r="G30" s="10">
        <v>1</v>
      </c>
      <c r="H30" s="5" t="str">
        <f t="shared" si="0"/>
        <v>det_264</v>
      </c>
      <c r="I30" s="5" t="str">
        <f t="shared" si="1"/>
        <v>W:\Performance Measurement\1. Freeway\1. raw data\2012\data files\det_264.txt</v>
      </c>
      <c r="J30" s="5" t="str">
        <f t="shared" si="2"/>
        <v>W:\Performance Measurement\1. Freeway\1. raw data\2012\data files\det_264.xlsx</v>
      </c>
      <c r="K30" s="5"/>
    </row>
    <row r="31" spans="1:11" x14ac:dyDescent="0.25">
      <c r="A31" s="1"/>
      <c r="C31" s="1"/>
      <c r="D31" s="95">
        <v>27</v>
      </c>
      <c r="E31" s="10">
        <v>278</v>
      </c>
      <c r="F31" s="10">
        <v>4</v>
      </c>
      <c r="G31" s="10">
        <v>1</v>
      </c>
      <c r="H31" s="5" t="str">
        <f t="shared" si="0"/>
        <v>det_278</v>
      </c>
      <c r="I31" s="5" t="str">
        <f t="shared" si="1"/>
        <v>W:\Performance Measurement\1. Freeway\1. raw data\2012\data files\det_278.txt</v>
      </c>
      <c r="J31" s="5" t="str">
        <f t="shared" si="2"/>
        <v>W:\Performance Measurement\1. Freeway\1. raw data\2012\data files\det_278.xlsx</v>
      </c>
      <c r="K31" s="5"/>
    </row>
    <row r="32" spans="1:11" x14ac:dyDescent="0.25">
      <c r="A32" s="1"/>
      <c r="C32" s="1"/>
      <c r="D32" s="95">
        <v>28</v>
      </c>
      <c r="E32" s="10">
        <v>284</v>
      </c>
      <c r="F32" s="10">
        <v>3</v>
      </c>
      <c r="G32" s="10">
        <v>1</v>
      </c>
      <c r="H32" s="5" t="str">
        <f t="shared" si="0"/>
        <v>det_284</v>
      </c>
      <c r="I32" s="5" t="str">
        <f t="shared" si="1"/>
        <v>W:\Performance Measurement\1. Freeway\1. raw data\2012\data files\det_284.txt</v>
      </c>
      <c r="J32" s="5" t="str">
        <f t="shared" si="2"/>
        <v>W:\Performance Measurement\1. Freeway\1. raw data\2012\data files\det_284.xlsx</v>
      </c>
      <c r="K32" s="5"/>
    </row>
    <row r="33" spans="1:11" x14ac:dyDescent="0.25">
      <c r="A33" s="1"/>
      <c r="C33" s="1"/>
      <c r="D33" s="95">
        <v>29</v>
      </c>
      <c r="E33" s="10">
        <v>294</v>
      </c>
      <c r="F33" s="10">
        <v>4</v>
      </c>
      <c r="G33" s="10">
        <v>1</v>
      </c>
      <c r="H33" s="5" t="str">
        <f t="shared" si="0"/>
        <v>det_294</v>
      </c>
      <c r="I33" s="5" t="str">
        <f t="shared" si="1"/>
        <v>W:\Performance Measurement\1. Freeway\1. raw data\2012\data files\det_294.txt</v>
      </c>
      <c r="J33" s="5" t="str">
        <f t="shared" si="2"/>
        <v>W:\Performance Measurement\1. Freeway\1. raw data\2012\data files\det_294.xlsx</v>
      </c>
      <c r="K33" s="5"/>
    </row>
    <row r="34" spans="1:11" x14ac:dyDescent="0.25">
      <c r="A34" s="1"/>
      <c r="C34" s="1"/>
      <c r="D34" s="95">
        <v>30</v>
      </c>
      <c r="E34" s="10">
        <v>303</v>
      </c>
      <c r="F34" s="10">
        <v>3</v>
      </c>
      <c r="G34" s="10">
        <v>1</v>
      </c>
      <c r="H34" s="5" t="str">
        <f t="shared" si="0"/>
        <v>det_303</v>
      </c>
      <c r="I34" s="5" t="str">
        <f t="shared" si="1"/>
        <v>W:\Performance Measurement\1. Freeway\1. raw data\2012\data files\det_303.txt</v>
      </c>
      <c r="J34" s="5" t="str">
        <f t="shared" si="2"/>
        <v>W:\Performance Measurement\1. Freeway\1. raw data\2012\data files\det_303.xlsx</v>
      </c>
      <c r="K34" s="5"/>
    </row>
    <row r="35" spans="1:11" x14ac:dyDescent="0.25">
      <c r="A35" s="1"/>
      <c r="C35" s="1"/>
      <c r="D35" s="95">
        <v>31</v>
      </c>
      <c r="E35" s="10">
        <v>312</v>
      </c>
      <c r="F35" s="10">
        <v>3</v>
      </c>
      <c r="G35" s="10">
        <v>1</v>
      </c>
      <c r="H35" s="5" t="str">
        <f t="shared" si="0"/>
        <v>det_312</v>
      </c>
      <c r="I35" s="5" t="str">
        <f t="shared" si="1"/>
        <v>W:\Performance Measurement\1. Freeway\1. raw data\2012\data files\det_312.txt</v>
      </c>
      <c r="J35" s="5" t="str">
        <f t="shared" si="2"/>
        <v>W:\Performance Measurement\1. Freeway\1. raw data\2012\data files\det_312.xlsx</v>
      </c>
      <c r="K35" s="5"/>
    </row>
    <row r="36" spans="1:11" x14ac:dyDescent="0.25">
      <c r="A36" s="1"/>
      <c r="D36" s="95">
        <v>32</v>
      </c>
      <c r="E36" s="10">
        <v>313</v>
      </c>
      <c r="F36" s="10">
        <v>3</v>
      </c>
      <c r="G36" s="10">
        <v>1</v>
      </c>
      <c r="H36" s="5" t="str">
        <f t="shared" si="0"/>
        <v>det_313</v>
      </c>
      <c r="I36" s="5" t="str">
        <f t="shared" si="1"/>
        <v>W:\Performance Measurement\1. Freeway\1. raw data\2012\data files\det_313.txt</v>
      </c>
      <c r="J36" s="5" t="str">
        <f t="shared" si="2"/>
        <v>W:\Performance Measurement\1. Freeway\1. raw data\2012\data files\det_313.xlsx</v>
      </c>
      <c r="K36" s="5"/>
    </row>
    <row r="37" spans="1:11" x14ac:dyDescent="0.25">
      <c r="D37" s="95">
        <v>33</v>
      </c>
      <c r="E37" s="10">
        <v>325</v>
      </c>
      <c r="F37" s="10">
        <v>3</v>
      </c>
      <c r="G37" s="10">
        <v>1</v>
      </c>
      <c r="H37" s="5" t="str">
        <f t="shared" si="0"/>
        <v>det_325</v>
      </c>
      <c r="I37" s="5" t="str">
        <f t="shared" si="1"/>
        <v>W:\Performance Measurement\1. Freeway\1. raw data\2012\data files\det_325.txt</v>
      </c>
      <c r="J37" s="5" t="str">
        <f t="shared" si="2"/>
        <v>W:\Performance Measurement\1. Freeway\1. raw data\2012\data files\det_325.xlsx</v>
      </c>
      <c r="K37" s="5"/>
    </row>
    <row r="38" spans="1:11" x14ac:dyDescent="0.25">
      <c r="D38" s="95">
        <v>34</v>
      </c>
      <c r="E38" s="10">
        <v>334</v>
      </c>
      <c r="F38" s="10">
        <v>3</v>
      </c>
      <c r="G38" s="10">
        <v>1</v>
      </c>
      <c r="H38" s="5" t="str">
        <f t="shared" si="0"/>
        <v>det_334</v>
      </c>
      <c r="I38" s="5" t="str">
        <f t="shared" si="1"/>
        <v>W:\Performance Measurement\1. Freeway\1. raw data\2012\data files\det_334.txt</v>
      </c>
      <c r="J38" s="5" t="str">
        <f t="shared" si="2"/>
        <v>W:\Performance Measurement\1. Freeway\1. raw data\2012\data files\det_334.xlsx</v>
      </c>
      <c r="K38" s="5"/>
    </row>
    <row r="39" spans="1:11" x14ac:dyDescent="0.25">
      <c r="D39" s="95">
        <v>35</v>
      </c>
      <c r="E39" s="10">
        <v>337</v>
      </c>
      <c r="F39" s="10">
        <v>3</v>
      </c>
      <c r="G39" s="10">
        <v>1</v>
      </c>
      <c r="H39" s="5" t="str">
        <f t="shared" si="0"/>
        <v>det_337</v>
      </c>
      <c r="I39" s="5" t="str">
        <f t="shared" si="1"/>
        <v>W:\Performance Measurement\1. Freeway\1. raw data\2012\data files\det_337.txt</v>
      </c>
      <c r="J39" s="5" t="str">
        <f t="shared" si="2"/>
        <v>W:\Performance Measurement\1. Freeway\1. raw data\2012\data files\det_337.xlsx</v>
      </c>
      <c r="K39" s="5"/>
    </row>
    <row r="40" spans="1:11" x14ac:dyDescent="0.25">
      <c r="D40" s="95">
        <v>36</v>
      </c>
      <c r="E40" s="10">
        <v>346</v>
      </c>
      <c r="F40" s="10">
        <v>3</v>
      </c>
      <c r="G40" s="10">
        <v>1</v>
      </c>
      <c r="H40" s="5" t="str">
        <f t="shared" si="0"/>
        <v>det_346</v>
      </c>
      <c r="I40" s="5" t="str">
        <f t="shared" si="1"/>
        <v>W:\Performance Measurement\1. Freeway\1. raw data\2012\data files\det_346.txt</v>
      </c>
      <c r="J40" s="5" t="str">
        <f t="shared" si="2"/>
        <v>W:\Performance Measurement\1. Freeway\1. raw data\2012\data files\det_346.xlsx</v>
      </c>
      <c r="K40" s="5"/>
    </row>
    <row r="41" spans="1:11" x14ac:dyDescent="0.25">
      <c r="D41" s="95">
        <v>37</v>
      </c>
      <c r="E41" s="10">
        <v>355</v>
      </c>
      <c r="F41" s="10">
        <v>3</v>
      </c>
      <c r="G41" s="10">
        <v>1</v>
      </c>
      <c r="H41" s="5" t="str">
        <f t="shared" si="0"/>
        <v>det_355</v>
      </c>
      <c r="I41" s="5" t="str">
        <f t="shared" si="1"/>
        <v>W:\Performance Measurement\1. Freeway\1. raw data\2012\data files\det_355.txt</v>
      </c>
      <c r="J41" s="5" t="str">
        <f t="shared" si="2"/>
        <v>W:\Performance Measurement\1. Freeway\1. raw data\2012\data files\det_355.xlsx</v>
      </c>
      <c r="K41" s="5"/>
    </row>
    <row r="42" spans="1:11" x14ac:dyDescent="0.25">
      <c r="D42" s="95">
        <v>38</v>
      </c>
      <c r="E42" s="10">
        <v>358</v>
      </c>
      <c r="F42" s="10">
        <v>3</v>
      </c>
      <c r="G42" s="10">
        <v>1</v>
      </c>
      <c r="H42" s="5" t="str">
        <f t="shared" si="0"/>
        <v>det_358</v>
      </c>
      <c r="I42" s="5" t="str">
        <f t="shared" si="1"/>
        <v>W:\Performance Measurement\1. Freeway\1. raw data\2012\data files\det_358.txt</v>
      </c>
      <c r="J42" s="5" t="str">
        <f t="shared" si="2"/>
        <v>W:\Performance Measurement\1. Freeway\1. raw data\2012\data files\det_358.xlsx</v>
      </c>
      <c r="K42" s="5"/>
    </row>
    <row r="43" spans="1:11" x14ac:dyDescent="0.25">
      <c r="D43" s="95">
        <v>39</v>
      </c>
      <c r="E43" s="10">
        <v>367</v>
      </c>
      <c r="F43" s="10">
        <v>3</v>
      </c>
      <c r="G43" s="10">
        <v>1</v>
      </c>
      <c r="H43" s="5" t="str">
        <f t="shared" si="0"/>
        <v>det_367</v>
      </c>
      <c r="I43" s="5" t="str">
        <f t="shared" si="1"/>
        <v>W:\Performance Measurement\1. Freeway\1. raw data\2012\data files\det_367.txt</v>
      </c>
      <c r="J43" s="5" t="str">
        <f t="shared" si="2"/>
        <v>W:\Performance Measurement\1. Freeway\1. raw data\2012\data files\det_367.xlsx</v>
      </c>
      <c r="K43" s="5"/>
    </row>
    <row r="44" spans="1:11" x14ac:dyDescent="0.25">
      <c r="D44" s="95">
        <v>40</v>
      </c>
      <c r="E44" s="10">
        <v>376</v>
      </c>
      <c r="F44" s="10">
        <v>3</v>
      </c>
      <c r="G44" s="10">
        <v>1</v>
      </c>
      <c r="H44" s="5" t="str">
        <f t="shared" si="0"/>
        <v>det_376</v>
      </c>
      <c r="I44" s="5" t="str">
        <f t="shared" si="1"/>
        <v>W:\Performance Measurement\1. Freeway\1. raw data\2012\data files\det_376.txt</v>
      </c>
      <c r="J44" s="5" t="str">
        <f t="shared" si="2"/>
        <v>W:\Performance Measurement\1. Freeway\1. raw data\2012\data files\det_376.xlsx</v>
      </c>
      <c r="K44" s="5"/>
    </row>
    <row r="45" spans="1:11" x14ac:dyDescent="0.25">
      <c r="D45" s="95">
        <v>41</v>
      </c>
      <c r="E45" s="10">
        <v>401</v>
      </c>
      <c r="F45" s="10">
        <v>4</v>
      </c>
      <c r="G45" s="10">
        <v>1</v>
      </c>
      <c r="H45" s="5" t="str">
        <f t="shared" si="0"/>
        <v>det_401</v>
      </c>
      <c r="I45" s="5" t="str">
        <f t="shared" si="1"/>
        <v>W:\Performance Measurement\1. Freeway\1. raw data\2012\data files\det_401.txt</v>
      </c>
      <c r="J45" s="5" t="str">
        <f t="shared" si="2"/>
        <v>W:\Performance Measurement\1. Freeway\1. raw data\2012\data files\det_401.xlsx</v>
      </c>
      <c r="K45" s="5"/>
    </row>
    <row r="46" spans="1:11" x14ac:dyDescent="0.25">
      <c r="D46" s="95">
        <v>42</v>
      </c>
      <c r="E46" s="10">
        <v>406</v>
      </c>
      <c r="F46" s="10">
        <v>3</v>
      </c>
      <c r="G46" s="10">
        <v>1</v>
      </c>
      <c r="H46" s="5" t="str">
        <f t="shared" si="0"/>
        <v>det_406</v>
      </c>
      <c r="I46" s="5" t="str">
        <f t="shared" si="1"/>
        <v>W:\Performance Measurement\1. Freeway\1. raw data\2012\data files\det_406.txt</v>
      </c>
      <c r="J46" s="5" t="str">
        <f t="shared" si="2"/>
        <v>W:\Performance Measurement\1. Freeway\1. raw data\2012\data files\det_406.xlsx</v>
      </c>
      <c r="K46" s="5"/>
    </row>
    <row r="47" spans="1:11" x14ac:dyDescent="0.25">
      <c r="D47" s="95">
        <v>43</v>
      </c>
      <c r="E47" s="10">
        <v>411</v>
      </c>
      <c r="F47" s="10">
        <v>3</v>
      </c>
      <c r="G47" s="10">
        <v>1</v>
      </c>
      <c r="H47" s="5" t="str">
        <f t="shared" si="0"/>
        <v>det_411</v>
      </c>
      <c r="I47" s="5" t="str">
        <f t="shared" si="1"/>
        <v>W:\Performance Measurement\1. Freeway\1. raw data\2012\data files\det_411.txt</v>
      </c>
      <c r="J47" s="5" t="str">
        <f t="shared" si="2"/>
        <v>W:\Performance Measurement\1. Freeway\1. raw data\2012\data files\det_411.xlsx</v>
      </c>
      <c r="K47" s="5"/>
    </row>
    <row r="48" spans="1:11" x14ac:dyDescent="0.25">
      <c r="D48" s="95">
        <v>44</v>
      </c>
      <c r="E48" s="10">
        <v>417</v>
      </c>
      <c r="F48" s="10">
        <v>3</v>
      </c>
      <c r="G48" s="10">
        <v>1</v>
      </c>
      <c r="H48" s="5" t="str">
        <f t="shared" si="0"/>
        <v>det_417</v>
      </c>
      <c r="I48" s="5" t="str">
        <f t="shared" si="1"/>
        <v>W:\Performance Measurement\1. Freeway\1. raw data\2012\data files\det_417.txt</v>
      </c>
      <c r="J48" s="5" t="str">
        <f t="shared" si="2"/>
        <v>W:\Performance Measurement\1. Freeway\1. raw data\2012\data files\det_417.xlsx</v>
      </c>
      <c r="K48" s="5"/>
    </row>
    <row r="49" spans="4:11" x14ac:dyDescent="0.25">
      <c r="D49" s="95">
        <v>45</v>
      </c>
      <c r="E49" s="10">
        <v>435</v>
      </c>
      <c r="F49" s="10">
        <v>3</v>
      </c>
      <c r="G49" s="10">
        <v>1</v>
      </c>
      <c r="H49" s="5" t="str">
        <f t="shared" si="0"/>
        <v>det_435</v>
      </c>
      <c r="I49" s="5" t="str">
        <f t="shared" si="1"/>
        <v>W:\Performance Measurement\1. Freeway\1. raw data\2012\data files\det_435.txt</v>
      </c>
      <c r="J49" s="5" t="str">
        <f t="shared" si="2"/>
        <v>W:\Performance Measurement\1. Freeway\1. raw data\2012\data files\det_435.xlsx</v>
      </c>
      <c r="K49" s="5"/>
    </row>
    <row r="50" spans="4:11" x14ac:dyDescent="0.25">
      <c r="D50" s="95">
        <v>46</v>
      </c>
      <c r="E50" s="10">
        <v>444</v>
      </c>
      <c r="F50" s="10">
        <v>5</v>
      </c>
      <c r="G50" s="10">
        <v>1</v>
      </c>
      <c r="H50" s="5" t="str">
        <f t="shared" si="0"/>
        <v>det_444</v>
      </c>
      <c r="I50" s="5" t="str">
        <f t="shared" si="1"/>
        <v>W:\Performance Measurement\1. Freeway\1. raw data\2012\data files\det_444.txt</v>
      </c>
      <c r="J50" s="5" t="str">
        <f t="shared" si="2"/>
        <v>W:\Performance Measurement\1. Freeway\1. raw data\2012\data files\det_444.xlsx</v>
      </c>
      <c r="K50" s="5"/>
    </row>
    <row r="51" spans="4:11" x14ac:dyDescent="0.25">
      <c r="D51" s="95">
        <v>47</v>
      </c>
      <c r="E51" s="10">
        <v>453</v>
      </c>
      <c r="F51" s="10">
        <v>5</v>
      </c>
      <c r="G51" s="10">
        <v>1</v>
      </c>
      <c r="H51" s="5" t="str">
        <f t="shared" si="0"/>
        <v>det_453</v>
      </c>
      <c r="I51" s="5" t="str">
        <f t="shared" si="1"/>
        <v>W:\Performance Measurement\1. Freeway\1. raw data\2012\data files\det_453.txt</v>
      </c>
      <c r="J51" s="5" t="str">
        <f t="shared" si="2"/>
        <v>W:\Performance Measurement\1. Freeway\1. raw data\2012\data files\det_453.xlsx</v>
      </c>
      <c r="K51" s="5"/>
    </row>
    <row r="52" spans="4:11" x14ac:dyDescent="0.25">
      <c r="D52" s="95">
        <v>48</v>
      </c>
      <c r="E52" s="10">
        <v>465</v>
      </c>
      <c r="F52" s="10">
        <v>5</v>
      </c>
      <c r="G52" s="10">
        <v>1</v>
      </c>
      <c r="H52" s="5" t="str">
        <f t="shared" si="0"/>
        <v>det_465</v>
      </c>
      <c r="I52" s="5" t="str">
        <f t="shared" si="1"/>
        <v>W:\Performance Measurement\1. Freeway\1. raw data\2012\data files\det_465.txt</v>
      </c>
      <c r="J52" s="5" t="str">
        <f t="shared" si="2"/>
        <v>W:\Performance Measurement\1. Freeway\1. raw data\2012\data files\det_465.xlsx</v>
      </c>
      <c r="K52" s="5"/>
    </row>
    <row r="53" spans="4:11" x14ac:dyDescent="0.25">
      <c r="D53" s="95">
        <v>49</v>
      </c>
      <c r="E53" s="10">
        <v>467</v>
      </c>
      <c r="F53" s="10">
        <v>5</v>
      </c>
      <c r="G53" s="10">
        <v>1</v>
      </c>
      <c r="H53" s="5" t="str">
        <f t="shared" si="0"/>
        <v>det_467</v>
      </c>
      <c r="I53" s="5" t="str">
        <f t="shared" si="1"/>
        <v>W:\Performance Measurement\1. Freeway\1. raw data\2012\data files\det_467.txt</v>
      </c>
      <c r="J53" s="5" t="str">
        <f t="shared" si="2"/>
        <v>W:\Performance Measurement\1. Freeway\1. raw data\2012\data files\det_467.xlsx</v>
      </c>
      <c r="K53" s="5"/>
    </row>
    <row r="54" spans="4:11" x14ac:dyDescent="0.25">
      <c r="D54" s="95">
        <v>50</v>
      </c>
      <c r="E54" s="10">
        <v>476</v>
      </c>
      <c r="F54" s="10">
        <v>5</v>
      </c>
      <c r="G54" s="10">
        <v>1</v>
      </c>
      <c r="H54" s="5" t="str">
        <f t="shared" si="0"/>
        <v>det_476</v>
      </c>
      <c r="I54" s="5" t="str">
        <f t="shared" si="1"/>
        <v>W:\Performance Measurement\1. Freeway\1. raw data\2012\data files\det_476.txt</v>
      </c>
      <c r="J54" s="5" t="str">
        <f t="shared" si="2"/>
        <v>W:\Performance Measurement\1. Freeway\1. raw data\2012\data files\det_476.xlsx</v>
      </c>
      <c r="K54" s="5"/>
    </row>
    <row r="55" spans="4:11" x14ac:dyDescent="0.25">
      <c r="D55" s="95">
        <v>51</v>
      </c>
      <c r="E55" s="10">
        <v>485</v>
      </c>
      <c r="F55" s="10">
        <v>5</v>
      </c>
      <c r="G55" s="10">
        <v>1</v>
      </c>
      <c r="H55" s="5" t="str">
        <f t="shared" si="0"/>
        <v>det_485</v>
      </c>
      <c r="I55" s="5" t="str">
        <f t="shared" si="1"/>
        <v>W:\Performance Measurement\1. Freeway\1. raw data\2012\data files\det_485.txt</v>
      </c>
      <c r="J55" s="5" t="str">
        <f t="shared" si="2"/>
        <v>W:\Performance Measurement\1. Freeway\1. raw data\2012\data files\det_485.xlsx</v>
      </c>
      <c r="K55" s="5"/>
    </row>
    <row r="56" spans="4:11" x14ac:dyDescent="0.25">
      <c r="D56" s="95">
        <v>52</v>
      </c>
      <c r="E56" s="10">
        <v>494</v>
      </c>
      <c r="F56" s="10">
        <v>4</v>
      </c>
      <c r="G56" s="10">
        <v>1</v>
      </c>
      <c r="H56" s="5" t="str">
        <f t="shared" si="0"/>
        <v>det_494</v>
      </c>
      <c r="I56" s="5" t="str">
        <f t="shared" si="1"/>
        <v>W:\Performance Measurement\1. Freeway\1. raw data\2012\data files\det_494.txt</v>
      </c>
      <c r="J56" s="5" t="str">
        <f t="shared" si="2"/>
        <v>W:\Performance Measurement\1. Freeway\1. raw data\2012\data files\det_494.xlsx</v>
      </c>
      <c r="K56" s="5"/>
    </row>
    <row r="57" spans="4:11" x14ac:dyDescent="0.25">
      <c r="D57" s="95">
        <v>53</v>
      </c>
      <c r="E57" s="10">
        <v>510</v>
      </c>
      <c r="F57" s="10">
        <v>4</v>
      </c>
      <c r="G57" s="10">
        <v>1</v>
      </c>
      <c r="H57" s="5" t="str">
        <f t="shared" si="0"/>
        <v>det_510</v>
      </c>
      <c r="I57" s="5" t="str">
        <f t="shared" si="1"/>
        <v>W:\Performance Measurement\1. Freeway\1. raw data\2012\data files\det_510.txt</v>
      </c>
      <c r="J57" s="5" t="str">
        <f t="shared" si="2"/>
        <v>W:\Performance Measurement\1. Freeway\1. raw data\2012\data files\det_510.xlsx</v>
      </c>
      <c r="K57" s="5"/>
    </row>
    <row r="58" spans="4:11" x14ac:dyDescent="0.25">
      <c r="D58" s="95">
        <v>54</v>
      </c>
      <c r="E58" s="10">
        <v>514</v>
      </c>
      <c r="F58" s="10">
        <v>4</v>
      </c>
      <c r="G58" s="10">
        <v>1</v>
      </c>
      <c r="H58" s="5" t="str">
        <f t="shared" si="0"/>
        <v>det_514</v>
      </c>
      <c r="I58" s="5" t="str">
        <f t="shared" si="1"/>
        <v>W:\Performance Measurement\1. Freeway\1. raw data\2012\data files\det_514.txt</v>
      </c>
      <c r="J58" s="5" t="str">
        <f t="shared" si="2"/>
        <v>W:\Performance Measurement\1. Freeway\1. raw data\2012\data files\det_514.xlsx</v>
      </c>
      <c r="K58" s="5"/>
    </row>
    <row r="59" spans="4:11" x14ac:dyDescent="0.25">
      <c r="D59" s="95">
        <v>55</v>
      </c>
      <c r="E59" s="10">
        <v>523</v>
      </c>
      <c r="F59" s="10">
        <v>5</v>
      </c>
      <c r="G59" s="10">
        <v>1</v>
      </c>
      <c r="H59" s="5" t="str">
        <f t="shared" si="0"/>
        <v>det_523</v>
      </c>
      <c r="I59" s="5" t="str">
        <f t="shared" si="1"/>
        <v>W:\Performance Measurement\1. Freeway\1. raw data\2012\data files\det_523.txt</v>
      </c>
      <c r="J59" s="5" t="str">
        <f t="shared" si="2"/>
        <v>W:\Performance Measurement\1. Freeway\1. raw data\2012\data files\det_523.xlsx</v>
      </c>
      <c r="K59" s="5"/>
    </row>
    <row r="60" spans="4:11" x14ac:dyDescent="0.25">
      <c r="D60" s="95">
        <v>56</v>
      </c>
      <c r="E60" s="10">
        <v>534</v>
      </c>
      <c r="F60" s="10">
        <v>5</v>
      </c>
      <c r="G60" s="10">
        <v>1</v>
      </c>
      <c r="H60" s="5" t="str">
        <f t="shared" si="0"/>
        <v>det_534</v>
      </c>
      <c r="I60" s="5" t="str">
        <f t="shared" si="1"/>
        <v>W:\Performance Measurement\1. Freeway\1. raw data\2012\data files\det_534.txt</v>
      </c>
      <c r="J60" s="5" t="str">
        <f t="shared" si="2"/>
        <v>W:\Performance Measurement\1. Freeway\1. raw data\2012\data files\det_534.xlsx</v>
      </c>
      <c r="K60" s="5"/>
    </row>
    <row r="61" spans="4:11" x14ac:dyDescent="0.25">
      <c r="D61" s="95">
        <v>57</v>
      </c>
      <c r="E61" s="10">
        <v>541</v>
      </c>
      <c r="F61" s="10">
        <v>5</v>
      </c>
      <c r="G61" s="10">
        <v>1</v>
      </c>
      <c r="H61" s="5" t="str">
        <f t="shared" si="0"/>
        <v>det_541</v>
      </c>
      <c r="I61" s="5" t="str">
        <f t="shared" si="1"/>
        <v>W:\Performance Measurement\1. Freeway\1. raw data\2012\data files\det_541.txt</v>
      </c>
      <c r="J61" s="5" t="str">
        <f t="shared" si="2"/>
        <v>W:\Performance Measurement\1. Freeway\1. raw data\2012\data files\det_541.xlsx</v>
      </c>
      <c r="K61" s="5"/>
    </row>
    <row r="62" spans="4:11" x14ac:dyDescent="0.25">
      <c r="D62" s="95">
        <v>58</v>
      </c>
      <c r="E62" s="10">
        <v>546</v>
      </c>
      <c r="F62" s="10">
        <v>5</v>
      </c>
      <c r="G62" s="10">
        <v>1</v>
      </c>
      <c r="H62" s="5" t="str">
        <f t="shared" si="0"/>
        <v>det_546</v>
      </c>
      <c r="I62" s="5" t="str">
        <f t="shared" si="1"/>
        <v>W:\Performance Measurement\1. Freeway\1. raw data\2012\data files\det_546.txt</v>
      </c>
      <c r="J62" s="5" t="str">
        <f t="shared" si="2"/>
        <v>W:\Performance Measurement\1. Freeway\1. raw data\2012\data files\det_546.xlsx</v>
      </c>
      <c r="K62" s="5"/>
    </row>
    <row r="63" spans="4:11" x14ac:dyDescent="0.25">
      <c r="D63" s="95">
        <v>59</v>
      </c>
      <c r="E63" s="10">
        <v>553</v>
      </c>
      <c r="F63" s="10">
        <v>3</v>
      </c>
      <c r="G63" s="10">
        <v>1</v>
      </c>
      <c r="H63" s="5" t="str">
        <f t="shared" si="0"/>
        <v>det_553</v>
      </c>
      <c r="I63" s="5" t="str">
        <f t="shared" si="1"/>
        <v>W:\Performance Measurement\1. Freeway\1. raw data\2012\data files\det_553.txt</v>
      </c>
      <c r="J63" s="5" t="str">
        <f t="shared" si="2"/>
        <v>W:\Performance Measurement\1. Freeway\1. raw data\2012\data files\det_553.xlsx</v>
      </c>
      <c r="K63" s="5"/>
    </row>
    <row r="64" spans="4:11" x14ac:dyDescent="0.25">
      <c r="D64" s="95">
        <v>60</v>
      </c>
      <c r="E64" s="10">
        <v>559</v>
      </c>
      <c r="F64" s="10">
        <v>3</v>
      </c>
      <c r="G64" s="10">
        <v>1</v>
      </c>
      <c r="H64" s="5" t="str">
        <f t="shared" si="0"/>
        <v>det_559</v>
      </c>
      <c r="I64" s="5" t="str">
        <f t="shared" si="1"/>
        <v>W:\Performance Measurement\1. Freeway\1. raw data\2012\data files\det_559.txt</v>
      </c>
      <c r="J64" s="5" t="str">
        <f t="shared" si="2"/>
        <v>W:\Performance Measurement\1. Freeway\1. raw data\2012\data files\det_559.xlsx</v>
      </c>
      <c r="K64" s="5"/>
    </row>
    <row r="65" spans="4:11" x14ac:dyDescent="0.25">
      <c r="D65" s="95">
        <v>61</v>
      </c>
      <c r="E65" s="10">
        <v>564</v>
      </c>
      <c r="F65" s="10">
        <v>3</v>
      </c>
      <c r="G65" s="10">
        <v>1</v>
      </c>
      <c r="H65" s="5" t="str">
        <f t="shared" si="0"/>
        <v>det_564</v>
      </c>
      <c r="I65" s="5" t="str">
        <f t="shared" si="1"/>
        <v>W:\Performance Measurement\1. Freeway\1. raw data\2012\data files\det_564.txt</v>
      </c>
      <c r="J65" s="5" t="str">
        <f t="shared" si="2"/>
        <v>W:\Performance Measurement\1. Freeway\1. raw data\2012\data files\det_564.xlsx</v>
      </c>
      <c r="K65" s="5"/>
    </row>
    <row r="66" spans="4:11" x14ac:dyDescent="0.25">
      <c r="D66" s="95">
        <v>62</v>
      </c>
      <c r="E66" s="10">
        <v>569</v>
      </c>
      <c r="F66" s="10">
        <v>3</v>
      </c>
      <c r="G66" s="10">
        <v>1</v>
      </c>
      <c r="H66" s="5" t="str">
        <f t="shared" si="0"/>
        <v>det_569</v>
      </c>
      <c r="I66" s="5" t="str">
        <f t="shared" si="1"/>
        <v>W:\Performance Measurement\1. Freeway\1. raw data\2012\data files\det_569.txt</v>
      </c>
      <c r="J66" s="5" t="str">
        <f t="shared" si="2"/>
        <v>W:\Performance Measurement\1. Freeway\1. raw data\2012\data files\det_569.xlsx</v>
      </c>
      <c r="K66" s="5"/>
    </row>
    <row r="67" spans="4:11" x14ac:dyDescent="0.25">
      <c r="D67" s="95">
        <v>63</v>
      </c>
      <c r="E67" s="10">
        <v>575</v>
      </c>
      <c r="F67" s="10">
        <v>3</v>
      </c>
      <c r="G67" s="10">
        <v>1</v>
      </c>
      <c r="H67" s="5" t="str">
        <f t="shared" si="0"/>
        <v>det_575</v>
      </c>
      <c r="I67" s="5" t="str">
        <f t="shared" si="1"/>
        <v>W:\Performance Measurement\1. Freeway\1. raw data\2012\data files\det_575.txt</v>
      </c>
      <c r="J67" s="5" t="str">
        <f t="shared" si="2"/>
        <v>W:\Performance Measurement\1. Freeway\1. raw data\2012\data files\det_575.xlsx</v>
      </c>
      <c r="K67" s="5"/>
    </row>
    <row r="68" spans="4:11" x14ac:dyDescent="0.25">
      <c r="D68" s="95">
        <v>64</v>
      </c>
      <c r="E68" s="10">
        <v>583</v>
      </c>
      <c r="F68" s="10">
        <v>3</v>
      </c>
      <c r="G68" s="10">
        <v>0</v>
      </c>
      <c r="H68" s="5" t="str">
        <f t="shared" si="0"/>
        <v>det_583</v>
      </c>
      <c r="I68" s="5" t="str">
        <f t="shared" si="1"/>
        <v>W:\Performance Measurement\1. Freeway\1. raw data\2012\data files\det_583.txt</v>
      </c>
      <c r="J68" s="5" t="str">
        <f t="shared" si="2"/>
        <v>W:\Performance Measurement\1. Freeway\1. raw data\2012\data files\det_583.xlsx</v>
      </c>
      <c r="K68" s="5"/>
    </row>
    <row r="69" spans="4:11" x14ac:dyDescent="0.25">
      <c r="D69" s="95">
        <v>65</v>
      </c>
      <c r="E69" s="10">
        <v>588</v>
      </c>
      <c r="F69" s="10">
        <v>3</v>
      </c>
      <c r="G69" s="10">
        <v>0</v>
      </c>
      <c r="H69" s="5" t="str">
        <f t="shared" ref="H69:H132" si="3">"det_"&amp;E69&amp;""</f>
        <v>det_588</v>
      </c>
      <c r="I69" s="5" t="str">
        <f t="shared" ref="I69:I132" si="4">$B$5&amp;"\"&amp;H69&amp;".txt"</f>
        <v>W:\Performance Measurement\1. Freeway\1. raw data\2012\data files\det_588.txt</v>
      </c>
      <c r="J69" s="5" t="str">
        <f t="shared" ref="J69:J132" si="5">$B$5&amp;"\"&amp;H69&amp;".xlsx"</f>
        <v>W:\Performance Measurement\1. Freeway\1. raw data\2012\data files\det_588.xlsx</v>
      </c>
      <c r="K69" s="5"/>
    </row>
    <row r="70" spans="4:11" x14ac:dyDescent="0.25">
      <c r="D70" s="95">
        <v>66</v>
      </c>
      <c r="E70" s="10">
        <v>594</v>
      </c>
      <c r="F70" s="10">
        <v>3</v>
      </c>
      <c r="G70" s="10">
        <v>1</v>
      </c>
      <c r="H70" s="5" t="str">
        <f t="shared" si="3"/>
        <v>det_594</v>
      </c>
      <c r="I70" s="5" t="str">
        <f t="shared" si="4"/>
        <v>W:\Performance Measurement\1. Freeway\1. raw data\2012\data files\det_594.txt</v>
      </c>
      <c r="J70" s="5" t="str">
        <f t="shared" si="5"/>
        <v>W:\Performance Measurement\1. Freeway\1. raw data\2012\data files\det_594.xlsx</v>
      </c>
      <c r="K70" s="5"/>
    </row>
    <row r="71" spans="4:11" x14ac:dyDescent="0.25">
      <c r="D71" s="95">
        <v>67</v>
      </c>
      <c r="E71" s="10">
        <v>598</v>
      </c>
      <c r="F71" s="10">
        <v>3</v>
      </c>
      <c r="G71" s="10">
        <v>1</v>
      </c>
      <c r="H71" s="5" t="str">
        <f t="shared" si="3"/>
        <v>det_598</v>
      </c>
      <c r="I71" s="5" t="str">
        <f t="shared" si="4"/>
        <v>W:\Performance Measurement\1. Freeway\1. raw data\2012\data files\det_598.txt</v>
      </c>
      <c r="J71" s="5" t="str">
        <f t="shared" si="5"/>
        <v>W:\Performance Measurement\1. Freeway\1. raw data\2012\data files\det_598.xlsx</v>
      </c>
      <c r="K71" s="5"/>
    </row>
    <row r="72" spans="4:11" x14ac:dyDescent="0.25">
      <c r="D72" s="95">
        <v>68</v>
      </c>
      <c r="E72" s="10">
        <v>602</v>
      </c>
      <c r="F72" s="10">
        <v>3</v>
      </c>
      <c r="G72" s="10">
        <v>1</v>
      </c>
      <c r="H72" s="5" t="str">
        <f t="shared" si="3"/>
        <v>det_602</v>
      </c>
      <c r="I72" s="5" t="str">
        <f t="shared" si="4"/>
        <v>W:\Performance Measurement\1. Freeway\1. raw data\2012\data files\det_602.txt</v>
      </c>
      <c r="J72" s="5" t="str">
        <f t="shared" si="5"/>
        <v>W:\Performance Measurement\1. Freeway\1. raw data\2012\data files\det_602.xlsx</v>
      </c>
      <c r="K72" s="5"/>
    </row>
    <row r="73" spans="4:11" x14ac:dyDescent="0.25">
      <c r="D73" s="95">
        <v>69</v>
      </c>
      <c r="E73" s="10"/>
      <c r="F73" s="10"/>
      <c r="G73" s="10"/>
      <c r="H73" s="5" t="str">
        <f t="shared" si="3"/>
        <v>det_</v>
      </c>
      <c r="I73" s="5" t="str">
        <f t="shared" si="4"/>
        <v>W:\Performance Measurement\1. Freeway\1. raw data\2012\data files\det_.txt</v>
      </c>
      <c r="J73" s="5" t="str">
        <f t="shared" si="5"/>
        <v>W:\Performance Measurement\1. Freeway\1. raw data\2012\data files\det_.xlsx</v>
      </c>
      <c r="K73" s="5"/>
    </row>
    <row r="74" spans="4:11" x14ac:dyDescent="0.25">
      <c r="D74" s="95">
        <v>70</v>
      </c>
      <c r="E74" s="10"/>
      <c r="F74" s="10"/>
      <c r="G74" s="10"/>
      <c r="H74" s="5" t="str">
        <f t="shared" si="3"/>
        <v>det_</v>
      </c>
      <c r="I74" s="5" t="str">
        <f t="shared" si="4"/>
        <v>W:\Performance Measurement\1. Freeway\1. raw data\2012\data files\det_.txt</v>
      </c>
      <c r="J74" s="5" t="str">
        <f t="shared" si="5"/>
        <v>W:\Performance Measurement\1. Freeway\1. raw data\2012\data files\det_.xlsx</v>
      </c>
      <c r="K74" s="5"/>
    </row>
    <row r="75" spans="4:11" x14ac:dyDescent="0.25">
      <c r="D75" s="95">
        <v>71</v>
      </c>
      <c r="E75" s="10"/>
      <c r="F75" s="10"/>
      <c r="G75" s="10"/>
      <c r="H75" s="5" t="str">
        <f t="shared" si="3"/>
        <v>det_</v>
      </c>
      <c r="I75" s="5" t="str">
        <f t="shared" si="4"/>
        <v>W:\Performance Measurement\1. Freeway\1. raw data\2012\data files\det_.txt</v>
      </c>
      <c r="J75" s="5" t="str">
        <f t="shared" si="5"/>
        <v>W:\Performance Measurement\1. Freeway\1. raw data\2012\data files\det_.xlsx</v>
      </c>
      <c r="K75" s="5"/>
    </row>
    <row r="76" spans="4:11" x14ac:dyDescent="0.25">
      <c r="D76" s="95">
        <v>72</v>
      </c>
      <c r="E76" s="10"/>
      <c r="F76" s="10"/>
      <c r="G76" s="10"/>
      <c r="H76" s="5" t="str">
        <f t="shared" si="3"/>
        <v>det_</v>
      </c>
      <c r="I76" s="5" t="str">
        <f t="shared" si="4"/>
        <v>W:\Performance Measurement\1. Freeway\1. raw data\2012\data files\det_.txt</v>
      </c>
      <c r="J76" s="5" t="str">
        <f t="shared" si="5"/>
        <v>W:\Performance Measurement\1. Freeway\1. raw data\2012\data files\det_.xlsx</v>
      </c>
      <c r="K76" s="5"/>
    </row>
    <row r="77" spans="4:11" x14ac:dyDescent="0.25">
      <c r="D77" s="95">
        <v>73</v>
      </c>
      <c r="E77" s="10"/>
      <c r="F77" s="10"/>
      <c r="G77" s="10"/>
      <c r="H77" s="5" t="str">
        <f t="shared" si="3"/>
        <v>det_</v>
      </c>
      <c r="I77" s="5" t="str">
        <f t="shared" si="4"/>
        <v>W:\Performance Measurement\1. Freeway\1. raw data\2012\data files\det_.txt</v>
      </c>
      <c r="J77" s="5" t="str">
        <f t="shared" si="5"/>
        <v>W:\Performance Measurement\1. Freeway\1. raw data\2012\data files\det_.xlsx</v>
      </c>
      <c r="K77" s="5"/>
    </row>
    <row r="78" spans="4:11" x14ac:dyDescent="0.25">
      <c r="D78" s="95">
        <v>74</v>
      </c>
      <c r="E78" s="10"/>
      <c r="F78" s="10"/>
      <c r="G78" s="10"/>
      <c r="H78" s="5" t="str">
        <f t="shared" si="3"/>
        <v>det_</v>
      </c>
      <c r="I78" s="5" t="str">
        <f t="shared" si="4"/>
        <v>W:\Performance Measurement\1. Freeway\1. raw data\2012\data files\det_.txt</v>
      </c>
      <c r="J78" s="5" t="str">
        <f t="shared" si="5"/>
        <v>W:\Performance Measurement\1. Freeway\1. raw data\2012\data files\det_.xlsx</v>
      </c>
      <c r="K78" s="5"/>
    </row>
    <row r="79" spans="4:11" x14ac:dyDescent="0.25">
      <c r="D79" s="95">
        <v>75</v>
      </c>
      <c r="E79" s="10"/>
      <c r="F79" s="10"/>
      <c r="G79" s="10"/>
      <c r="H79" s="5" t="str">
        <f t="shared" si="3"/>
        <v>det_</v>
      </c>
      <c r="I79" s="5" t="str">
        <f t="shared" si="4"/>
        <v>W:\Performance Measurement\1. Freeway\1. raw data\2012\data files\det_.txt</v>
      </c>
      <c r="J79" s="5" t="str">
        <f t="shared" si="5"/>
        <v>W:\Performance Measurement\1. Freeway\1. raw data\2012\data files\det_.xlsx</v>
      </c>
      <c r="K79" s="5"/>
    </row>
    <row r="80" spans="4:11" x14ac:dyDescent="0.25">
      <c r="D80" s="95">
        <v>76</v>
      </c>
      <c r="E80" s="10"/>
      <c r="F80" s="10"/>
      <c r="G80" s="10"/>
      <c r="H80" s="5" t="str">
        <f t="shared" si="3"/>
        <v>det_</v>
      </c>
      <c r="I80" s="5" t="str">
        <f t="shared" si="4"/>
        <v>W:\Performance Measurement\1. Freeway\1. raw data\2012\data files\det_.txt</v>
      </c>
      <c r="J80" s="5" t="str">
        <f t="shared" si="5"/>
        <v>W:\Performance Measurement\1. Freeway\1. raw data\2012\data files\det_.xlsx</v>
      </c>
      <c r="K80" s="5"/>
    </row>
    <row r="81" spans="4:11" x14ac:dyDescent="0.25">
      <c r="D81" s="95">
        <v>77</v>
      </c>
      <c r="E81" s="10"/>
      <c r="F81" s="10"/>
      <c r="G81" s="10"/>
      <c r="H81" s="5" t="str">
        <f t="shared" si="3"/>
        <v>det_</v>
      </c>
      <c r="I81" s="5" t="str">
        <f t="shared" si="4"/>
        <v>W:\Performance Measurement\1. Freeway\1. raw data\2012\data files\det_.txt</v>
      </c>
      <c r="J81" s="5" t="str">
        <f t="shared" si="5"/>
        <v>W:\Performance Measurement\1. Freeway\1. raw data\2012\data files\det_.xlsx</v>
      </c>
      <c r="K81" s="5"/>
    </row>
    <row r="82" spans="4:11" x14ac:dyDescent="0.25">
      <c r="D82" s="95">
        <v>78</v>
      </c>
      <c r="E82" s="10"/>
      <c r="F82" s="10"/>
      <c r="G82" s="10"/>
      <c r="H82" s="5" t="str">
        <f t="shared" si="3"/>
        <v>det_</v>
      </c>
      <c r="I82" s="5" t="str">
        <f t="shared" si="4"/>
        <v>W:\Performance Measurement\1. Freeway\1. raw data\2012\data files\det_.txt</v>
      </c>
      <c r="J82" s="5" t="str">
        <f t="shared" si="5"/>
        <v>W:\Performance Measurement\1. Freeway\1. raw data\2012\data files\det_.xlsx</v>
      </c>
      <c r="K82" s="5"/>
    </row>
    <row r="83" spans="4:11" x14ac:dyDescent="0.25">
      <c r="D83" s="95">
        <v>79</v>
      </c>
      <c r="E83" s="10"/>
      <c r="F83" s="10"/>
      <c r="G83" s="10"/>
      <c r="H83" s="5" t="str">
        <f t="shared" si="3"/>
        <v>det_</v>
      </c>
      <c r="I83" s="5" t="str">
        <f t="shared" si="4"/>
        <v>W:\Performance Measurement\1. Freeway\1. raw data\2012\data files\det_.txt</v>
      </c>
      <c r="J83" s="5" t="str">
        <f t="shared" si="5"/>
        <v>W:\Performance Measurement\1. Freeway\1. raw data\2012\data files\det_.xlsx</v>
      </c>
      <c r="K83" s="5"/>
    </row>
    <row r="84" spans="4:11" x14ac:dyDescent="0.25">
      <c r="D84" s="95">
        <v>80</v>
      </c>
      <c r="E84" s="10"/>
      <c r="F84" s="10"/>
      <c r="G84" s="10"/>
      <c r="H84" s="5" t="str">
        <f t="shared" si="3"/>
        <v>det_</v>
      </c>
      <c r="I84" s="5" t="str">
        <f t="shared" si="4"/>
        <v>W:\Performance Measurement\1. Freeway\1. raw data\2012\data files\det_.txt</v>
      </c>
      <c r="J84" s="5" t="str">
        <f t="shared" si="5"/>
        <v>W:\Performance Measurement\1. Freeway\1. raw data\2012\data files\det_.xlsx</v>
      </c>
      <c r="K84" s="5"/>
    </row>
    <row r="85" spans="4:11" x14ac:dyDescent="0.25">
      <c r="D85" s="95">
        <v>81</v>
      </c>
      <c r="E85" s="10"/>
      <c r="F85" s="10"/>
      <c r="G85" s="10"/>
      <c r="H85" s="5" t="str">
        <f t="shared" si="3"/>
        <v>det_</v>
      </c>
      <c r="I85" s="5" t="str">
        <f t="shared" si="4"/>
        <v>W:\Performance Measurement\1. Freeway\1. raw data\2012\data files\det_.txt</v>
      </c>
      <c r="J85" s="5" t="str">
        <f t="shared" si="5"/>
        <v>W:\Performance Measurement\1. Freeway\1. raw data\2012\data files\det_.xlsx</v>
      </c>
      <c r="K85" s="5"/>
    </row>
    <row r="86" spans="4:11" x14ac:dyDescent="0.25">
      <c r="D86" s="95">
        <v>82</v>
      </c>
      <c r="E86" s="10"/>
      <c r="F86" s="10"/>
      <c r="G86" s="10"/>
      <c r="H86" s="5" t="str">
        <f t="shared" si="3"/>
        <v>det_</v>
      </c>
      <c r="I86" s="5" t="str">
        <f t="shared" si="4"/>
        <v>W:\Performance Measurement\1. Freeway\1. raw data\2012\data files\det_.txt</v>
      </c>
      <c r="J86" s="5" t="str">
        <f t="shared" si="5"/>
        <v>W:\Performance Measurement\1. Freeway\1. raw data\2012\data files\det_.xlsx</v>
      </c>
      <c r="K86" s="5"/>
    </row>
    <row r="87" spans="4:11" x14ac:dyDescent="0.25">
      <c r="D87" s="95">
        <v>83</v>
      </c>
      <c r="E87" s="10"/>
      <c r="F87" s="10"/>
      <c r="G87" s="10"/>
      <c r="H87" s="5" t="str">
        <f t="shared" si="3"/>
        <v>det_</v>
      </c>
      <c r="I87" s="5" t="str">
        <f t="shared" si="4"/>
        <v>W:\Performance Measurement\1. Freeway\1. raw data\2012\data files\det_.txt</v>
      </c>
      <c r="J87" s="5" t="str">
        <f t="shared" si="5"/>
        <v>W:\Performance Measurement\1. Freeway\1. raw data\2012\data files\det_.xlsx</v>
      </c>
      <c r="K87" s="5"/>
    </row>
    <row r="88" spans="4:11" x14ac:dyDescent="0.25">
      <c r="D88" s="95">
        <v>84</v>
      </c>
      <c r="E88" s="10"/>
      <c r="F88" s="10"/>
      <c r="G88" s="10"/>
      <c r="H88" s="5" t="str">
        <f t="shared" si="3"/>
        <v>det_</v>
      </c>
      <c r="I88" s="5" t="str">
        <f t="shared" si="4"/>
        <v>W:\Performance Measurement\1. Freeway\1. raw data\2012\data files\det_.txt</v>
      </c>
      <c r="J88" s="5" t="str">
        <f t="shared" si="5"/>
        <v>W:\Performance Measurement\1. Freeway\1. raw data\2012\data files\det_.xlsx</v>
      </c>
      <c r="K88" s="5"/>
    </row>
    <row r="89" spans="4:11" x14ac:dyDescent="0.25">
      <c r="D89" s="95">
        <v>85</v>
      </c>
      <c r="E89" s="10"/>
      <c r="F89" s="10"/>
      <c r="G89" s="10"/>
      <c r="H89" s="5" t="str">
        <f t="shared" si="3"/>
        <v>det_</v>
      </c>
      <c r="I89" s="5" t="str">
        <f t="shared" si="4"/>
        <v>W:\Performance Measurement\1. Freeway\1. raw data\2012\data files\det_.txt</v>
      </c>
      <c r="J89" s="5" t="str">
        <f t="shared" si="5"/>
        <v>W:\Performance Measurement\1. Freeway\1. raw data\2012\data files\det_.xlsx</v>
      </c>
      <c r="K89" s="5"/>
    </row>
    <row r="90" spans="4:11" x14ac:dyDescent="0.25">
      <c r="D90" s="95">
        <v>86</v>
      </c>
      <c r="E90" s="10"/>
      <c r="F90" s="10"/>
      <c r="G90" s="10"/>
      <c r="H90" s="5" t="str">
        <f t="shared" si="3"/>
        <v>det_</v>
      </c>
      <c r="I90" s="5" t="str">
        <f t="shared" si="4"/>
        <v>W:\Performance Measurement\1. Freeway\1. raw data\2012\data files\det_.txt</v>
      </c>
      <c r="J90" s="5" t="str">
        <f t="shared" si="5"/>
        <v>W:\Performance Measurement\1. Freeway\1. raw data\2012\data files\det_.xlsx</v>
      </c>
      <c r="K90" s="5"/>
    </row>
    <row r="91" spans="4:11" x14ac:dyDescent="0.25">
      <c r="D91" s="95">
        <v>87</v>
      </c>
      <c r="E91" s="10"/>
      <c r="F91" s="10"/>
      <c r="G91" s="10"/>
      <c r="H91" s="5" t="str">
        <f t="shared" si="3"/>
        <v>det_</v>
      </c>
      <c r="I91" s="5" t="str">
        <f t="shared" si="4"/>
        <v>W:\Performance Measurement\1. Freeway\1. raw data\2012\data files\det_.txt</v>
      </c>
      <c r="J91" s="5" t="str">
        <f t="shared" si="5"/>
        <v>W:\Performance Measurement\1. Freeway\1. raw data\2012\data files\det_.xlsx</v>
      </c>
      <c r="K91" s="5"/>
    </row>
    <row r="92" spans="4:11" x14ac:dyDescent="0.25">
      <c r="D92" s="95">
        <v>88</v>
      </c>
      <c r="E92" s="10"/>
      <c r="F92" s="10"/>
      <c r="G92" s="10"/>
      <c r="H92" s="5" t="str">
        <f t="shared" si="3"/>
        <v>det_</v>
      </c>
      <c r="I92" s="5" t="str">
        <f t="shared" si="4"/>
        <v>W:\Performance Measurement\1. Freeway\1. raw data\2012\data files\det_.txt</v>
      </c>
      <c r="J92" s="5" t="str">
        <f t="shared" si="5"/>
        <v>W:\Performance Measurement\1. Freeway\1. raw data\2012\data files\det_.xlsx</v>
      </c>
      <c r="K92" s="5"/>
    </row>
    <row r="93" spans="4:11" x14ac:dyDescent="0.25">
      <c r="D93" s="95">
        <v>89</v>
      </c>
      <c r="E93" s="10"/>
      <c r="F93" s="10"/>
      <c r="G93" s="10"/>
      <c r="H93" s="5" t="str">
        <f t="shared" si="3"/>
        <v>det_</v>
      </c>
      <c r="I93" s="5" t="str">
        <f t="shared" si="4"/>
        <v>W:\Performance Measurement\1. Freeway\1. raw data\2012\data files\det_.txt</v>
      </c>
      <c r="J93" s="5" t="str">
        <f t="shared" si="5"/>
        <v>W:\Performance Measurement\1. Freeway\1. raw data\2012\data files\det_.xlsx</v>
      </c>
      <c r="K93" s="5"/>
    </row>
    <row r="94" spans="4:11" x14ac:dyDescent="0.25">
      <c r="D94" s="95">
        <v>90</v>
      </c>
      <c r="E94" s="10"/>
      <c r="F94" s="10"/>
      <c r="G94" s="10"/>
      <c r="H94" s="5" t="str">
        <f t="shared" si="3"/>
        <v>det_</v>
      </c>
      <c r="I94" s="5" t="str">
        <f t="shared" si="4"/>
        <v>W:\Performance Measurement\1. Freeway\1. raw data\2012\data files\det_.txt</v>
      </c>
      <c r="J94" s="5" t="str">
        <f t="shared" si="5"/>
        <v>W:\Performance Measurement\1. Freeway\1. raw data\2012\data files\det_.xlsx</v>
      </c>
      <c r="K94" s="5"/>
    </row>
    <row r="95" spans="4:11" x14ac:dyDescent="0.25">
      <c r="D95" s="95">
        <v>91</v>
      </c>
      <c r="E95" s="10"/>
      <c r="F95" s="10"/>
      <c r="G95" s="10"/>
      <c r="H95" s="5" t="str">
        <f t="shared" si="3"/>
        <v>det_</v>
      </c>
      <c r="I95" s="5" t="str">
        <f t="shared" si="4"/>
        <v>W:\Performance Measurement\1. Freeway\1. raw data\2012\data files\det_.txt</v>
      </c>
      <c r="J95" s="5" t="str">
        <f t="shared" si="5"/>
        <v>W:\Performance Measurement\1. Freeway\1. raw data\2012\data files\det_.xlsx</v>
      </c>
      <c r="K95" s="5"/>
    </row>
    <row r="96" spans="4:11" x14ac:dyDescent="0.25">
      <c r="D96" s="95">
        <v>92</v>
      </c>
      <c r="E96" s="10"/>
      <c r="F96" s="10"/>
      <c r="G96" s="10"/>
      <c r="H96" s="5" t="str">
        <f t="shared" si="3"/>
        <v>det_</v>
      </c>
      <c r="I96" s="5" t="str">
        <f t="shared" si="4"/>
        <v>W:\Performance Measurement\1. Freeway\1. raw data\2012\data files\det_.txt</v>
      </c>
      <c r="J96" s="5" t="str">
        <f t="shared" si="5"/>
        <v>W:\Performance Measurement\1. Freeway\1. raw data\2012\data files\det_.xlsx</v>
      </c>
      <c r="K96" s="5"/>
    </row>
    <row r="97" spans="4:11" x14ac:dyDescent="0.25">
      <c r="D97" s="95">
        <v>93</v>
      </c>
      <c r="E97" s="10"/>
      <c r="F97" s="10"/>
      <c r="G97" s="10"/>
      <c r="H97" s="5" t="str">
        <f t="shared" si="3"/>
        <v>det_</v>
      </c>
      <c r="I97" s="5" t="str">
        <f t="shared" si="4"/>
        <v>W:\Performance Measurement\1. Freeway\1. raw data\2012\data files\det_.txt</v>
      </c>
      <c r="J97" s="5" t="str">
        <f t="shared" si="5"/>
        <v>W:\Performance Measurement\1. Freeway\1. raw data\2012\data files\det_.xlsx</v>
      </c>
      <c r="K97" s="5"/>
    </row>
    <row r="98" spans="4:11" x14ac:dyDescent="0.25">
      <c r="D98" s="95">
        <v>94</v>
      </c>
      <c r="E98" s="10"/>
      <c r="F98" s="10"/>
      <c r="G98" s="10"/>
      <c r="H98" s="5" t="str">
        <f t="shared" si="3"/>
        <v>det_</v>
      </c>
      <c r="I98" s="5" t="str">
        <f t="shared" si="4"/>
        <v>W:\Performance Measurement\1. Freeway\1. raw data\2012\data files\det_.txt</v>
      </c>
      <c r="J98" s="5" t="str">
        <f t="shared" si="5"/>
        <v>W:\Performance Measurement\1. Freeway\1. raw data\2012\data files\det_.xlsx</v>
      </c>
      <c r="K98" s="5"/>
    </row>
    <row r="99" spans="4:11" x14ac:dyDescent="0.25">
      <c r="D99" s="95">
        <v>95</v>
      </c>
      <c r="E99" s="10"/>
      <c r="F99" s="10"/>
      <c r="G99" s="10"/>
      <c r="H99" s="5" t="str">
        <f t="shared" si="3"/>
        <v>det_</v>
      </c>
      <c r="I99" s="5" t="str">
        <f t="shared" si="4"/>
        <v>W:\Performance Measurement\1. Freeway\1. raw data\2012\data files\det_.txt</v>
      </c>
      <c r="J99" s="5" t="str">
        <f t="shared" si="5"/>
        <v>W:\Performance Measurement\1. Freeway\1. raw data\2012\data files\det_.xlsx</v>
      </c>
      <c r="K99" s="5"/>
    </row>
    <row r="100" spans="4:11" x14ac:dyDescent="0.25">
      <c r="D100" s="95">
        <v>96</v>
      </c>
      <c r="E100" s="10"/>
      <c r="F100" s="10"/>
      <c r="G100" s="10"/>
      <c r="H100" s="5" t="str">
        <f t="shared" si="3"/>
        <v>det_</v>
      </c>
      <c r="I100" s="5" t="str">
        <f t="shared" si="4"/>
        <v>W:\Performance Measurement\1. Freeway\1. raw data\2012\data files\det_.txt</v>
      </c>
      <c r="J100" s="5" t="str">
        <f t="shared" si="5"/>
        <v>W:\Performance Measurement\1. Freeway\1. raw data\2012\data files\det_.xlsx</v>
      </c>
      <c r="K100" s="5"/>
    </row>
    <row r="101" spans="4:11" x14ac:dyDescent="0.25">
      <c r="D101" s="95">
        <v>97</v>
      </c>
      <c r="E101" s="10"/>
      <c r="F101" s="10"/>
      <c r="G101" s="10"/>
      <c r="H101" s="5" t="str">
        <f t="shared" si="3"/>
        <v>det_</v>
      </c>
      <c r="I101" s="5" t="str">
        <f t="shared" si="4"/>
        <v>W:\Performance Measurement\1. Freeway\1. raw data\2012\data files\det_.txt</v>
      </c>
      <c r="J101" s="5" t="str">
        <f t="shared" si="5"/>
        <v>W:\Performance Measurement\1. Freeway\1. raw data\2012\data files\det_.xlsx</v>
      </c>
      <c r="K101" s="5"/>
    </row>
    <row r="102" spans="4:11" x14ac:dyDescent="0.25">
      <c r="D102" s="95">
        <v>98</v>
      </c>
      <c r="E102" s="10"/>
      <c r="F102" s="10"/>
      <c r="G102" s="10"/>
      <c r="H102" s="5" t="str">
        <f t="shared" si="3"/>
        <v>det_</v>
      </c>
      <c r="I102" s="5" t="str">
        <f t="shared" si="4"/>
        <v>W:\Performance Measurement\1. Freeway\1. raw data\2012\data files\det_.txt</v>
      </c>
      <c r="J102" s="5" t="str">
        <f t="shared" si="5"/>
        <v>W:\Performance Measurement\1. Freeway\1. raw data\2012\data files\det_.xlsx</v>
      </c>
      <c r="K102" s="5"/>
    </row>
    <row r="103" spans="4:11" x14ac:dyDescent="0.25">
      <c r="D103" s="95">
        <v>99</v>
      </c>
      <c r="E103" s="10"/>
      <c r="F103" s="10"/>
      <c r="G103" s="10"/>
      <c r="H103" s="5" t="str">
        <f t="shared" si="3"/>
        <v>det_</v>
      </c>
      <c r="I103" s="5" t="str">
        <f t="shared" si="4"/>
        <v>W:\Performance Measurement\1. Freeway\1. raw data\2012\data files\det_.txt</v>
      </c>
      <c r="J103" s="5" t="str">
        <f t="shared" si="5"/>
        <v>W:\Performance Measurement\1. Freeway\1. raw data\2012\data files\det_.xlsx</v>
      </c>
      <c r="K103" s="5"/>
    </row>
    <row r="104" spans="4:11" x14ac:dyDescent="0.25">
      <c r="D104" s="95">
        <v>100</v>
      </c>
      <c r="E104" s="10"/>
      <c r="F104" s="10"/>
      <c r="G104" s="10"/>
      <c r="H104" s="5" t="str">
        <f t="shared" si="3"/>
        <v>det_</v>
      </c>
      <c r="I104" s="5" t="str">
        <f t="shared" si="4"/>
        <v>W:\Performance Measurement\1. Freeway\1. raw data\2012\data files\det_.txt</v>
      </c>
      <c r="J104" s="5" t="str">
        <f t="shared" si="5"/>
        <v>W:\Performance Measurement\1. Freeway\1. raw data\2012\data files\det_.xlsx</v>
      </c>
      <c r="K104" s="5"/>
    </row>
    <row r="105" spans="4:11" x14ac:dyDescent="0.25">
      <c r="D105" s="95">
        <v>101</v>
      </c>
      <c r="E105" s="10"/>
      <c r="F105" s="10"/>
      <c r="G105" s="10"/>
      <c r="H105" s="5" t="str">
        <f t="shared" si="3"/>
        <v>det_</v>
      </c>
      <c r="I105" s="5" t="str">
        <f t="shared" si="4"/>
        <v>W:\Performance Measurement\1. Freeway\1. raw data\2012\data files\det_.txt</v>
      </c>
      <c r="J105" s="5" t="str">
        <f t="shared" si="5"/>
        <v>W:\Performance Measurement\1. Freeway\1. raw data\2012\data files\det_.xlsx</v>
      </c>
      <c r="K105" s="5"/>
    </row>
    <row r="106" spans="4:11" x14ac:dyDescent="0.25">
      <c r="D106" s="95">
        <v>102</v>
      </c>
      <c r="E106" s="10"/>
      <c r="F106" s="10"/>
      <c r="G106" s="10"/>
      <c r="H106" s="5" t="str">
        <f t="shared" si="3"/>
        <v>det_</v>
      </c>
      <c r="I106" s="5" t="str">
        <f t="shared" si="4"/>
        <v>W:\Performance Measurement\1. Freeway\1. raw data\2012\data files\det_.txt</v>
      </c>
      <c r="J106" s="5" t="str">
        <f t="shared" si="5"/>
        <v>W:\Performance Measurement\1. Freeway\1. raw data\2012\data files\det_.xlsx</v>
      </c>
      <c r="K106" s="5"/>
    </row>
    <row r="107" spans="4:11" x14ac:dyDescent="0.25">
      <c r="D107" s="95">
        <v>103</v>
      </c>
      <c r="E107" s="10"/>
      <c r="F107" s="10"/>
      <c r="G107" s="10"/>
      <c r="H107" s="5" t="str">
        <f t="shared" si="3"/>
        <v>det_</v>
      </c>
      <c r="I107" s="5" t="str">
        <f t="shared" si="4"/>
        <v>W:\Performance Measurement\1. Freeway\1. raw data\2012\data files\det_.txt</v>
      </c>
      <c r="J107" s="5" t="str">
        <f t="shared" si="5"/>
        <v>W:\Performance Measurement\1. Freeway\1. raw data\2012\data files\det_.xlsx</v>
      </c>
      <c r="K107" s="5"/>
    </row>
    <row r="108" spans="4:11" x14ac:dyDescent="0.25">
      <c r="D108" s="95">
        <v>104</v>
      </c>
      <c r="E108" s="10"/>
      <c r="F108" s="10"/>
      <c r="G108" s="10"/>
      <c r="H108" s="5" t="str">
        <f t="shared" si="3"/>
        <v>det_</v>
      </c>
      <c r="I108" s="5" t="str">
        <f t="shared" si="4"/>
        <v>W:\Performance Measurement\1. Freeway\1. raw data\2012\data files\det_.txt</v>
      </c>
      <c r="J108" s="5" t="str">
        <f t="shared" si="5"/>
        <v>W:\Performance Measurement\1. Freeway\1. raw data\2012\data files\det_.xlsx</v>
      </c>
      <c r="K108" s="5"/>
    </row>
    <row r="109" spans="4:11" x14ac:dyDescent="0.25">
      <c r="D109" s="95">
        <v>105</v>
      </c>
      <c r="E109" s="10"/>
      <c r="F109" s="10"/>
      <c r="G109" s="10"/>
      <c r="H109" s="5" t="str">
        <f t="shared" si="3"/>
        <v>det_</v>
      </c>
      <c r="I109" s="5" t="str">
        <f t="shared" si="4"/>
        <v>W:\Performance Measurement\1. Freeway\1. raw data\2012\data files\det_.txt</v>
      </c>
      <c r="J109" s="5" t="str">
        <f t="shared" si="5"/>
        <v>W:\Performance Measurement\1. Freeway\1. raw data\2012\data files\det_.xlsx</v>
      </c>
      <c r="K109" s="5"/>
    </row>
    <row r="110" spans="4:11" x14ac:dyDescent="0.25">
      <c r="D110" s="95">
        <v>106</v>
      </c>
      <c r="E110" s="10"/>
      <c r="F110" s="10"/>
      <c r="G110" s="10"/>
      <c r="H110" s="5" t="str">
        <f t="shared" si="3"/>
        <v>det_</v>
      </c>
      <c r="I110" s="5" t="str">
        <f t="shared" si="4"/>
        <v>W:\Performance Measurement\1. Freeway\1. raw data\2012\data files\det_.txt</v>
      </c>
      <c r="J110" s="5" t="str">
        <f t="shared" si="5"/>
        <v>W:\Performance Measurement\1. Freeway\1. raw data\2012\data files\det_.xlsx</v>
      </c>
      <c r="K110" s="5"/>
    </row>
    <row r="111" spans="4:11" x14ac:dyDescent="0.25">
      <c r="D111" s="95">
        <v>107</v>
      </c>
      <c r="E111" s="10"/>
      <c r="F111" s="10"/>
      <c r="G111" s="10"/>
      <c r="H111" s="5" t="str">
        <f t="shared" si="3"/>
        <v>det_</v>
      </c>
      <c r="I111" s="5" t="str">
        <f t="shared" si="4"/>
        <v>W:\Performance Measurement\1. Freeway\1. raw data\2012\data files\det_.txt</v>
      </c>
      <c r="J111" s="5" t="str">
        <f t="shared" si="5"/>
        <v>W:\Performance Measurement\1. Freeway\1. raw data\2012\data files\det_.xlsx</v>
      </c>
      <c r="K111" s="5"/>
    </row>
    <row r="112" spans="4:11" x14ac:dyDescent="0.25">
      <c r="D112" s="95">
        <v>108</v>
      </c>
      <c r="E112" s="10"/>
      <c r="F112" s="10"/>
      <c r="G112" s="10"/>
      <c r="H112" s="5" t="str">
        <f t="shared" si="3"/>
        <v>det_</v>
      </c>
      <c r="I112" s="5" t="str">
        <f t="shared" si="4"/>
        <v>W:\Performance Measurement\1. Freeway\1. raw data\2012\data files\det_.txt</v>
      </c>
      <c r="J112" s="5" t="str">
        <f t="shared" si="5"/>
        <v>W:\Performance Measurement\1. Freeway\1. raw data\2012\data files\det_.xlsx</v>
      </c>
      <c r="K112" s="5"/>
    </row>
    <row r="113" spans="4:11" x14ac:dyDescent="0.25">
      <c r="D113" s="95">
        <v>109</v>
      </c>
      <c r="E113" s="10"/>
      <c r="F113" s="10"/>
      <c r="G113" s="10"/>
      <c r="H113" s="5" t="str">
        <f t="shared" si="3"/>
        <v>det_</v>
      </c>
      <c r="I113" s="5" t="str">
        <f t="shared" si="4"/>
        <v>W:\Performance Measurement\1. Freeway\1. raw data\2012\data files\det_.txt</v>
      </c>
      <c r="J113" s="5" t="str">
        <f t="shared" si="5"/>
        <v>W:\Performance Measurement\1. Freeway\1. raw data\2012\data files\det_.xlsx</v>
      </c>
      <c r="K113" s="5"/>
    </row>
    <row r="114" spans="4:11" x14ac:dyDescent="0.25">
      <c r="D114" s="95">
        <v>110</v>
      </c>
      <c r="E114" s="10"/>
      <c r="F114" s="10"/>
      <c r="G114" s="10"/>
      <c r="H114" s="5" t="str">
        <f t="shared" si="3"/>
        <v>det_</v>
      </c>
      <c r="I114" s="5" t="str">
        <f t="shared" si="4"/>
        <v>W:\Performance Measurement\1. Freeway\1. raw data\2012\data files\det_.txt</v>
      </c>
      <c r="J114" s="5" t="str">
        <f t="shared" si="5"/>
        <v>W:\Performance Measurement\1. Freeway\1. raw data\2012\data files\det_.xlsx</v>
      </c>
      <c r="K114" s="5"/>
    </row>
    <row r="115" spans="4:11" x14ac:dyDescent="0.25">
      <c r="D115" s="95">
        <v>111</v>
      </c>
      <c r="E115" s="10"/>
      <c r="F115" s="10"/>
      <c r="G115" s="10"/>
      <c r="H115" s="5" t="str">
        <f t="shared" si="3"/>
        <v>det_</v>
      </c>
      <c r="I115" s="5" t="str">
        <f t="shared" si="4"/>
        <v>W:\Performance Measurement\1. Freeway\1. raw data\2012\data files\det_.txt</v>
      </c>
      <c r="J115" s="5" t="str">
        <f t="shared" si="5"/>
        <v>W:\Performance Measurement\1. Freeway\1. raw data\2012\data files\det_.xlsx</v>
      </c>
      <c r="K115" s="5"/>
    </row>
    <row r="116" spans="4:11" x14ac:dyDescent="0.25">
      <c r="D116" s="95">
        <v>112</v>
      </c>
      <c r="E116" s="10"/>
      <c r="F116" s="10"/>
      <c r="G116" s="10"/>
      <c r="H116" s="5" t="str">
        <f t="shared" si="3"/>
        <v>det_</v>
      </c>
      <c r="I116" s="5" t="str">
        <f t="shared" si="4"/>
        <v>W:\Performance Measurement\1. Freeway\1. raw data\2012\data files\det_.txt</v>
      </c>
      <c r="J116" s="5" t="str">
        <f t="shared" si="5"/>
        <v>W:\Performance Measurement\1. Freeway\1. raw data\2012\data files\det_.xlsx</v>
      </c>
      <c r="K116" s="5"/>
    </row>
    <row r="117" spans="4:11" x14ac:dyDescent="0.25">
      <c r="D117" s="95">
        <v>113</v>
      </c>
      <c r="E117" s="10"/>
      <c r="F117" s="10"/>
      <c r="G117" s="10"/>
      <c r="H117" s="5" t="str">
        <f t="shared" si="3"/>
        <v>det_</v>
      </c>
      <c r="I117" s="5" t="str">
        <f t="shared" si="4"/>
        <v>W:\Performance Measurement\1. Freeway\1. raw data\2012\data files\det_.txt</v>
      </c>
      <c r="J117" s="5" t="str">
        <f t="shared" si="5"/>
        <v>W:\Performance Measurement\1. Freeway\1. raw data\2012\data files\det_.xlsx</v>
      </c>
      <c r="K117" s="5"/>
    </row>
    <row r="118" spans="4:11" x14ac:dyDescent="0.25">
      <c r="D118" s="95">
        <v>114</v>
      </c>
      <c r="E118" s="10"/>
      <c r="F118" s="10"/>
      <c r="G118" s="10"/>
      <c r="H118" s="5" t="str">
        <f t="shared" si="3"/>
        <v>det_</v>
      </c>
      <c r="I118" s="5" t="str">
        <f t="shared" si="4"/>
        <v>W:\Performance Measurement\1. Freeway\1. raw data\2012\data files\det_.txt</v>
      </c>
      <c r="J118" s="5" t="str">
        <f t="shared" si="5"/>
        <v>W:\Performance Measurement\1. Freeway\1. raw data\2012\data files\det_.xlsx</v>
      </c>
      <c r="K118" s="5"/>
    </row>
    <row r="119" spans="4:11" x14ac:dyDescent="0.25">
      <c r="D119" s="95">
        <v>115</v>
      </c>
      <c r="E119" s="10"/>
      <c r="F119" s="10"/>
      <c r="G119" s="10"/>
      <c r="H119" s="5" t="str">
        <f t="shared" si="3"/>
        <v>det_</v>
      </c>
      <c r="I119" s="5" t="str">
        <f t="shared" si="4"/>
        <v>W:\Performance Measurement\1. Freeway\1. raw data\2012\data files\det_.txt</v>
      </c>
      <c r="J119" s="5" t="str">
        <f t="shared" si="5"/>
        <v>W:\Performance Measurement\1. Freeway\1. raw data\2012\data files\det_.xlsx</v>
      </c>
      <c r="K119" s="5"/>
    </row>
    <row r="120" spans="4:11" x14ac:dyDescent="0.25">
      <c r="D120" s="95">
        <v>116</v>
      </c>
      <c r="E120" s="10"/>
      <c r="F120" s="10"/>
      <c r="G120" s="10"/>
      <c r="H120" s="5" t="str">
        <f t="shared" si="3"/>
        <v>det_</v>
      </c>
      <c r="I120" s="5" t="str">
        <f t="shared" si="4"/>
        <v>W:\Performance Measurement\1. Freeway\1. raw data\2012\data files\det_.txt</v>
      </c>
      <c r="J120" s="5" t="str">
        <f t="shared" si="5"/>
        <v>W:\Performance Measurement\1. Freeway\1. raw data\2012\data files\det_.xlsx</v>
      </c>
      <c r="K120" s="5"/>
    </row>
    <row r="121" spans="4:11" x14ac:dyDescent="0.25">
      <c r="D121" s="95">
        <v>117</v>
      </c>
      <c r="E121" s="10"/>
      <c r="F121" s="10"/>
      <c r="G121" s="10"/>
      <c r="H121" s="5" t="str">
        <f t="shared" si="3"/>
        <v>det_</v>
      </c>
      <c r="I121" s="5" t="str">
        <f t="shared" si="4"/>
        <v>W:\Performance Measurement\1. Freeway\1. raw data\2012\data files\det_.txt</v>
      </c>
      <c r="J121" s="5" t="str">
        <f t="shared" si="5"/>
        <v>W:\Performance Measurement\1. Freeway\1. raw data\2012\data files\det_.xlsx</v>
      </c>
      <c r="K121" s="5"/>
    </row>
    <row r="122" spans="4:11" x14ac:dyDescent="0.25">
      <c r="D122" s="95">
        <v>118</v>
      </c>
      <c r="E122" s="10"/>
      <c r="F122" s="10"/>
      <c r="G122" s="10"/>
      <c r="H122" s="5" t="str">
        <f t="shared" si="3"/>
        <v>det_</v>
      </c>
      <c r="I122" s="5" t="str">
        <f t="shared" si="4"/>
        <v>W:\Performance Measurement\1. Freeway\1. raw data\2012\data files\det_.txt</v>
      </c>
      <c r="J122" s="5" t="str">
        <f t="shared" si="5"/>
        <v>W:\Performance Measurement\1. Freeway\1. raw data\2012\data files\det_.xlsx</v>
      </c>
      <c r="K122" s="5"/>
    </row>
    <row r="123" spans="4:11" x14ac:dyDescent="0.25">
      <c r="D123" s="95">
        <v>119</v>
      </c>
      <c r="E123" s="10"/>
      <c r="F123" s="10"/>
      <c r="G123" s="10"/>
      <c r="H123" s="5" t="str">
        <f t="shared" si="3"/>
        <v>det_</v>
      </c>
      <c r="I123" s="5" t="str">
        <f t="shared" si="4"/>
        <v>W:\Performance Measurement\1. Freeway\1. raw data\2012\data files\det_.txt</v>
      </c>
      <c r="J123" s="5" t="str">
        <f t="shared" si="5"/>
        <v>W:\Performance Measurement\1. Freeway\1. raw data\2012\data files\det_.xlsx</v>
      </c>
      <c r="K123" s="5"/>
    </row>
    <row r="124" spans="4:11" x14ac:dyDescent="0.25">
      <c r="D124" s="95">
        <v>120</v>
      </c>
      <c r="E124" s="10"/>
      <c r="F124" s="10"/>
      <c r="G124" s="10"/>
      <c r="H124" s="5" t="str">
        <f t="shared" si="3"/>
        <v>det_</v>
      </c>
      <c r="I124" s="5" t="str">
        <f t="shared" si="4"/>
        <v>W:\Performance Measurement\1. Freeway\1. raw data\2012\data files\det_.txt</v>
      </c>
      <c r="J124" s="5" t="str">
        <f t="shared" si="5"/>
        <v>W:\Performance Measurement\1. Freeway\1. raw data\2012\data files\det_.xlsx</v>
      </c>
      <c r="K124" s="5"/>
    </row>
    <row r="125" spans="4:11" x14ac:dyDescent="0.25">
      <c r="D125" s="95">
        <v>121</v>
      </c>
      <c r="E125" s="10"/>
      <c r="F125" s="10"/>
      <c r="G125" s="10"/>
      <c r="H125" s="5" t="str">
        <f t="shared" si="3"/>
        <v>det_</v>
      </c>
      <c r="I125" s="5" t="str">
        <f t="shared" si="4"/>
        <v>W:\Performance Measurement\1. Freeway\1. raw data\2012\data files\det_.txt</v>
      </c>
      <c r="J125" s="5" t="str">
        <f t="shared" si="5"/>
        <v>W:\Performance Measurement\1. Freeway\1. raw data\2012\data files\det_.xlsx</v>
      </c>
      <c r="K125" s="5"/>
    </row>
    <row r="126" spans="4:11" x14ac:dyDescent="0.25">
      <c r="D126" s="95">
        <v>122</v>
      </c>
      <c r="E126" s="10"/>
      <c r="F126" s="10"/>
      <c r="G126" s="10"/>
      <c r="H126" s="5" t="str">
        <f t="shared" si="3"/>
        <v>det_</v>
      </c>
      <c r="I126" s="5" t="str">
        <f t="shared" si="4"/>
        <v>W:\Performance Measurement\1. Freeway\1. raw data\2012\data files\det_.txt</v>
      </c>
      <c r="J126" s="5" t="str">
        <f t="shared" si="5"/>
        <v>W:\Performance Measurement\1. Freeway\1. raw data\2012\data files\det_.xlsx</v>
      </c>
      <c r="K126" s="5"/>
    </row>
    <row r="127" spans="4:11" x14ac:dyDescent="0.25">
      <c r="D127" s="95">
        <v>123</v>
      </c>
      <c r="E127" s="10"/>
      <c r="F127" s="10"/>
      <c r="G127" s="10"/>
      <c r="H127" s="5" t="str">
        <f t="shared" si="3"/>
        <v>det_</v>
      </c>
      <c r="I127" s="5" t="str">
        <f t="shared" si="4"/>
        <v>W:\Performance Measurement\1. Freeway\1. raw data\2012\data files\det_.txt</v>
      </c>
      <c r="J127" s="5" t="str">
        <f t="shared" si="5"/>
        <v>W:\Performance Measurement\1. Freeway\1. raw data\2012\data files\det_.xlsx</v>
      </c>
      <c r="K127" s="5"/>
    </row>
    <row r="128" spans="4:11" x14ac:dyDescent="0.25">
      <c r="D128" s="95">
        <v>124</v>
      </c>
      <c r="E128" s="10"/>
      <c r="F128" s="10"/>
      <c r="G128" s="10"/>
      <c r="H128" s="5" t="str">
        <f t="shared" si="3"/>
        <v>det_</v>
      </c>
      <c r="I128" s="5" t="str">
        <f t="shared" si="4"/>
        <v>W:\Performance Measurement\1. Freeway\1. raw data\2012\data files\det_.txt</v>
      </c>
      <c r="J128" s="5" t="str">
        <f t="shared" si="5"/>
        <v>W:\Performance Measurement\1. Freeway\1. raw data\2012\data files\det_.xlsx</v>
      </c>
      <c r="K128" s="5"/>
    </row>
    <row r="129" spans="4:11" x14ac:dyDescent="0.25">
      <c r="D129" s="95">
        <v>125</v>
      </c>
      <c r="E129" s="10"/>
      <c r="F129" s="10"/>
      <c r="G129" s="10"/>
      <c r="H129" s="5" t="str">
        <f t="shared" si="3"/>
        <v>det_</v>
      </c>
      <c r="I129" s="5" t="str">
        <f t="shared" si="4"/>
        <v>W:\Performance Measurement\1. Freeway\1. raw data\2012\data files\det_.txt</v>
      </c>
      <c r="J129" s="5" t="str">
        <f t="shared" si="5"/>
        <v>W:\Performance Measurement\1. Freeway\1. raw data\2012\data files\det_.xlsx</v>
      </c>
      <c r="K129" s="5"/>
    </row>
    <row r="130" spans="4:11" x14ac:dyDescent="0.25">
      <c r="D130" s="95">
        <v>126</v>
      </c>
      <c r="E130" s="10"/>
      <c r="F130" s="10"/>
      <c r="G130" s="10"/>
      <c r="H130" s="5" t="str">
        <f t="shared" si="3"/>
        <v>det_</v>
      </c>
      <c r="I130" s="5" t="str">
        <f t="shared" si="4"/>
        <v>W:\Performance Measurement\1. Freeway\1. raw data\2012\data files\det_.txt</v>
      </c>
      <c r="J130" s="5" t="str">
        <f t="shared" si="5"/>
        <v>W:\Performance Measurement\1. Freeway\1. raw data\2012\data files\det_.xlsx</v>
      </c>
      <c r="K130" s="5"/>
    </row>
    <row r="131" spans="4:11" x14ac:dyDescent="0.25">
      <c r="D131" s="95">
        <v>127</v>
      </c>
      <c r="E131" s="10"/>
      <c r="F131" s="10"/>
      <c r="G131" s="10"/>
      <c r="H131" s="5" t="str">
        <f t="shared" si="3"/>
        <v>det_</v>
      </c>
      <c r="I131" s="5" t="str">
        <f t="shared" si="4"/>
        <v>W:\Performance Measurement\1. Freeway\1. raw data\2012\data files\det_.txt</v>
      </c>
      <c r="J131" s="5" t="str">
        <f t="shared" si="5"/>
        <v>W:\Performance Measurement\1. Freeway\1. raw data\2012\data files\det_.xlsx</v>
      </c>
      <c r="K131" s="5"/>
    </row>
    <row r="132" spans="4:11" x14ac:dyDescent="0.25">
      <c r="D132" s="95">
        <v>128</v>
      </c>
      <c r="E132" s="10"/>
      <c r="F132" s="10"/>
      <c r="G132" s="10"/>
      <c r="H132" s="5" t="str">
        <f t="shared" si="3"/>
        <v>det_</v>
      </c>
      <c r="I132" s="5" t="str">
        <f t="shared" si="4"/>
        <v>W:\Performance Measurement\1. Freeway\1. raw data\2012\data files\det_.txt</v>
      </c>
      <c r="J132" s="5" t="str">
        <f t="shared" si="5"/>
        <v>W:\Performance Measurement\1. Freeway\1. raw data\2012\data files\det_.xlsx</v>
      </c>
      <c r="K132" s="5"/>
    </row>
    <row r="133" spans="4:11" x14ac:dyDescent="0.25">
      <c r="D133" s="95">
        <v>129</v>
      </c>
      <c r="E133" s="10"/>
      <c r="F133" s="10"/>
      <c r="G133" s="10"/>
      <c r="H133" s="5" t="str">
        <f t="shared" ref="H133:H196" si="6">"det_"&amp;E133&amp;""</f>
        <v>det_</v>
      </c>
      <c r="I133" s="5" t="str">
        <f t="shared" ref="I133:I196" si="7">$B$5&amp;"\"&amp;H133&amp;".txt"</f>
        <v>W:\Performance Measurement\1. Freeway\1. raw data\2012\data files\det_.txt</v>
      </c>
      <c r="J133" s="5" t="str">
        <f t="shared" ref="J133:J196" si="8">$B$5&amp;"\"&amp;H133&amp;".xlsx"</f>
        <v>W:\Performance Measurement\1. Freeway\1. raw data\2012\data files\det_.xlsx</v>
      </c>
      <c r="K133" s="5"/>
    </row>
    <row r="134" spans="4:11" x14ac:dyDescent="0.25">
      <c r="D134" s="95">
        <v>130</v>
      </c>
      <c r="E134" s="10"/>
      <c r="F134" s="10"/>
      <c r="G134" s="10"/>
      <c r="H134" s="5" t="str">
        <f t="shared" si="6"/>
        <v>det_</v>
      </c>
      <c r="I134" s="5" t="str">
        <f t="shared" si="7"/>
        <v>W:\Performance Measurement\1. Freeway\1. raw data\2012\data files\det_.txt</v>
      </c>
      <c r="J134" s="5" t="str">
        <f t="shared" si="8"/>
        <v>W:\Performance Measurement\1. Freeway\1. raw data\2012\data files\det_.xlsx</v>
      </c>
      <c r="K134" s="5"/>
    </row>
    <row r="135" spans="4:11" x14ac:dyDescent="0.25">
      <c r="D135" s="95">
        <v>131</v>
      </c>
      <c r="E135" s="10"/>
      <c r="F135" s="10"/>
      <c r="G135" s="10"/>
      <c r="H135" s="5" t="str">
        <f t="shared" si="6"/>
        <v>det_</v>
      </c>
      <c r="I135" s="5" t="str">
        <f t="shared" si="7"/>
        <v>W:\Performance Measurement\1. Freeway\1. raw data\2012\data files\det_.txt</v>
      </c>
      <c r="J135" s="5" t="str">
        <f t="shared" si="8"/>
        <v>W:\Performance Measurement\1. Freeway\1. raw data\2012\data files\det_.xlsx</v>
      </c>
      <c r="K135" s="5"/>
    </row>
    <row r="136" spans="4:11" x14ac:dyDescent="0.25">
      <c r="D136" s="95">
        <v>132</v>
      </c>
      <c r="E136" s="10"/>
      <c r="F136" s="10"/>
      <c r="G136" s="10"/>
      <c r="H136" s="5" t="str">
        <f t="shared" si="6"/>
        <v>det_</v>
      </c>
      <c r="I136" s="5" t="str">
        <f t="shared" si="7"/>
        <v>W:\Performance Measurement\1. Freeway\1. raw data\2012\data files\det_.txt</v>
      </c>
      <c r="J136" s="5" t="str">
        <f t="shared" si="8"/>
        <v>W:\Performance Measurement\1. Freeway\1. raw data\2012\data files\det_.xlsx</v>
      </c>
      <c r="K136" s="5"/>
    </row>
    <row r="137" spans="4:11" x14ac:dyDescent="0.25">
      <c r="D137" s="95">
        <v>133</v>
      </c>
      <c r="E137" s="10"/>
      <c r="F137" s="10"/>
      <c r="G137" s="10"/>
      <c r="H137" s="5" t="str">
        <f t="shared" si="6"/>
        <v>det_</v>
      </c>
      <c r="I137" s="5" t="str">
        <f t="shared" si="7"/>
        <v>W:\Performance Measurement\1. Freeway\1. raw data\2012\data files\det_.txt</v>
      </c>
      <c r="J137" s="5" t="str">
        <f t="shared" si="8"/>
        <v>W:\Performance Measurement\1. Freeway\1. raw data\2012\data files\det_.xlsx</v>
      </c>
      <c r="K137" s="5"/>
    </row>
    <row r="138" spans="4:11" x14ac:dyDescent="0.25">
      <c r="D138" s="95">
        <v>134</v>
      </c>
      <c r="E138" s="10"/>
      <c r="F138" s="10"/>
      <c r="G138" s="10"/>
      <c r="H138" s="5" t="str">
        <f t="shared" si="6"/>
        <v>det_</v>
      </c>
      <c r="I138" s="5" t="str">
        <f t="shared" si="7"/>
        <v>W:\Performance Measurement\1. Freeway\1. raw data\2012\data files\det_.txt</v>
      </c>
      <c r="J138" s="5" t="str">
        <f t="shared" si="8"/>
        <v>W:\Performance Measurement\1. Freeway\1. raw data\2012\data files\det_.xlsx</v>
      </c>
      <c r="K138" s="5"/>
    </row>
    <row r="139" spans="4:11" x14ac:dyDescent="0.25">
      <c r="D139" s="95">
        <v>135</v>
      </c>
      <c r="E139" s="10"/>
      <c r="F139" s="10"/>
      <c r="G139" s="10"/>
      <c r="H139" s="5" t="str">
        <f t="shared" si="6"/>
        <v>det_</v>
      </c>
      <c r="I139" s="5" t="str">
        <f t="shared" si="7"/>
        <v>W:\Performance Measurement\1. Freeway\1. raw data\2012\data files\det_.txt</v>
      </c>
      <c r="J139" s="5" t="str">
        <f t="shared" si="8"/>
        <v>W:\Performance Measurement\1. Freeway\1. raw data\2012\data files\det_.xlsx</v>
      </c>
      <c r="K139" s="5"/>
    </row>
    <row r="140" spans="4:11" x14ac:dyDescent="0.25">
      <c r="D140" s="95">
        <v>136</v>
      </c>
      <c r="E140" s="10"/>
      <c r="F140" s="10"/>
      <c r="G140" s="10"/>
      <c r="H140" s="5" t="str">
        <f t="shared" si="6"/>
        <v>det_</v>
      </c>
      <c r="I140" s="5" t="str">
        <f t="shared" si="7"/>
        <v>W:\Performance Measurement\1. Freeway\1. raw data\2012\data files\det_.txt</v>
      </c>
      <c r="J140" s="5" t="str">
        <f t="shared" si="8"/>
        <v>W:\Performance Measurement\1. Freeway\1. raw data\2012\data files\det_.xlsx</v>
      </c>
      <c r="K140" s="5"/>
    </row>
    <row r="141" spans="4:11" x14ac:dyDescent="0.25">
      <c r="D141" s="95">
        <v>137</v>
      </c>
      <c r="E141" s="10"/>
      <c r="F141" s="10"/>
      <c r="G141" s="10"/>
      <c r="H141" s="5" t="str">
        <f t="shared" si="6"/>
        <v>det_</v>
      </c>
      <c r="I141" s="5" t="str">
        <f t="shared" si="7"/>
        <v>W:\Performance Measurement\1. Freeway\1. raw data\2012\data files\det_.txt</v>
      </c>
      <c r="J141" s="5" t="str">
        <f t="shared" si="8"/>
        <v>W:\Performance Measurement\1. Freeway\1. raw data\2012\data files\det_.xlsx</v>
      </c>
      <c r="K141" s="5"/>
    </row>
    <row r="142" spans="4:11" x14ac:dyDescent="0.25">
      <c r="D142" s="95">
        <v>138</v>
      </c>
      <c r="E142" s="10"/>
      <c r="F142" s="10"/>
      <c r="G142" s="10"/>
      <c r="H142" s="5" t="str">
        <f t="shared" si="6"/>
        <v>det_</v>
      </c>
      <c r="I142" s="5" t="str">
        <f t="shared" si="7"/>
        <v>W:\Performance Measurement\1. Freeway\1. raw data\2012\data files\det_.txt</v>
      </c>
      <c r="J142" s="5" t="str">
        <f t="shared" si="8"/>
        <v>W:\Performance Measurement\1. Freeway\1. raw data\2012\data files\det_.xlsx</v>
      </c>
      <c r="K142" s="5"/>
    </row>
    <row r="143" spans="4:11" x14ac:dyDescent="0.25">
      <c r="D143" s="95">
        <v>139</v>
      </c>
      <c r="E143" s="10"/>
      <c r="F143" s="10"/>
      <c r="G143" s="10"/>
      <c r="H143" s="5" t="str">
        <f t="shared" si="6"/>
        <v>det_</v>
      </c>
      <c r="I143" s="5" t="str">
        <f t="shared" si="7"/>
        <v>W:\Performance Measurement\1. Freeway\1. raw data\2012\data files\det_.txt</v>
      </c>
      <c r="J143" s="5" t="str">
        <f t="shared" si="8"/>
        <v>W:\Performance Measurement\1. Freeway\1. raw data\2012\data files\det_.xlsx</v>
      </c>
      <c r="K143" s="5"/>
    </row>
    <row r="144" spans="4:11" x14ac:dyDescent="0.25">
      <c r="D144" s="95">
        <v>140</v>
      </c>
      <c r="E144" s="10"/>
      <c r="F144" s="10"/>
      <c r="G144" s="10"/>
      <c r="H144" s="5" t="str">
        <f t="shared" si="6"/>
        <v>det_</v>
      </c>
      <c r="I144" s="5" t="str">
        <f t="shared" si="7"/>
        <v>W:\Performance Measurement\1. Freeway\1. raw data\2012\data files\det_.txt</v>
      </c>
      <c r="J144" s="5" t="str">
        <f t="shared" si="8"/>
        <v>W:\Performance Measurement\1. Freeway\1. raw data\2012\data files\det_.xlsx</v>
      </c>
      <c r="K144" s="5"/>
    </row>
    <row r="145" spans="4:11" x14ac:dyDescent="0.25">
      <c r="D145" s="95">
        <v>141</v>
      </c>
      <c r="E145" s="10"/>
      <c r="F145" s="10"/>
      <c r="G145" s="10"/>
      <c r="H145" s="5" t="str">
        <f t="shared" si="6"/>
        <v>det_</v>
      </c>
      <c r="I145" s="5" t="str">
        <f t="shared" si="7"/>
        <v>W:\Performance Measurement\1. Freeway\1. raw data\2012\data files\det_.txt</v>
      </c>
      <c r="J145" s="5" t="str">
        <f t="shared" si="8"/>
        <v>W:\Performance Measurement\1. Freeway\1. raw data\2012\data files\det_.xlsx</v>
      </c>
      <c r="K145" s="5"/>
    </row>
    <row r="146" spans="4:11" x14ac:dyDescent="0.25">
      <c r="D146" s="95">
        <v>142</v>
      </c>
      <c r="E146" s="10"/>
      <c r="F146" s="10"/>
      <c r="G146" s="10"/>
      <c r="H146" s="5" t="str">
        <f t="shared" si="6"/>
        <v>det_</v>
      </c>
      <c r="I146" s="5" t="str">
        <f t="shared" si="7"/>
        <v>W:\Performance Measurement\1. Freeway\1. raw data\2012\data files\det_.txt</v>
      </c>
      <c r="J146" s="5" t="str">
        <f t="shared" si="8"/>
        <v>W:\Performance Measurement\1. Freeway\1. raw data\2012\data files\det_.xlsx</v>
      </c>
      <c r="K146" s="5"/>
    </row>
    <row r="147" spans="4:11" x14ac:dyDescent="0.25">
      <c r="D147" s="95">
        <v>143</v>
      </c>
      <c r="E147" s="10"/>
      <c r="F147" s="10"/>
      <c r="G147" s="10"/>
      <c r="H147" s="5" t="str">
        <f t="shared" si="6"/>
        <v>det_</v>
      </c>
      <c r="I147" s="5" t="str">
        <f t="shared" si="7"/>
        <v>W:\Performance Measurement\1. Freeway\1. raw data\2012\data files\det_.txt</v>
      </c>
      <c r="J147" s="5" t="str">
        <f t="shared" si="8"/>
        <v>W:\Performance Measurement\1. Freeway\1. raw data\2012\data files\det_.xlsx</v>
      </c>
      <c r="K147" s="5"/>
    </row>
    <row r="148" spans="4:11" x14ac:dyDescent="0.25">
      <c r="D148" s="95">
        <v>144</v>
      </c>
      <c r="E148" s="10"/>
      <c r="F148" s="10"/>
      <c r="G148" s="10"/>
      <c r="H148" s="5" t="str">
        <f t="shared" si="6"/>
        <v>det_</v>
      </c>
      <c r="I148" s="5" t="str">
        <f t="shared" si="7"/>
        <v>W:\Performance Measurement\1. Freeway\1. raw data\2012\data files\det_.txt</v>
      </c>
      <c r="J148" s="5" t="str">
        <f t="shared" si="8"/>
        <v>W:\Performance Measurement\1. Freeway\1. raw data\2012\data files\det_.xlsx</v>
      </c>
      <c r="K148" s="5"/>
    </row>
    <row r="149" spans="4:11" x14ac:dyDescent="0.25">
      <c r="D149" s="95">
        <v>145</v>
      </c>
      <c r="E149" s="10"/>
      <c r="F149" s="10"/>
      <c r="G149" s="10"/>
      <c r="H149" s="5" t="str">
        <f t="shared" si="6"/>
        <v>det_</v>
      </c>
      <c r="I149" s="5" t="str">
        <f t="shared" si="7"/>
        <v>W:\Performance Measurement\1. Freeway\1. raw data\2012\data files\det_.txt</v>
      </c>
      <c r="J149" s="5" t="str">
        <f t="shared" si="8"/>
        <v>W:\Performance Measurement\1. Freeway\1. raw data\2012\data files\det_.xlsx</v>
      </c>
      <c r="K149" s="5"/>
    </row>
    <row r="150" spans="4:11" x14ac:dyDescent="0.25">
      <c r="D150" s="95">
        <v>146</v>
      </c>
      <c r="E150" s="10"/>
      <c r="F150" s="10"/>
      <c r="G150" s="10"/>
      <c r="H150" s="5" t="str">
        <f t="shared" si="6"/>
        <v>det_</v>
      </c>
      <c r="I150" s="5" t="str">
        <f t="shared" si="7"/>
        <v>W:\Performance Measurement\1. Freeway\1. raw data\2012\data files\det_.txt</v>
      </c>
      <c r="J150" s="5" t="str">
        <f t="shared" si="8"/>
        <v>W:\Performance Measurement\1. Freeway\1. raw data\2012\data files\det_.xlsx</v>
      </c>
      <c r="K150" s="5"/>
    </row>
    <row r="151" spans="4:11" x14ac:dyDescent="0.25">
      <c r="D151" s="95">
        <v>147</v>
      </c>
      <c r="E151" s="10"/>
      <c r="F151" s="10"/>
      <c r="G151" s="10"/>
      <c r="H151" s="5" t="str">
        <f t="shared" si="6"/>
        <v>det_</v>
      </c>
      <c r="I151" s="5" t="str">
        <f t="shared" si="7"/>
        <v>W:\Performance Measurement\1. Freeway\1. raw data\2012\data files\det_.txt</v>
      </c>
      <c r="J151" s="5" t="str">
        <f t="shared" si="8"/>
        <v>W:\Performance Measurement\1. Freeway\1. raw data\2012\data files\det_.xlsx</v>
      </c>
      <c r="K151" s="5"/>
    </row>
    <row r="152" spans="4:11" x14ac:dyDescent="0.25">
      <c r="D152" s="95">
        <v>148</v>
      </c>
      <c r="E152" s="10"/>
      <c r="F152" s="10"/>
      <c r="G152" s="10"/>
      <c r="H152" s="5" t="str">
        <f t="shared" si="6"/>
        <v>det_</v>
      </c>
      <c r="I152" s="5" t="str">
        <f t="shared" si="7"/>
        <v>W:\Performance Measurement\1. Freeway\1. raw data\2012\data files\det_.txt</v>
      </c>
      <c r="J152" s="5" t="str">
        <f t="shared" si="8"/>
        <v>W:\Performance Measurement\1. Freeway\1. raw data\2012\data files\det_.xlsx</v>
      </c>
      <c r="K152" s="5"/>
    </row>
    <row r="153" spans="4:11" x14ac:dyDescent="0.25">
      <c r="D153" s="95">
        <v>149</v>
      </c>
      <c r="E153" s="10"/>
      <c r="F153" s="10"/>
      <c r="G153" s="10"/>
      <c r="H153" s="5" t="str">
        <f t="shared" si="6"/>
        <v>det_</v>
      </c>
      <c r="I153" s="5" t="str">
        <f t="shared" si="7"/>
        <v>W:\Performance Measurement\1. Freeway\1. raw data\2012\data files\det_.txt</v>
      </c>
      <c r="J153" s="5" t="str">
        <f t="shared" si="8"/>
        <v>W:\Performance Measurement\1. Freeway\1. raw data\2012\data files\det_.xlsx</v>
      </c>
      <c r="K153" s="5"/>
    </row>
    <row r="154" spans="4:11" x14ac:dyDescent="0.25">
      <c r="D154" s="95">
        <v>150</v>
      </c>
      <c r="E154" s="10"/>
      <c r="F154" s="10"/>
      <c r="G154" s="10"/>
      <c r="H154" s="5" t="str">
        <f t="shared" si="6"/>
        <v>det_</v>
      </c>
      <c r="I154" s="5" t="str">
        <f t="shared" si="7"/>
        <v>W:\Performance Measurement\1. Freeway\1. raw data\2012\data files\det_.txt</v>
      </c>
      <c r="J154" s="5" t="str">
        <f t="shared" si="8"/>
        <v>W:\Performance Measurement\1. Freeway\1. raw data\2012\data files\det_.xlsx</v>
      </c>
      <c r="K154" s="5"/>
    </row>
    <row r="155" spans="4:11" x14ac:dyDescent="0.25">
      <c r="D155" s="95">
        <v>151</v>
      </c>
      <c r="E155" s="10"/>
      <c r="F155" s="10"/>
      <c r="G155" s="10"/>
      <c r="H155" s="5" t="str">
        <f t="shared" si="6"/>
        <v>det_</v>
      </c>
      <c r="I155" s="5" t="str">
        <f t="shared" si="7"/>
        <v>W:\Performance Measurement\1. Freeway\1. raw data\2012\data files\det_.txt</v>
      </c>
      <c r="J155" s="5" t="str">
        <f t="shared" si="8"/>
        <v>W:\Performance Measurement\1. Freeway\1. raw data\2012\data files\det_.xlsx</v>
      </c>
      <c r="K155" s="5"/>
    </row>
    <row r="156" spans="4:11" x14ac:dyDescent="0.25">
      <c r="D156" s="95">
        <v>152</v>
      </c>
      <c r="E156" s="10"/>
      <c r="F156" s="10"/>
      <c r="G156" s="10"/>
      <c r="H156" s="5" t="str">
        <f t="shared" si="6"/>
        <v>det_</v>
      </c>
      <c r="I156" s="5" t="str">
        <f t="shared" si="7"/>
        <v>W:\Performance Measurement\1. Freeway\1. raw data\2012\data files\det_.txt</v>
      </c>
      <c r="J156" s="5" t="str">
        <f t="shared" si="8"/>
        <v>W:\Performance Measurement\1. Freeway\1. raw data\2012\data files\det_.xlsx</v>
      </c>
      <c r="K156" s="5"/>
    </row>
    <row r="157" spans="4:11" x14ac:dyDescent="0.25">
      <c r="D157" s="95">
        <v>153</v>
      </c>
      <c r="E157" s="10"/>
      <c r="F157" s="10"/>
      <c r="G157" s="10"/>
      <c r="H157" s="5" t="str">
        <f t="shared" si="6"/>
        <v>det_</v>
      </c>
      <c r="I157" s="5" t="str">
        <f t="shared" si="7"/>
        <v>W:\Performance Measurement\1. Freeway\1. raw data\2012\data files\det_.txt</v>
      </c>
      <c r="J157" s="5" t="str">
        <f t="shared" si="8"/>
        <v>W:\Performance Measurement\1. Freeway\1. raw data\2012\data files\det_.xlsx</v>
      </c>
      <c r="K157" s="5"/>
    </row>
    <row r="158" spans="4:11" x14ac:dyDescent="0.25">
      <c r="D158" s="95">
        <v>154</v>
      </c>
      <c r="E158" s="10"/>
      <c r="F158" s="10"/>
      <c r="G158" s="10"/>
      <c r="H158" s="5" t="str">
        <f t="shared" si="6"/>
        <v>det_</v>
      </c>
      <c r="I158" s="5" t="str">
        <f t="shared" si="7"/>
        <v>W:\Performance Measurement\1. Freeway\1. raw data\2012\data files\det_.txt</v>
      </c>
      <c r="J158" s="5" t="str">
        <f t="shared" si="8"/>
        <v>W:\Performance Measurement\1. Freeway\1. raw data\2012\data files\det_.xlsx</v>
      </c>
      <c r="K158" s="5"/>
    </row>
    <row r="159" spans="4:11" x14ac:dyDescent="0.25">
      <c r="D159" s="95">
        <v>155</v>
      </c>
      <c r="E159" s="10"/>
      <c r="F159" s="10"/>
      <c r="G159" s="10"/>
      <c r="H159" s="5" t="str">
        <f t="shared" si="6"/>
        <v>det_</v>
      </c>
      <c r="I159" s="5" t="str">
        <f t="shared" si="7"/>
        <v>W:\Performance Measurement\1. Freeway\1. raw data\2012\data files\det_.txt</v>
      </c>
      <c r="J159" s="5" t="str">
        <f t="shared" si="8"/>
        <v>W:\Performance Measurement\1. Freeway\1. raw data\2012\data files\det_.xlsx</v>
      </c>
      <c r="K159" s="5"/>
    </row>
    <row r="160" spans="4:11" x14ac:dyDescent="0.25">
      <c r="D160" s="95">
        <v>156</v>
      </c>
      <c r="E160" s="10"/>
      <c r="F160" s="10"/>
      <c r="G160" s="10"/>
      <c r="H160" s="5" t="str">
        <f t="shared" si="6"/>
        <v>det_</v>
      </c>
      <c r="I160" s="5" t="str">
        <f t="shared" si="7"/>
        <v>W:\Performance Measurement\1. Freeway\1. raw data\2012\data files\det_.txt</v>
      </c>
      <c r="J160" s="5" t="str">
        <f t="shared" si="8"/>
        <v>W:\Performance Measurement\1. Freeway\1. raw data\2012\data files\det_.xlsx</v>
      </c>
      <c r="K160" s="5"/>
    </row>
    <row r="161" spans="4:11" x14ac:dyDescent="0.25">
      <c r="D161" s="95">
        <v>157</v>
      </c>
      <c r="E161" s="10"/>
      <c r="F161" s="10"/>
      <c r="G161" s="10"/>
      <c r="H161" s="5" t="str">
        <f t="shared" si="6"/>
        <v>det_</v>
      </c>
      <c r="I161" s="5" t="str">
        <f t="shared" si="7"/>
        <v>W:\Performance Measurement\1. Freeway\1. raw data\2012\data files\det_.txt</v>
      </c>
      <c r="J161" s="5" t="str">
        <f t="shared" si="8"/>
        <v>W:\Performance Measurement\1. Freeway\1. raw data\2012\data files\det_.xlsx</v>
      </c>
      <c r="K161" s="5"/>
    </row>
    <row r="162" spans="4:11" x14ac:dyDescent="0.25">
      <c r="D162" s="95">
        <v>158</v>
      </c>
      <c r="E162" s="10"/>
      <c r="F162" s="10"/>
      <c r="G162" s="10"/>
      <c r="H162" s="5" t="str">
        <f t="shared" si="6"/>
        <v>det_</v>
      </c>
      <c r="I162" s="5" t="str">
        <f t="shared" si="7"/>
        <v>W:\Performance Measurement\1. Freeway\1. raw data\2012\data files\det_.txt</v>
      </c>
      <c r="J162" s="5" t="str">
        <f t="shared" si="8"/>
        <v>W:\Performance Measurement\1. Freeway\1. raw data\2012\data files\det_.xlsx</v>
      </c>
      <c r="K162" s="5"/>
    </row>
    <row r="163" spans="4:11" x14ac:dyDescent="0.25">
      <c r="D163" s="95">
        <v>159</v>
      </c>
      <c r="E163" s="10"/>
      <c r="F163" s="10"/>
      <c r="G163" s="10"/>
      <c r="H163" s="5" t="str">
        <f t="shared" si="6"/>
        <v>det_</v>
      </c>
      <c r="I163" s="5" t="str">
        <f t="shared" si="7"/>
        <v>W:\Performance Measurement\1. Freeway\1. raw data\2012\data files\det_.txt</v>
      </c>
      <c r="J163" s="5" t="str">
        <f t="shared" si="8"/>
        <v>W:\Performance Measurement\1. Freeway\1. raw data\2012\data files\det_.xlsx</v>
      </c>
      <c r="K163" s="5"/>
    </row>
    <row r="164" spans="4:11" x14ac:dyDescent="0.25">
      <c r="D164" s="95">
        <v>160</v>
      </c>
      <c r="E164" s="10"/>
      <c r="F164" s="10"/>
      <c r="G164" s="10"/>
      <c r="H164" s="5" t="str">
        <f t="shared" si="6"/>
        <v>det_</v>
      </c>
      <c r="I164" s="5" t="str">
        <f t="shared" si="7"/>
        <v>W:\Performance Measurement\1. Freeway\1. raw data\2012\data files\det_.txt</v>
      </c>
      <c r="J164" s="5" t="str">
        <f t="shared" si="8"/>
        <v>W:\Performance Measurement\1. Freeway\1. raw data\2012\data files\det_.xlsx</v>
      </c>
      <c r="K164" s="5"/>
    </row>
    <row r="165" spans="4:11" x14ac:dyDescent="0.25">
      <c r="D165" s="95">
        <v>161</v>
      </c>
      <c r="E165" s="10"/>
      <c r="F165" s="10"/>
      <c r="G165" s="10"/>
      <c r="H165" s="5" t="str">
        <f t="shared" si="6"/>
        <v>det_</v>
      </c>
      <c r="I165" s="5" t="str">
        <f t="shared" si="7"/>
        <v>W:\Performance Measurement\1. Freeway\1. raw data\2012\data files\det_.txt</v>
      </c>
      <c r="J165" s="5" t="str">
        <f t="shared" si="8"/>
        <v>W:\Performance Measurement\1. Freeway\1. raw data\2012\data files\det_.xlsx</v>
      </c>
      <c r="K165" s="5"/>
    </row>
    <row r="166" spans="4:11" x14ac:dyDescent="0.25">
      <c r="D166" s="95">
        <v>162</v>
      </c>
      <c r="E166" s="10"/>
      <c r="F166" s="10"/>
      <c r="G166" s="10"/>
      <c r="H166" s="5" t="str">
        <f t="shared" si="6"/>
        <v>det_</v>
      </c>
      <c r="I166" s="5" t="str">
        <f t="shared" si="7"/>
        <v>W:\Performance Measurement\1. Freeway\1. raw data\2012\data files\det_.txt</v>
      </c>
      <c r="J166" s="5" t="str">
        <f t="shared" si="8"/>
        <v>W:\Performance Measurement\1. Freeway\1. raw data\2012\data files\det_.xlsx</v>
      </c>
      <c r="K166" s="5"/>
    </row>
    <row r="167" spans="4:11" x14ac:dyDescent="0.25">
      <c r="D167" s="95">
        <v>163</v>
      </c>
      <c r="E167" s="10"/>
      <c r="F167" s="10"/>
      <c r="G167" s="10"/>
      <c r="H167" s="5" t="str">
        <f t="shared" si="6"/>
        <v>det_</v>
      </c>
      <c r="I167" s="5" t="str">
        <f t="shared" si="7"/>
        <v>W:\Performance Measurement\1. Freeway\1. raw data\2012\data files\det_.txt</v>
      </c>
      <c r="J167" s="5" t="str">
        <f t="shared" si="8"/>
        <v>W:\Performance Measurement\1. Freeway\1. raw data\2012\data files\det_.xlsx</v>
      </c>
      <c r="K167" s="5"/>
    </row>
    <row r="168" spans="4:11" x14ac:dyDescent="0.25">
      <c r="D168" s="95">
        <v>164</v>
      </c>
      <c r="E168" s="10"/>
      <c r="F168" s="10"/>
      <c r="G168" s="10"/>
      <c r="H168" s="5" t="str">
        <f t="shared" si="6"/>
        <v>det_</v>
      </c>
      <c r="I168" s="5" t="str">
        <f t="shared" si="7"/>
        <v>W:\Performance Measurement\1. Freeway\1. raw data\2012\data files\det_.txt</v>
      </c>
      <c r="J168" s="5" t="str">
        <f t="shared" si="8"/>
        <v>W:\Performance Measurement\1. Freeway\1. raw data\2012\data files\det_.xlsx</v>
      </c>
      <c r="K168" s="5"/>
    </row>
    <row r="169" spans="4:11" x14ac:dyDescent="0.25">
      <c r="D169" s="95">
        <v>165</v>
      </c>
      <c r="E169" s="10"/>
      <c r="F169" s="10"/>
      <c r="G169" s="10"/>
      <c r="H169" s="5" t="str">
        <f t="shared" si="6"/>
        <v>det_</v>
      </c>
      <c r="I169" s="5" t="str">
        <f t="shared" si="7"/>
        <v>W:\Performance Measurement\1. Freeway\1. raw data\2012\data files\det_.txt</v>
      </c>
      <c r="J169" s="5" t="str">
        <f t="shared" si="8"/>
        <v>W:\Performance Measurement\1. Freeway\1. raw data\2012\data files\det_.xlsx</v>
      </c>
      <c r="K169" s="5"/>
    </row>
    <row r="170" spans="4:11" x14ac:dyDescent="0.25">
      <c r="D170" s="95">
        <v>166</v>
      </c>
      <c r="E170" s="10"/>
      <c r="F170" s="10"/>
      <c r="G170" s="10"/>
      <c r="H170" s="5" t="str">
        <f t="shared" si="6"/>
        <v>det_</v>
      </c>
      <c r="I170" s="5" t="str">
        <f t="shared" si="7"/>
        <v>W:\Performance Measurement\1. Freeway\1. raw data\2012\data files\det_.txt</v>
      </c>
      <c r="J170" s="5" t="str">
        <f t="shared" si="8"/>
        <v>W:\Performance Measurement\1. Freeway\1. raw data\2012\data files\det_.xlsx</v>
      </c>
      <c r="K170" s="5"/>
    </row>
    <row r="171" spans="4:11" x14ac:dyDescent="0.25">
      <c r="D171" s="95">
        <v>167</v>
      </c>
      <c r="E171" s="10"/>
      <c r="F171" s="10"/>
      <c r="G171" s="10"/>
      <c r="H171" s="5" t="str">
        <f t="shared" si="6"/>
        <v>det_</v>
      </c>
      <c r="I171" s="5" t="str">
        <f t="shared" si="7"/>
        <v>W:\Performance Measurement\1. Freeway\1. raw data\2012\data files\det_.txt</v>
      </c>
      <c r="J171" s="5" t="str">
        <f t="shared" si="8"/>
        <v>W:\Performance Measurement\1. Freeway\1. raw data\2012\data files\det_.xlsx</v>
      </c>
      <c r="K171" s="5"/>
    </row>
    <row r="172" spans="4:11" x14ac:dyDescent="0.25">
      <c r="D172" s="95">
        <v>168</v>
      </c>
      <c r="E172" s="10"/>
      <c r="F172" s="10"/>
      <c r="G172" s="10"/>
      <c r="H172" s="5" t="str">
        <f t="shared" si="6"/>
        <v>det_</v>
      </c>
      <c r="I172" s="5" t="str">
        <f t="shared" si="7"/>
        <v>W:\Performance Measurement\1. Freeway\1. raw data\2012\data files\det_.txt</v>
      </c>
      <c r="J172" s="5" t="str">
        <f t="shared" si="8"/>
        <v>W:\Performance Measurement\1. Freeway\1. raw data\2012\data files\det_.xlsx</v>
      </c>
      <c r="K172" s="5"/>
    </row>
    <row r="173" spans="4:11" x14ac:dyDescent="0.25">
      <c r="D173" s="95">
        <v>169</v>
      </c>
      <c r="E173" s="10"/>
      <c r="F173" s="10"/>
      <c r="G173" s="10"/>
      <c r="H173" s="5" t="str">
        <f t="shared" si="6"/>
        <v>det_</v>
      </c>
      <c r="I173" s="5" t="str">
        <f t="shared" si="7"/>
        <v>W:\Performance Measurement\1. Freeway\1. raw data\2012\data files\det_.txt</v>
      </c>
      <c r="J173" s="5" t="str">
        <f t="shared" si="8"/>
        <v>W:\Performance Measurement\1. Freeway\1. raw data\2012\data files\det_.xlsx</v>
      </c>
      <c r="K173" s="5"/>
    </row>
    <row r="174" spans="4:11" x14ac:dyDescent="0.25">
      <c r="D174" s="95">
        <v>170</v>
      </c>
      <c r="E174" s="10"/>
      <c r="F174" s="10"/>
      <c r="G174" s="10"/>
      <c r="H174" s="5" t="str">
        <f t="shared" si="6"/>
        <v>det_</v>
      </c>
      <c r="I174" s="5" t="str">
        <f t="shared" si="7"/>
        <v>W:\Performance Measurement\1. Freeway\1. raw data\2012\data files\det_.txt</v>
      </c>
      <c r="J174" s="5" t="str">
        <f t="shared" si="8"/>
        <v>W:\Performance Measurement\1. Freeway\1. raw data\2012\data files\det_.xlsx</v>
      </c>
      <c r="K174" s="5"/>
    </row>
    <row r="175" spans="4:11" x14ac:dyDescent="0.25">
      <c r="D175" s="95">
        <v>171</v>
      </c>
      <c r="E175" s="10"/>
      <c r="F175" s="10"/>
      <c r="G175" s="10"/>
      <c r="H175" s="5" t="str">
        <f t="shared" si="6"/>
        <v>det_</v>
      </c>
      <c r="I175" s="5" t="str">
        <f t="shared" si="7"/>
        <v>W:\Performance Measurement\1. Freeway\1. raw data\2012\data files\det_.txt</v>
      </c>
      <c r="J175" s="5" t="str">
        <f t="shared" si="8"/>
        <v>W:\Performance Measurement\1. Freeway\1. raw data\2012\data files\det_.xlsx</v>
      </c>
      <c r="K175" s="5"/>
    </row>
    <row r="176" spans="4:11" x14ac:dyDescent="0.25">
      <c r="D176" s="95">
        <v>172</v>
      </c>
      <c r="E176" s="10"/>
      <c r="F176" s="10"/>
      <c r="G176" s="10"/>
      <c r="H176" s="5" t="str">
        <f t="shared" si="6"/>
        <v>det_</v>
      </c>
      <c r="I176" s="5" t="str">
        <f t="shared" si="7"/>
        <v>W:\Performance Measurement\1. Freeway\1. raw data\2012\data files\det_.txt</v>
      </c>
      <c r="J176" s="5" t="str">
        <f t="shared" si="8"/>
        <v>W:\Performance Measurement\1. Freeway\1. raw data\2012\data files\det_.xlsx</v>
      </c>
      <c r="K176" s="5"/>
    </row>
    <row r="177" spans="4:11" x14ac:dyDescent="0.25">
      <c r="D177" s="95">
        <v>173</v>
      </c>
      <c r="E177" s="10"/>
      <c r="F177" s="10"/>
      <c r="G177" s="10"/>
      <c r="H177" s="5" t="str">
        <f t="shared" si="6"/>
        <v>det_</v>
      </c>
      <c r="I177" s="5" t="str">
        <f t="shared" si="7"/>
        <v>W:\Performance Measurement\1. Freeway\1. raw data\2012\data files\det_.txt</v>
      </c>
      <c r="J177" s="5" t="str">
        <f t="shared" si="8"/>
        <v>W:\Performance Measurement\1. Freeway\1. raw data\2012\data files\det_.xlsx</v>
      </c>
      <c r="K177" s="5"/>
    </row>
    <row r="178" spans="4:11" x14ac:dyDescent="0.25">
      <c r="D178" s="95">
        <v>174</v>
      </c>
      <c r="E178" s="10"/>
      <c r="F178" s="10"/>
      <c r="G178" s="10"/>
      <c r="H178" s="5" t="str">
        <f t="shared" si="6"/>
        <v>det_</v>
      </c>
      <c r="I178" s="5" t="str">
        <f t="shared" si="7"/>
        <v>W:\Performance Measurement\1. Freeway\1. raw data\2012\data files\det_.txt</v>
      </c>
      <c r="J178" s="5" t="str">
        <f t="shared" si="8"/>
        <v>W:\Performance Measurement\1. Freeway\1. raw data\2012\data files\det_.xlsx</v>
      </c>
      <c r="K178" s="5"/>
    </row>
    <row r="179" spans="4:11" x14ac:dyDescent="0.25">
      <c r="D179" s="95">
        <v>175</v>
      </c>
      <c r="E179" s="10"/>
      <c r="F179" s="10"/>
      <c r="G179" s="10"/>
      <c r="H179" s="5" t="str">
        <f t="shared" si="6"/>
        <v>det_</v>
      </c>
      <c r="I179" s="5" t="str">
        <f t="shared" si="7"/>
        <v>W:\Performance Measurement\1. Freeway\1. raw data\2012\data files\det_.txt</v>
      </c>
      <c r="J179" s="5" t="str">
        <f t="shared" si="8"/>
        <v>W:\Performance Measurement\1. Freeway\1. raw data\2012\data files\det_.xlsx</v>
      </c>
      <c r="K179" s="5"/>
    </row>
    <row r="180" spans="4:11" x14ac:dyDescent="0.25">
      <c r="D180" s="95">
        <v>176</v>
      </c>
      <c r="E180" s="10"/>
      <c r="F180" s="10"/>
      <c r="G180" s="10"/>
      <c r="H180" s="5" t="str">
        <f t="shared" si="6"/>
        <v>det_</v>
      </c>
      <c r="I180" s="5" t="str">
        <f t="shared" si="7"/>
        <v>W:\Performance Measurement\1. Freeway\1. raw data\2012\data files\det_.txt</v>
      </c>
      <c r="J180" s="5" t="str">
        <f t="shared" si="8"/>
        <v>W:\Performance Measurement\1. Freeway\1. raw data\2012\data files\det_.xlsx</v>
      </c>
      <c r="K180" s="5"/>
    </row>
    <row r="181" spans="4:11" x14ac:dyDescent="0.25">
      <c r="D181" s="95">
        <v>177</v>
      </c>
      <c r="E181" s="10"/>
      <c r="F181" s="10"/>
      <c r="G181" s="10"/>
      <c r="H181" s="5" t="str">
        <f t="shared" si="6"/>
        <v>det_</v>
      </c>
      <c r="I181" s="5" t="str">
        <f t="shared" si="7"/>
        <v>W:\Performance Measurement\1. Freeway\1. raw data\2012\data files\det_.txt</v>
      </c>
      <c r="J181" s="5" t="str">
        <f t="shared" si="8"/>
        <v>W:\Performance Measurement\1. Freeway\1. raw data\2012\data files\det_.xlsx</v>
      </c>
      <c r="K181" s="5"/>
    </row>
    <row r="182" spans="4:11" x14ac:dyDescent="0.25">
      <c r="D182" s="95">
        <v>178</v>
      </c>
      <c r="E182" s="10"/>
      <c r="F182" s="10"/>
      <c r="G182" s="10"/>
      <c r="H182" s="5" t="str">
        <f t="shared" si="6"/>
        <v>det_</v>
      </c>
      <c r="I182" s="5" t="str">
        <f t="shared" si="7"/>
        <v>W:\Performance Measurement\1. Freeway\1. raw data\2012\data files\det_.txt</v>
      </c>
      <c r="J182" s="5" t="str">
        <f t="shared" si="8"/>
        <v>W:\Performance Measurement\1. Freeway\1. raw data\2012\data files\det_.xlsx</v>
      </c>
      <c r="K182" s="5"/>
    </row>
    <row r="183" spans="4:11" x14ac:dyDescent="0.25">
      <c r="D183" s="95">
        <v>179</v>
      </c>
      <c r="E183" s="10"/>
      <c r="F183" s="10"/>
      <c r="G183" s="10"/>
      <c r="H183" s="5" t="str">
        <f t="shared" si="6"/>
        <v>det_</v>
      </c>
      <c r="I183" s="5" t="str">
        <f t="shared" si="7"/>
        <v>W:\Performance Measurement\1. Freeway\1. raw data\2012\data files\det_.txt</v>
      </c>
      <c r="J183" s="5" t="str">
        <f t="shared" si="8"/>
        <v>W:\Performance Measurement\1. Freeway\1. raw data\2012\data files\det_.xlsx</v>
      </c>
      <c r="K183" s="5"/>
    </row>
    <row r="184" spans="4:11" x14ac:dyDescent="0.25">
      <c r="D184" s="95">
        <v>180</v>
      </c>
      <c r="E184" s="10"/>
      <c r="F184" s="10"/>
      <c r="G184" s="10"/>
      <c r="H184" s="5" t="str">
        <f t="shared" si="6"/>
        <v>det_</v>
      </c>
      <c r="I184" s="5" t="str">
        <f t="shared" si="7"/>
        <v>W:\Performance Measurement\1. Freeway\1. raw data\2012\data files\det_.txt</v>
      </c>
      <c r="J184" s="5" t="str">
        <f t="shared" si="8"/>
        <v>W:\Performance Measurement\1. Freeway\1. raw data\2012\data files\det_.xlsx</v>
      </c>
      <c r="K184" s="5"/>
    </row>
    <row r="185" spans="4:11" x14ac:dyDescent="0.25">
      <c r="D185" s="95">
        <v>181</v>
      </c>
      <c r="E185" s="10"/>
      <c r="F185" s="10"/>
      <c r="G185" s="10"/>
      <c r="H185" s="5" t="str">
        <f t="shared" si="6"/>
        <v>det_</v>
      </c>
      <c r="I185" s="5" t="str">
        <f t="shared" si="7"/>
        <v>W:\Performance Measurement\1. Freeway\1. raw data\2012\data files\det_.txt</v>
      </c>
      <c r="J185" s="5" t="str">
        <f t="shared" si="8"/>
        <v>W:\Performance Measurement\1. Freeway\1. raw data\2012\data files\det_.xlsx</v>
      </c>
      <c r="K185" s="5"/>
    </row>
    <row r="186" spans="4:11" x14ac:dyDescent="0.25">
      <c r="D186" s="95">
        <v>182</v>
      </c>
      <c r="E186" s="10"/>
      <c r="F186" s="10"/>
      <c r="G186" s="10"/>
      <c r="H186" s="5" t="str">
        <f t="shared" si="6"/>
        <v>det_</v>
      </c>
      <c r="I186" s="5" t="str">
        <f t="shared" si="7"/>
        <v>W:\Performance Measurement\1. Freeway\1. raw data\2012\data files\det_.txt</v>
      </c>
      <c r="J186" s="5" t="str">
        <f t="shared" si="8"/>
        <v>W:\Performance Measurement\1. Freeway\1. raw data\2012\data files\det_.xlsx</v>
      </c>
      <c r="K186" s="5"/>
    </row>
    <row r="187" spans="4:11" x14ac:dyDescent="0.25">
      <c r="D187" s="95">
        <v>183</v>
      </c>
      <c r="E187" s="10"/>
      <c r="F187" s="10"/>
      <c r="G187" s="10"/>
      <c r="H187" s="5" t="str">
        <f t="shared" si="6"/>
        <v>det_</v>
      </c>
      <c r="I187" s="5" t="str">
        <f t="shared" si="7"/>
        <v>W:\Performance Measurement\1. Freeway\1. raw data\2012\data files\det_.txt</v>
      </c>
      <c r="J187" s="5" t="str">
        <f t="shared" si="8"/>
        <v>W:\Performance Measurement\1. Freeway\1. raw data\2012\data files\det_.xlsx</v>
      </c>
      <c r="K187" s="5"/>
    </row>
    <row r="188" spans="4:11" x14ac:dyDescent="0.25">
      <c r="D188" s="95">
        <v>184</v>
      </c>
      <c r="E188" s="10"/>
      <c r="F188" s="10"/>
      <c r="G188" s="10"/>
      <c r="H188" s="5" t="str">
        <f t="shared" si="6"/>
        <v>det_</v>
      </c>
      <c r="I188" s="5" t="str">
        <f t="shared" si="7"/>
        <v>W:\Performance Measurement\1. Freeway\1. raw data\2012\data files\det_.txt</v>
      </c>
      <c r="J188" s="5" t="str">
        <f t="shared" si="8"/>
        <v>W:\Performance Measurement\1. Freeway\1. raw data\2012\data files\det_.xlsx</v>
      </c>
      <c r="K188" s="5"/>
    </row>
    <row r="189" spans="4:11" x14ac:dyDescent="0.25">
      <c r="D189" s="95">
        <v>185</v>
      </c>
      <c r="E189" s="10"/>
      <c r="F189" s="10"/>
      <c r="G189" s="10"/>
      <c r="H189" s="5" t="str">
        <f t="shared" si="6"/>
        <v>det_</v>
      </c>
      <c r="I189" s="5" t="str">
        <f t="shared" si="7"/>
        <v>W:\Performance Measurement\1. Freeway\1. raw data\2012\data files\det_.txt</v>
      </c>
      <c r="J189" s="5" t="str">
        <f t="shared" si="8"/>
        <v>W:\Performance Measurement\1. Freeway\1. raw data\2012\data files\det_.xlsx</v>
      </c>
      <c r="K189" s="5"/>
    </row>
    <row r="190" spans="4:11" x14ac:dyDescent="0.25">
      <c r="D190" s="95">
        <v>186</v>
      </c>
      <c r="E190" s="10"/>
      <c r="F190" s="10"/>
      <c r="G190" s="10"/>
      <c r="H190" s="5" t="str">
        <f t="shared" si="6"/>
        <v>det_</v>
      </c>
      <c r="I190" s="5" t="str">
        <f t="shared" si="7"/>
        <v>W:\Performance Measurement\1. Freeway\1. raw data\2012\data files\det_.txt</v>
      </c>
      <c r="J190" s="5" t="str">
        <f t="shared" si="8"/>
        <v>W:\Performance Measurement\1. Freeway\1. raw data\2012\data files\det_.xlsx</v>
      </c>
      <c r="K190" s="5"/>
    </row>
    <row r="191" spans="4:11" x14ac:dyDescent="0.25">
      <c r="D191" s="95">
        <v>187</v>
      </c>
      <c r="E191" s="10"/>
      <c r="F191" s="10"/>
      <c r="G191" s="10"/>
      <c r="H191" s="5" t="str">
        <f t="shared" si="6"/>
        <v>det_</v>
      </c>
      <c r="I191" s="5" t="str">
        <f t="shared" si="7"/>
        <v>W:\Performance Measurement\1. Freeway\1. raw data\2012\data files\det_.txt</v>
      </c>
      <c r="J191" s="5" t="str">
        <f t="shared" si="8"/>
        <v>W:\Performance Measurement\1. Freeway\1. raw data\2012\data files\det_.xlsx</v>
      </c>
      <c r="K191" s="5"/>
    </row>
    <row r="192" spans="4:11" x14ac:dyDescent="0.25">
      <c r="D192" s="95">
        <v>188</v>
      </c>
      <c r="E192" s="10"/>
      <c r="F192" s="10"/>
      <c r="G192" s="10"/>
      <c r="H192" s="5" t="str">
        <f t="shared" si="6"/>
        <v>det_</v>
      </c>
      <c r="I192" s="5" t="str">
        <f t="shared" si="7"/>
        <v>W:\Performance Measurement\1. Freeway\1. raw data\2012\data files\det_.txt</v>
      </c>
      <c r="J192" s="5" t="str">
        <f t="shared" si="8"/>
        <v>W:\Performance Measurement\1. Freeway\1. raw data\2012\data files\det_.xlsx</v>
      </c>
      <c r="K192" s="5"/>
    </row>
    <row r="193" spans="4:11" x14ac:dyDescent="0.25">
      <c r="D193" s="95">
        <v>189</v>
      </c>
      <c r="E193" s="10"/>
      <c r="F193" s="10"/>
      <c r="G193" s="10"/>
      <c r="H193" s="5" t="str">
        <f t="shared" si="6"/>
        <v>det_</v>
      </c>
      <c r="I193" s="5" t="str">
        <f t="shared" si="7"/>
        <v>W:\Performance Measurement\1. Freeway\1. raw data\2012\data files\det_.txt</v>
      </c>
      <c r="J193" s="5" t="str">
        <f t="shared" si="8"/>
        <v>W:\Performance Measurement\1. Freeway\1. raw data\2012\data files\det_.xlsx</v>
      </c>
      <c r="K193" s="5"/>
    </row>
    <row r="194" spans="4:11" x14ac:dyDescent="0.25">
      <c r="D194" s="95">
        <v>190</v>
      </c>
      <c r="E194" s="10"/>
      <c r="F194" s="10"/>
      <c r="G194" s="10"/>
      <c r="H194" s="5" t="str">
        <f t="shared" si="6"/>
        <v>det_</v>
      </c>
      <c r="I194" s="5" t="str">
        <f t="shared" si="7"/>
        <v>W:\Performance Measurement\1. Freeway\1. raw data\2012\data files\det_.txt</v>
      </c>
      <c r="J194" s="5" t="str">
        <f t="shared" si="8"/>
        <v>W:\Performance Measurement\1. Freeway\1. raw data\2012\data files\det_.xlsx</v>
      </c>
      <c r="K194" s="5"/>
    </row>
    <row r="195" spans="4:11" x14ac:dyDescent="0.25">
      <c r="D195" s="95">
        <v>191</v>
      </c>
      <c r="E195" s="10"/>
      <c r="F195" s="10"/>
      <c r="G195" s="10"/>
      <c r="H195" s="5" t="str">
        <f t="shared" si="6"/>
        <v>det_</v>
      </c>
      <c r="I195" s="5" t="str">
        <f t="shared" si="7"/>
        <v>W:\Performance Measurement\1. Freeway\1. raw data\2012\data files\det_.txt</v>
      </c>
      <c r="J195" s="5" t="str">
        <f t="shared" si="8"/>
        <v>W:\Performance Measurement\1. Freeway\1. raw data\2012\data files\det_.xlsx</v>
      </c>
      <c r="K195" s="5"/>
    </row>
    <row r="196" spans="4:11" x14ac:dyDescent="0.25">
      <c r="D196" s="95">
        <v>192</v>
      </c>
      <c r="E196" s="10"/>
      <c r="F196" s="10"/>
      <c r="G196" s="10"/>
      <c r="H196" s="5" t="str">
        <f t="shared" si="6"/>
        <v>det_</v>
      </c>
      <c r="I196" s="5" t="str">
        <f t="shared" si="7"/>
        <v>W:\Performance Measurement\1. Freeway\1. raw data\2012\data files\det_.txt</v>
      </c>
      <c r="J196" s="5" t="str">
        <f t="shared" si="8"/>
        <v>W:\Performance Measurement\1. Freeway\1. raw data\2012\data files\det_.xlsx</v>
      </c>
      <c r="K196" s="5"/>
    </row>
    <row r="197" spans="4:11" x14ac:dyDescent="0.25">
      <c r="D197" s="95">
        <v>193</v>
      </c>
      <c r="E197" s="10"/>
      <c r="F197" s="10"/>
      <c r="G197" s="10"/>
      <c r="H197" s="5" t="str">
        <f t="shared" ref="H197:H260" si="9">"det_"&amp;E197&amp;""</f>
        <v>det_</v>
      </c>
      <c r="I197" s="5" t="str">
        <f t="shared" ref="I197:I260" si="10">$B$5&amp;"\"&amp;H197&amp;".txt"</f>
        <v>W:\Performance Measurement\1. Freeway\1. raw data\2012\data files\det_.txt</v>
      </c>
      <c r="J197" s="5" t="str">
        <f t="shared" ref="J197:J260" si="11">$B$5&amp;"\"&amp;H197&amp;".xlsx"</f>
        <v>W:\Performance Measurement\1. Freeway\1. raw data\2012\data files\det_.xlsx</v>
      </c>
      <c r="K197" s="5"/>
    </row>
    <row r="198" spans="4:11" x14ac:dyDescent="0.25">
      <c r="D198" s="95">
        <v>194</v>
      </c>
      <c r="E198" s="10"/>
      <c r="F198" s="10"/>
      <c r="G198" s="10"/>
      <c r="H198" s="5" t="str">
        <f t="shared" si="9"/>
        <v>det_</v>
      </c>
      <c r="I198" s="5" t="str">
        <f t="shared" si="10"/>
        <v>W:\Performance Measurement\1. Freeway\1. raw data\2012\data files\det_.txt</v>
      </c>
      <c r="J198" s="5" t="str">
        <f t="shared" si="11"/>
        <v>W:\Performance Measurement\1. Freeway\1. raw data\2012\data files\det_.xlsx</v>
      </c>
      <c r="K198" s="5"/>
    </row>
    <row r="199" spans="4:11" x14ac:dyDescent="0.25">
      <c r="D199" s="95">
        <v>195</v>
      </c>
      <c r="E199" s="10"/>
      <c r="F199" s="10"/>
      <c r="G199" s="10"/>
      <c r="H199" s="5" t="str">
        <f t="shared" si="9"/>
        <v>det_</v>
      </c>
      <c r="I199" s="5" t="str">
        <f t="shared" si="10"/>
        <v>W:\Performance Measurement\1. Freeway\1. raw data\2012\data files\det_.txt</v>
      </c>
      <c r="J199" s="5" t="str">
        <f t="shared" si="11"/>
        <v>W:\Performance Measurement\1. Freeway\1. raw data\2012\data files\det_.xlsx</v>
      </c>
      <c r="K199" s="5"/>
    </row>
    <row r="200" spans="4:11" x14ac:dyDescent="0.25">
      <c r="D200" s="95">
        <v>196</v>
      </c>
      <c r="E200" s="10"/>
      <c r="F200" s="10"/>
      <c r="G200" s="10"/>
      <c r="H200" s="5" t="str">
        <f t="shared" si="9"/>
        <v>det_</v>
      </c>
      <c r="I200" s="5" t="str">
        <f t="shared" si="10"/>
        <v>W:\Performance Measurement\1. Freeway\1. raw data\2012\data files\det_.txt</v>
      </c>
      <c r="J200" s="5" t="str">
        <f t="shared" si="11"/>
        <v>W:\Performance Measurement\1. Freeway\1. raw data\2012\data files\det_.xlsx</v>
      </c>
      <c r="K200" s="5"/>
    </row>
    <row r="201" spans="4:11" x14ac:dyDescent="0.25">
      <c r="D201" s="95">
        <v>197</v>
      </c>
      <c r="E201" s="10"/>
      <c r="F201" s="10"/>
      <c r="G201" s="10"/>
      <c r="H201" s="5" t="str">
        <f t="shared" si="9"/>
        <v>det_</v>
      </c>
      <c r="I201" s="5" t="str">
        <f t="shared" si="10"/>
        <v>W:\Performance Measurement\1. Freeway\1. raw data\2012\data files\det_.txt</v>
      </c>
      <c r="J201" s="5" t="str">
        <f t="shared" si="11"/>
        <v>W:\Performance Measurement\1. Freeway\1. raw data\2012\data files\det_.xlsx</v>
      </c>
      <c r="K201" s="5"/>
    </row>
    <row r="202" spans="4:11" x14ac:dyDescent="0.25">
      <c r="D202" s="95">
        <v>198</v>
      </c>
      <c r="E202" s="10"/>
      <c r="F202" s="10"/>
      <c r="G202" s="10"/>
      <c r="H202" s="5" t="str">
        <f t="shared" si="9"/>
        <v>det_</v>
      </c>
      <c r="I202" s="5" t="str">
        <f t="shared" si="10"/>
        <v>W:\Performance Measurement\1. Freeway\1. raw data\2012\data files\det_.txt</v>
      </c>
      <c r="J202" s="5" t="str">
        <f t="shared" si="11"/>
        <v>W:\Performance Measurement\1. Freeway\1. raw data\2012\data files\det_.xlsx</v>
      </c>
      <c r="K202" s="5"/>
    </row>
    <row r="203" spans="4:11" x14ac:dyDescent="0.25">
      <c r="D203" s="95">
        <v>199</v>
      </c>
      <c r="E203" s="10"/>
      <c r="F203" s="10"/>
      <c r="G203" s="10"/>
      <c r="H203" s="5" t="str">
        <f t="shared" si="9"/>
        <v>det_</v>
      </c>
      <c r="I203" s="5" t="str">
        <f t="shared" si="10"/>
        <v>W:\Performance Measurement\1. Freeway\1. raw data\2012\data files\det_.txt</v>
      </c>
      <c r="J203" s="5" t="str">
        <f t="shared" si="11"/>
        <v>W:\Performance Measurement\1. Freeway\1. raw data\2012\data files\det_.xlsx</v>
      </c>
      <c r="K203" s="5"/>
    </row>
    <row r="204" spans="4:11" x14ac:dyDescent="0.25">
      <c r="D204" s="95">
        <v>200</v>
      </c>
      <c r="E204" s="10"/>
      <c r="F204" s="10"/>
      <c r="G204" s="10"/>
      <c r="H204" s="5" t="str">
        <f t="shared" si="9"/>
        <v>det_</v>
      </c>
      <c r="I204" s="5" t="str">
        <f t="shared" si="10"/>
        <v>W:\Performance Measurement\1. Freeway\1. raw data\2012\data files\det_.txt</v>
      </c>
      <c r="J204" s="5" t="str">
        <f t="shared" si="11"/>
        <v>W:\Performance Measurement\1. Freeway\1. raw data\2012\data files\det_.xlsx</v>
      </c>
      <c r="K204" s="5"/>
    </row>
    <row r="205" spans="4:11" x14ac:dyDescent="0.25">
      <c r="D205" s="95">
        <v>201</v>
      </c>
      <c r="E205" s="10"/>
      <c r="F205" s="10"/>
      <c r="G205" s="10"/>
      <c r="H205" s="5" t="str">
        <f t="shared" si="9"/>
        <v>det_</v>
      </c>
      <c r="I205" s="5" t="str">
        <f t="shared" si="10"/>
        <v>W:\Performance Measurement\1. Freeway\1. raw data\2012\data files\det_.txt</v>
      </c>
      <c r="J205" s="5" t="str">
        <f t="shared" si="11"/>
        <v>W:\Performance Measurement\1. Freeway\1. raw data\2012\data files\det_.xlsx</v>
      </c>
      <c r="K205" s="5"/>
    </row>
    <row r="206" spans="4:11" x14ac:dyDescent="0.25">
      <c r="D206" s="95">
        <v>202</v>
      </c>
      <c r="E206" s="10"/>
      <c r="F206" s="10"/>
      <c r="G206" s="10"/>
      <c r="H206" s="5" t="str">
        <f t="shared" si="9"/>
        <v>det_</v>
      </c>
      <c r="I206" s="5" t="str">
        <f t="shared" si="10"/>
        <v>W:\Performance Measurement\1. Freeway\1. raw data\2012\data files\det_.txt</v>
      </c>
      <c r="J206" s="5" t="str">
        <f t="shared" si="11"/>
        <v>W:\Performance Measurement\1. Freeway\1. raw data\2012\data files\det_.xlsx</v>
      </c>
      <c r="K206" s="5"/>
    </row>
    <row r="207" spans="4:11" x14ac:dyDescent="0.25">
      <c r="D207" s="95">
        <v>203</v>
      </c>
      <c r="E207" s="10"/>
      <c r="F207" s="10"/>
      <c r="G207" s="10"/>
      <c r="H207" s="5" t="str">
        <f t="shared" si="9"/>
        <v>det_</v>
      </c>
      <c r="I207" s="5" t="str">
        <f t="shared" si="10"/>
        <v>W:\Performance Measurement\1. Freeway\1. raw data\2012\data files\det_.txt</v>
      </c>
      <c r="J207" s="5" t="str">
        <f t="shared" si="11"/>
        <v>W:\Performance Measurement\1. Freeway\1. raw data\2012\data files\det_.xlsx</v>
      </c>
      <c r="K207" s="5"/>
    </row>
    <row r="208" spans="4:11" x14ac:dyDescent="0.25">
      <c r="D208" s="95">
        <v>204</v>
      </c>
      <c r="E208" s="10"/>
      <c r="F208" s="10"/>
      <c r="G208" s="10"/>
      <c r="H208" s="5" t="str">
        <f t="shared" si="9"/>
        <v>det_</v>
      </c>
      <c r="I208" s="5" t="str">
        <f t="shared" si="10"/>
        <v>W:\Performance Measurement\1. Freeway\1. raw data\2012\data files\det_.txt</v>
      </c>
      <c r="J208" s="5" t="str">
        <f t="shared" si="11"/>
        <v>W:\Performance Measurement\1. Freeway\1. raw data\2012\data files\det_.xlsx</v>
      </c>
      <c r="K208" s="5"/>
    </row>
    <row r="209" spans="4:11" x14ac:dyDescent="0.25">
      <c r="D209" s="95">
        <v>205</v>
      </c>
      <c r="E209" s="10"/>
      <c r="F209" s="10"/>
      <c r="G209" s="10"/>
      <c r="H209" s="5" t="str">
        <f t="shared" si="9"/>
        <v>det_</v>
      </c>
      <c r="I209" s="5" t="str">
        <f t="shared" si="10"/>
        <v>W:\Performance Measurement\1. Freeway\1. raw data\2012\data files\det_.txt</v>
      </c>
      <c r="J209" s="5" t="str">
        <f t="shared" si="11"/>
        <v>W:\Performance Measurement\1. Freeway\1. raw data\2012\data files\det_.xlsx</v>
      </c>
      <c r="K209" s="5"/>
    </row>
    <row r="210" spans="4:11" x14ac:dyDescent="0.25">
      <c r="D210" s="95">
        <v>206</v>
      </c>
      <c r="E210" s="10"/>
      <c r="F210" s="10"/>
      <c r="G210" s="10"/>
      <c r="H210" s="5" t="str">
        <f t="shared" si="9"/>
        <v>det_</v>
      </c>
      <c r="I210" s="5" t="str">
        <f t="shared" si="10"/>
        <v>W:\Performance Measurement\1. Freeway\1. raw data\2012\data files\det_.txt</v>
      </c>
      <c r="J210" s="5" t="str">
        <f t="shared" si="11"/>
        <v>W:\Performance Measurement\1. Freeway\1. raw data\2012\data files\det_.xlsx</v>
      </c>
      <c r="K210" s="5"/>
    </row>
    <row r="211" spans="4:11" x14ac:dyDescent="0.25">
      <c r="D211" s="95">
        <v>207</v>
      </c>
      <c r="E211" s="10"/>
      <c r="F211" s="10"/>
      <c r="G211" s="10"/>
      <c r="H211" s="5" t="str">
        <f t="shared" si="9"/>
        <v>det_</v>
      </c>
      <c r="I211" s="5" t="str">
        <f t="shared" si="10"/>
        <v>W:\Performance Measurement\1. Freeway\1. raw data\2012\data files\det_.txt</v>
      </c>
      <c r="J211" s="5" t="str">
        <f t="shared" si="11"/>
        <v>W:\Performance Measurement\1. Freeway\1. raw data\2012\data files\det_.xlsx</v>
      </c>
      <c r="K211" s="5"/>
    </row>
    <row r="212" spans="4:11" x14ac:dyDescent="0.25">
      <c r="D212" s="95">
        <v>208</v>
      </c>
      <c r="E212" s="10"/>
      <c r="F212" s="10"/>
      <c r="G212" s="10"/>
      <c r="H212" s="5" t="str">
        <f t="shared" si="9"/>
        <v>det_</v>
      </c>
      <c r="I212" s="5" t="str">
        <f t="shared" si="10"/>
        <v>W:\Performance Measurement\1. Freeway\1. raw data\2012\data files\det_.txt</v>
      </c>
      <c r="J212" s="5" t="str">
        <f t="shared" si="11"/>
        <v>W:\Performance Measurement\1. Freeway\1. raw data\2012\data files\det_.xlsx</v>
      </c>
      <c r="K212" s="5"/>
    </row>
    <row r="213" spans="4:11" x14ac:dyDescent="0.25">
      <c r="D213" s="95">
        <v>209</v>
      </c>
      <c r="E213" s="10"/>
      <c r="F213" s="10"/>
      <c r="G213" s="10"/>
      <c r="H213" s="5" t="str">
        <f t="shared" si="9"/>
        <v>det_</v>
      </c>
      <c r="I213" s="5" t="str">
        <f t="shared" si="10"/>
        <v>W:\Performance Measurement\1. Freeway\1. raw data\2012\data files\det_.txt</v>
      </c>
      <c r="J213" s="5" t="str">
        <f t="shared" si="11"/>
        <v>W:\Performance Measurement\1. Freeway\1. raw data\2012\data files\det_.xlsx</v>
      </c>
      <c r="K213" s="5"/>
    </row>
    <row r="214" spans="4:11" x14ac:dyDescent="0.25">
      <c r="D214" s="95">
        <v>210</v>
      </c>
      <c r="E214" s="10"/>
      <c r="F214" s="10"/>
      <c r="G214" s="10"/>
      <c r="H214" s="5" t="str">
        <f t="shared" si="9"/>
        <v>det_</v>
      </c>
      <c r="I214" s="5" t="str">
        <f t="shared" si="10"/>
        <v>W:\Performance Measurement\1. Freeway\1. raw data\2012\data files\det_.txt</v>
      </c>
      <c r="J214" s="5" t="str">
        <f t="shared" si="11"/>
        <v>W:\Performance Measurement\1. Freeway\1. raw data\2012\data files\det_.xlsx</v>
      </c>
      <c r="K214" s="5"/>
    </row>
    <row r="215" spans="4:11" x14ac:dyDescent="0.25">
      <c r="D215" s="95">
        <v>211</v>
      </c>
      <c r="E215" s="10"/>
      <c r="F215" s="10"/>
      <c r="G215" s="10"/>
      <c r="H215" s="5" t="str">
        <f t="shared" si="9"/>
        <v>det_</v>
      </c>
      <c r="I215" s="5" t="str">
        <f t="shared" si="10"/>
        <v>W:\Performance Measurement\1. Freeway\1. raw data\2012\data files\det_.txt</v>
      </c>
      <c r="J215" s="5" t="str">
        <f t="shared" si="11"/>
        <v>W:\Performance Measurement\1. Freeway\1. raw data\2012\data files\det_.xlsx</v>
      </c>
      <c r="K215" s="5"/>
    </row>
    <row r="216" spans="4:11" x14ac:dyDescent="0.25">
      <c r="D216" s="95">
        <v>212</v>
      </c>
      <c r="E216" s="10"/>
      <c r="F216" s="10"/>
      <c r="G216" s="10"/>
      <c r="H216" s="5" t="str">
        <f t="shared" si="9"/>
        <v>det_</v>
      </c>
      <c r="I216" s="5" t="str">
        <f t="shared" si="10"/>
        <v>W:\Performance Measurement\1. Freeway\1. raw data\2012\data files\det_.txt</v>
      </c>
      <c r="J216" s="5" t="str">
        <f t="shared" si="11"/>
        <v>W:\Performance Measurement\1. Freeway\1. raw data\2012\data files\det_.xlsx</v>
      </c>
      <c r="K216" s="5"/>
    </row>
    <row r="217" spans="4:11" x14ac:dyDescent="0.25">
      <c r="D217" s="95">
        <v>213</v>
      </c>
      <c r="E217" s="10"/>
      <c r="F217" s="10"/>
      <c r="G217" s="10"/>
      <c r="H217" s="5" t="str">
        <f t="shared" si="9"/>
        <v>det_</v>
      </c>
      <c r="I217" s="5" t="str">
        <f t="shared" si="10"/>
        <v>W:\Performance Measurement\1. Freeway\1. raw data\2012\data files\det_.txt</v>
      </c>
      <c r="J217" s="5" t="str">
        <f t="shared" si="11"/>
        <v>W:\Performance Measurement\1. Freeway\1. raw data\2012\data files\det_.xlsx</v>
      </c>
      <c r="K217" s="5"/>
    </row>
    <row r="218" spans="4:11" x14ac:dyDescent="0.25">
      <c r="D218" s="95">
        <v>214</v>
      </c>
      <c r="E218" s="10"/>
      <c r="F218" s="10"/>
      <c r="G218" s="10"/>
      <c r="H218" s="5" t="str">
        <f t="shared" si="9"/>
        <v>det_</v>
      </c>
      <c r="I218" s="5" t="str">
        <f t="shared" si="10"/>
        <v>W:\Performance Measurement\1. Freeway\1. raw data\2012\data files\det_.txt</v>
      </c>
      <c r="J218" s="5" t="str">
        <f t="shared" si="11"/>
        <v>W:\Performance Measurement\1. Freeway\1. raw data\2012\data files\det_.xlsx</v>
      </c>
      <c r="K218" s="5"/>
    </row>
    <row r="219" spans="4:11" x14ac:dyDescent="0.25">
      <c r="D219" s="95">
        <v>215</v>
      </c>
      <c r="E219" s="10"/>
      <c r="F219" s="10"/>
      <c r="G219" s="10"/>
      <c r="H219" s="5" t="str">
        <f t="shared" si="9"/>
        <v>det_</v>
      </c>
      <c r="I219" s="5" t="str">
        <f t="shared" si="10"/>
        <v>W:\Performance Measurement\1. Freeway\1. raw data\2012\data files\det_.txt</v>
      </c>
      <c r="J219" s="5" t="str">
        <f t="shared" si="11"/>
        <v>W:\Performance Measurement\1. Freeway\1. raw data\2012\data files\det_.xlsx</v>
      </c>
      <c r="K219" s="5"/>
    </row>
    <row r="220" spans="4:11" x14ac:dyDescent="0.25">
      <c r="D220" s="95">
        <v>216</v>
      </c>
      <c r="E220" s="10"/>
      <c r="F220" s="10"/>
      <c r="G220" s="10"/>
      <c r="H220" s="5" t="str">
        <f t="shared" si="9"/>
        <v>det_</v>
      </c>
      <c r="I220" s="5" t="str">
        <f t="shared" si="10"/>
        <v>W:\Performance Measurement\1. Freeway\1. raw data\2012\data files\det_.txt</v>
      </c>
      <c r="J220" s="5" t="str">
        <f t="shared" si="11"/>
        <v>W:\Performance Measurement\1. Freeway\1. raw data\2012\data files\det_.xlsx</v>
      </c>
      <c r="K220" s="5"/>
    </row>
    <row r="221" spans="4:11" x14ac:dyDescent="0.25">
      <c r="D221" s="95">
        <v>217</v>
      </c>
      <c r="E221" s="10"/>
      <c r="F221" s="10"/>
      <c r="G221" s="10"/>
      <c r="H221" s="5" t="str">
        <f t="shared" si="9"/>
        <v>det_</v>
      </c>
      <c r="I221" s="5" t="str">
        <f t="shared" si="10"/>
        <v>W:\Performance Measurement\1. Freeway\1. raw data\2012\data files\det_.txt</v>
      </c>
      <c r="J221" s="5" t="str">
        <f t="shared" si="11"/>
        <v>W:\Performance Measurement\1. Freeway\1. raw data\2012\data files\det_.xlsx</v>
      </c>
      <c r="K221" s="5"/>
    </row>
    <row r="222" spans="4:11" x14ac:dyDescent="0.25">
      <c r="D222" s="95">
        <v>218</v>
      </c>
      <c r="E222" s="10"/>
      <c r="F222" s="10"/>
      <c r="G222" s="10"/>
      <c r="H222" s="5" t="str">
        <f t="shared" si="9"/>
        <v>det_</v>
      </c>
      <c r="I222" s="5" t="str">
        <f t="shared" si="10"/>
        <v>W:\Performance Measurement\1. Freeway\1. raw data\2012\data files\det_.txt</v>
      </c>
      <c r="J222" s="5" t="str">
        <f t="shared" si="11"/>
        <v>W:\Performance Measurement\1. Freeway\1. raw data\2012\data files\det_.xlsx</v>
      </c>
      <c r="K222" s="5"/>
    </row>
    <row r="223" spans="4:11" x14ac:dyDescent="0.25">
      <c r="D223" s="95">
        <v>219</v>
      </c>
      <c r="E223" s="10"/>
      <c r="F223" s="10"/>
      <c r="G223" s="10"/>
      <c r="H223" s="5" t="str">
        <f t="shared" si="9"/>
        <v>det_</v>
      </c>
      <c r="I223" s="5" t="str">
        <f t="shared" si="10"/>
        <v>W:\Performance Measurement\1. Freeway\1. raw data\2012\data files\det_.txt</v>
      </c>
      <c r="J223" s="5" t="str">
        <f t="shared" si="11"/>
        <v>W:\Performance Measurement\1. Freeway\1. raw data\2012\data files\det_.xlsx</v>
      </c>
      <c r="K223" s="5"/>
    </row>
    <row r="224" spans="4:11" x14ac:dyDescent="0.25">
      <c r="D224" s="95">
        <v>220</v>
      </c>
      <c r="E224" s="10"/>
      <c r="F224" s="10"/>
      <c r="G224" s="10"/>
      <c r="H224" s="5" t="str">
        <f t="shared" si="9"/>
        <v>det_</v>
      </c>
      <c r="I224" s="5" t="str">
        <f t="shared" si="10"/>
        <v>W:\Performance Measurement\1. Freeway\1. raw data\2012\data files\det_.txt</v>
      </c>
      <c r="J224" s="5" t="str">
        <f t="shared" si="11"/>
        <v>W:\Performance Measurement\1. Freeway\1. raw data\2012\data files\det_.xlsx</v>
      </c>
      <c r="K224" s="5"/>
    </row>
    <row r="225" spans="4:11" x14ac:dyDescent="0.25">
      <c r="D225" s="95">
        <v>221</v>
      </c>
      <c r="E225" s="10"/>
      <c r="F225" s="10"/>
      <c r="G225" s="10"/>
      <c r="H225" s="5" t="str">
        <f t="shared" si="9"/>
        <v>det_</v>
      </c>
      <c r="I225" s="5" t="str">
        <f t="shared" si="10"/>
        <v>W:\Performance Measurement\1. Freeway\1. raw data\2012\data files\det_.txt</v>
      </c>
      <c r="J225" s="5" t="str">
        <f t="shared" si="11"/>
        <v>W:\Performance Measurement\1. Freeway\1. raw data\2012\data files\det_.xlsx</v>
      </c>
      <c r="K225" s="5"/>
    </row>
    <row r="226" spans="4:11" x14ac:dyDescent="0.25">
      <c r="D226" s="95">
        <v>222</v>
      </c>
      <c r="E226" s="10"/>
      <c r="F226" s="10"/>
      <c r="G226" s="10"/>
      <c r="H226" s="5" t="str">
        <f t="shared" si="9"/>
        <v>det_</v>
      </c>
      <c r="I226" s="5" t="str">
        <f t="shared" si="10"/>
        <v>W:\Performance Measurement\1. Freeway\1. raw data\2012\data files\det_.txt</v>
      </c>
      <c r="J226" s="5" t="str">
        <f t="shared" si="11"/>
        <v>W:\Performance Measurement\1. Freeway\1. raw data\2012\data files\det_.xlsx</v>
      </c>
      <c r="K226" s="5"/>
    </row>
    <row r="227" spans="4:11" x14ac:dyDescent="0.25">
      <c r="D227" s="95">
        <v>223</v>
      </c>
      <c r="E227" s="10"/>
      <c r="F227" s="10"/>
      <c r="G227" s="10"/>
      <c r="H227" s="5" t="str">
        <f t="shared" si="9"/>
        <v>det_</v>
      </c>
      <c r="I227" s="5" t="str">
        <f t="shared" si="10"/>
        <v>W:\Performance Measurement\1. Freeway\1. raw data\2012\data files\det_.txt</v>
      </c>
      <c r="J227" s="5" t="str">
        <f t="shared" si="11"/>
        <v>W:\Performance Measurement\1. Freeway\1. raw data\2012\data files\det_.xlsx</v>
      </c>
      <c r="K227" s="5"/>
    </row>
    <row r="228" spans="4:11" x14ac:dyDescent="0.25">
      <c r="D228" s="95">
        <v>224</v>
      </c>
      <c r="E228" s="10"/>
      <c r="F228" s="10"/>
      <c r="G228" s="10"/>
      <c r="H228" s="5" t="str">
        <f t="shared" si="9"/>
        <v>det_</v>
      </c>
      <c r="I228" s="5" t="str">
        <f t="shared" si="10"/>
        <v>W:\Performance Measurement\1. Freeway\1. raw data\2012\data files\det_.txt</v>
      </c>
      <c r="J228" s="5" t="str">
        <f t="shared" si="11"/>
        <v>W:\Performance Measurement\1. Freeway\1. raw data\2012\data files\det_.xlsx</v>
      </c>
      <c r="K228" s="5"/>
    </row>
    <row r="229" spans="4:11" x14ac:dyDescent="0.25">
      <c r="D229" s="95">
        <v>225</v>
      </c>
      <c r="E229" s="10"/>
      <c r="F229" s="10"/>
      <c r="G229" s="10"/>
      <c r="H229" s="5" t="str">
        <f t="shared" si="9"/>
        <v>det_</v>
      </c>
      <c r="I229" s="5" t="str">
        <f t="shared" si="10"/>
        <v>W:\Performance Measurement\1. Freeway\1. raw data\2012\data files\det_.txt</v>
      </c>
      <c r="J229" s="5" t="str">
        <f t="shared" si="11"/>
        <v>W:\Performance Measurement\1. Freeway\1. raw data\2012\data files\det_.xlsx</v>
      </c>
      <c r="K229" s="5"/>
    </row>
    <row r="230" spans="4:11" x14ac:dyDescent="0.25">
      <c r="D230" s="95">
        <v>226</v>
      </c>
      <c r="E230" s="10"/>
      <c r="F230" s="10"/>
      <c r="G230" s="10"/>
      <c r="H230" s="5" t="str">
        <f t="shared" si="9"/>
        <v>det_</v>
      </c>
      <c r="I230" s="5" t="str">
        <f t="shared" si="10"/>
        <v>W:\Performance Measurement\1. Freeway\1. raw data\2012\data files\det_.txt</v>
      </c>
      <c r="J230" s="5" t="str">
        <f t="shared" si="11"/>
        <v>W:\Performance Measurement\1. Freeway\1. raw data\2012\data files\det_.xlsx</v>
      </c>
      <c r="K230" s="5"/>
    </row>
    <row r="231" spans="4:11" x14ac:dyDescent="0.25">
      <c r="D231" s="95">
        <v>227</v>
      </c>
      <c r="E231" s="10"/>
      <c r="F231" s="10"/>
      <c r="G231" s="10"/>
      <c r="H231" s="5" t="str">
        <f t="shared" si="9"/>
        <v>det_</v>
      </c>
      <c r="I231" s="5" t="str">
        <f t="shared" si="10"/>
        <v>W:\Performance Measurement\1. Freeway\1. raw data\2012\data files\det_.txt</v>
      </c>
      <c r="J231" s="5" t="str">
        <f t="shared" si="11"/>
        <v>W:\Performance Measurement\1. Freeway\1. raw data\2012\data files\det_.xlsx</v>
      </c>
      <c r="K231" s="5"/>
    </row>
    <row r="232" spans="4:11" x14ac:dyDescent="0.25">
      <c r="D232" s="95">
        <v>228</v>
      </c>
      <c r="E232" s="10"/>
      <c r="F232" s="10"/>
      <c r="G232" s="10"/>
      <c r="H232" s="5" t="str">
        <f t="shared" si="9"/>
        <v>det_</v>
      </c>
      <c r="I232" s="5" t="str">
        <f t="shared" si="10"/>
        <v>W:\Performance Measurement\1. Freeway\1. raw data\2012\data files\det_.txt</v>
      </c>
      <c r="J232" s="5" t="str">
        <f t="shared" si="11"/>
        <v>W:\Performance Measurement\1. Freeway\1. raw data\2012\data files\det_.xlsx</v>
      </c>
      <c r="K232" s="5"/>
    </row>
    <row r="233" spans="4:11" x14ac:dyDescent="0.25">
      <c r="D233" s="95">
        <v>229</v>
      </c>
      <c r="E233" s="10"/>
      <c r="F233" s="10"/>
      <c r="G233" s="10"/>
      <c r="H233" s="5" t="str">
        <f t="shared" si="9"/>
        <v>det_</v>
      </c>
      <c r="I233" s="5" t="str">
        <f t="shared" si="10"/>
        <v>W:\Performance Measurement\1. Freeway\1. raw data\2012\data files\det_.txt</v>
      </c>
      <c r="J233" s="5" t="str">
        <f t="shared" si="11"/>
        <v>W:\Performance Measurement\1. Freeway\1. raw data\2012\data files\det_.xlsx</v>
      </c>
      <c r="K233" s="5"/>
    </row>
    <row r="234" spans="4:11" x14ac:dyDescent="0.25">
      <c r="D234" s="95">
        <v>230</v>
      </c>
      <c r="E234" s="10"/>
      <c r="F234" s="10"/>
      <c r="G234" s="10"/>
      <c r="H234" s="5" t="str">
        <f t="shared" si="9"/>
        <v>det_</v>
      </c>
      <c r="I234" s="5" t="str">
        <f t="shared" si="10"/>
        <v>W:\Performance Measurement\1. Freeway\1. raw data\2012\data files\det_.txt</v>
      </c>
      <c r="J234" s="5" t="str">
        <f t="shared" si="11"/>
        <v>W:\Performance Measurement\1. Freeway\1. raw data\2012\data files\det_.xlsx</v>
      </c>
      <c r="K234" s="5"/>
    </row>
    <row r="235" spans="4:11" x14ac:dyDescent="0.25">
      <c r="D235" s="95">
        <v>231</v>
      </c>
      <c r="E235" s="10"/>
      <c r="F235" s="10"/>
      <c r="G235" s="10"/>
      <c r="H235" s="5" t="str">
        <f t="shared" si="9"/>
        <v>det_</v>
      </c>
      <c r="I235" s="5" t="str">
        <f t="shared" si="10"/>
        <v>W:\Performance Measurement\1. Freeway\1. raw data\2012\data files\det_.txt</v>
      </c>
      <c r="J235" s="5" t="str">
        <f t="shared" si="11"/>
        <v>W:\Performance Measurement\1. Freeway\1. raw data\2012\data files\det_.xlsx</v>
      </c>
      <c r="K235" s="5"/>
    </row>
    <row r="236" spans="4:11" x14ac:dyDescent="0.25">
      <c r="D236" s="95">
        <v>232</v>
      </c>
      <c r="E236" s="10"/>
      <c r="F236" s="10"/>
      <c r="G236" s="10"/>
      <c r="H236" s="5" t="str">
        <f t="shared" si="9"/>
        <v>det_</v>
      </c>
      <c r="I236" s="5" t="str">
        <f t="shared" si="10"/>
        <v>W:\Performance Measurement\1. Freeway\1. raw data\2012\data files\det_.txt</v>
      </c>
      <c r="J236" s="5" t="str">
        <f t="shared" si="11"/>
        <v>W:\Performance Measurement\1. Freeway\1. raw data\2012\data files\det_.xlsx</v>
      </c>
      <c r="K236" s="5"/>
    </row>
    <row r="237" spans="4:11" x14ac:dyDescent="0.25">
      <c r="D237" s="95">
        <v>233</v>
      </c>
      <c r="E237" s="10"/>
      <c r="F237" s="10"/>
      <c r="G237" s="10"/>
      <c r="H237" s="5" t="str">
        <f t="shared" si="9"/>
        <v>det_</v>
      </c>
      <c r="I237" s="5" t="str">
        <f t="shared" si="10"/>
        <v>W:\Performance Measurement\1. Freeway\1. raw data\2012\data files\det_.txt</v>
      </c>
      <c r="J237" s="5" t="str">
        <f t="shared" si="11"/>
        <v>W:\Performance Measurement\1. Freeway\1. raw data\2012\data files\det_.xlsx</v>
      </c>
      <c r="K237" s="5"/>
    </row>
    <row r="238" spans="4:11" x14ac:dyDescent="0.25">
      <c r="D238" s="95">
        <v>234</v>
      </c>
      <c r="E238" s="10"/>
      <c r="F238" s="10"/>
      <c r="G238" s="10"/>
      <c r="H238" s="5" t="str">
        <f t="shared" si="9"/>
        <v>det_</v>
      </c>
      <c r="I238" s="5" t="str">
        <f t="shared" si="10"/>
        <v>W:\Performance Measurement\1. Freeway\1. raw data\2012\data files\det_.txt</v>
      </c>
      <c r="J238" s="5" t="str">
        <f t="shared" si="11"/>
        <v>W:\Performance Measurement\1. Freeway\1. raw data\2012\data files\det_.xlsx</v>
      </c>
      <c r="K238" s="5"/>
    </row>
    <row r="239" spans="4:11" x14ac:dyDescent="0.25">
      <c r="D239" s="95">
        <v>235</v>
      </c>
      <c r="E239" s="10"/>
      <c r="F239" s="10"/>
      <c r="G239" s="10"/>
      <c r="H239" s="5" t="str">
        <f t="shared" si="9"/>
        <v>det_</v>
      </c>
      <c r="I239" s="5" t="str">
        <f t="shared" si="10"/>
        <v>W:\Performance Measurement\1. Freeway\1. raw data\2012\data files\det_.txt</v>
      </c>
      <c r="J239" s="5" t="str">
        <f t="shared" si="11"/>
        <v>W:\Performance Measurement\1. Freeway\1. raw data\2012\data files\det_.xlsx</v>
      </c>
      <c r="K239" s="5"/>
    </row>
    <row r="240" spans="4:11" x14ac:dyDescent="0.25">
      <c r="D240" s="95">
        <v>236</v>
      </c>
      <c r="E240" s="10"/>
      <c r="F240" s="10"/>
      <c r="G240" s="10"/>
      <c r="H240" s="5" t="str">
        <f t="shared" si="9"/>
        <v>det_</v>
      </c>
      <c r="I240" s="5" t="str">
        <f t="shared" si="10"/>
        <v>W:\Performance Measurement\1. Freeway\1. raw data\2012\data files\det_.txt</v>
      </c>
      <c r="J240" s="5" t="str">
        <f t="shared" si="11"/>
        <v>W:\Performance Measurement\1. Freeway\1. raw data\2012\data files\det_.xlsx</v>
      </c>
      <c r="K240" s="5"/>
    </row>
    <row r="241" spans="4:11" x14ac:dyDescent="0.25">
      <c r="D241" s="95">
        <v>237</v>
      </c>
      <c r="E241" s="10"/>
      <c r="F241" s="10"/>
      <c r="G241" s="10"/>
      <c r="H241" s="5" t="str">
        <f t="shared" si="9"/>
        <v>det_</v>
      </c>
      <c r="I241" s="5" t="str">
        <f t="shared" si="10"/>
        <v>W:\Performance Measurement\1. Freeway\1. raw data\2012\data files\det_.txt</v>
      </c>
      <c r="J241" s="5" t="str">
        <f t="shared" si="11"/>
        <v>W:\Performance Measurement\1. Freeway\1. raw data\2012\data files\det_.xlsx</v>
      </c>
      <c r="K241" s="5"/>
    </row>
    <row r="242" spans="4:11" x14ac:dyDescent="0.25">
      <c r="D242" s="95">
        <v>238</v>
      </c>
      <c r="E242" s="10"/>
      <c r="F242" s="10"/>
      <c r="G242" s="10"/>
      <c r="H242" s="5" t="str">
        <f t="shared" si="9"/>
        <v>det_</v>
      </c>
      <c r="I242" s="5" t="str">
        <f t="shared" si="10"/>
        <v>W:\Performance Measurement\1. Freeway\1. raw data\2012\data files\det_.txt</v>
      </c>
      <c r="J242" s="5" t="str">
        <f t="shared" si="11"/>
        <v>W:\Performance Measurement\1. Freeway\1. raw data\2012\data files\det_.xlsx</v>
      </c>
      <c r="K242" s="5"/>
    </row>
    <row r="243" spans="4:11" x14ac:dyDescent="0.25">
      <c r="D243" s="95">
        <v>239</v>
      </c>
      <c r="E243" s="10"/>
      <c r="F243" s="10"/>
      <c r="G243" s="10"/>
      <c r="H243" s="5" t="str">
        <f t="shared" si="9"/>
        <v>det_</v>
      </c>
      <c r="I243" s="5" t="str">
        <f t="shared" si="10"/>
        <v>W:\Performance Measurement\1. Freeway\1. raw data\2012\data files\det_.txt</v>
      </c>
      <c r="J243" s="5" t="str">
        <f t="shared" si="11"/>
        <v>W:\Performance Measurement\1. Freeway\1. raw data\2012\data files\det_.xlsx</v>
      </c>
      <c r="K243" s="5"/>
    </row>
    <row r="244" spans="4:11" x14ac:dyDescent="0.25">
      <c r="D244" s="95">
        <v>240</v>
      </c>
      <c r="E244" s="10"/>
      <c r="F244" s="10"/>
      <c r="G244" s="10"/>
      <c r="H244" s="5" t="str">
        <f t="shared" si="9"/>
        <v>det_</v>
      </c>
      <c r="I244" s="5" t="str">
        <f t="shared" si="10"/>
        <v>W:\Performance Measurement\1. Freeway\1. raw data\2012\data files\det_.txt</v>
      </c>
      <c r="J244" s="5" t="str">
        <f t="shared" si="11"/>
        <v>W:\Performance Measurement\1. Freeway\1. raw data\2012\data files\det_.xlsx</v>
      </c>
      <c r="K244" s="5"/>
    </row>
    <row r="245" spans="4:11" x14ac:dyDescent="0.25">
      <c r="D245" s="95">
        <v>241</v>
      </c>
      <c r="E245" s="10"/>
      <c r="F245" s="10"/>
      <c r="G245" s="10"/>
      <c r="H245" s="5" t="str">
        <f t="shared" si="9"/>
        <v>det_</v>
      </c>
      <c r="I245" s="5" t="str">
        <f t="shared" si="10"/>
        <v>W:\Performance Measurement\1. Freeway\1. raw data\2012\data files\det_.txt</v>
      </c>
      <c r="J245" s="5" t="str">
        <f t="shared" si="11"/>
        <v>W:\Performance Measurement\1. Freeway\1. raw data\2012\data files\det_.xlsx</v>
      </c>
      <c r="K245" s="5"/>
    </row>
    <row r="246" spans="4:11" x14ac:dyDescent="0.25">
      <c r="D246" s="95">
        <v>242</v>
      </c>
      <c r="E246" s="10"/>
      <c r="F246" s="10"/>
      <c r="G246" s="10"/>
      <c r="H246" s="5" t="str">
        <f t="shared" si="9"/>
        <v>det_</v>
      </c>
      <c r="I246" s="5" t="str">
        <f t="shared" si="10"/>
        <v>W:\Performance Measurement\1. Freeway\1. raw data\2012\data files\det_.txt</v>
      </c>
      <c r="J246" s="5" t="str">
        <f t="shared" si="11"/>
        <v>W:\Performance Measurement\1. Freeway\1. raw data\2012\data files\det_.xlsx</v>
      </c>
      <c r="K246" s="5"/>
    </row>
    <row r="247" spans="4:11" x14ac:dyDescent="0.25">
      <c r="D247" s="95">
        <v>243</v>
      </c>
      <c r="E247" s="10"/>
      <c r="F247" s="10"/>
      <c r="G247" s="10"/>
      <c r="H247" s="5" t="str">
        <f t="shared" si="9"/>
        <v>det_</v>
      </c>
      <c r="I247" s="5" t="str">
        <f t="shared" si="10"/>
        <v>W:\Performance Measurement\1. Freeway\1. raw data\2012\data files\det_.txt</v>
      </c>
      <c r="J247" s="5" t="str">
        <f t="shared" si="11"/>
        <v>W:\Performance Measurement\1. Freeway\1. raw data\2012\data files\det_.xlsx</v>
      </c>
      <c r="K247" s="5"/>
    </row>
    <row r="248" spans="4:11" x14ac:dyDescent="0.25">
      <c r="D248" s="95">
        <v>244</v>
      </c>
      <c r="E248" s="10"/>
      <c r="F248" s="10"/>
      <c r="G248" s="10"/>
      <c r="H248" s="5" t="str">
        <f t="shared" si="9"/>
        <v>det_</v>
      </c>
      <c r="I248" s="5" t="str">
        <f t="shared" si="10"/>
        <v>W:\Performance Measurement\1. Freeway\1. raw data\2012\data files\det_.txt</v>
      </c>
      <c r="J248" s="5" t="str">
        <f t="shared" si="11"/>
        <v>W:\Performance Measurement\1. Freeway\1. raw data\2012\data files\det_.xlsx</v>
      </c>
      <c r="K248" s="5"/>
    </row>
    <row r="249" spans="4:11" x14ac:dyDescent="0.25">
      <c r="D249" s="95">
        <v>245</v>
      </c>
      <c r="E249" s="10"/>
      <c r="F249" s="10"/>
      <c r="G249" s="10"/>
      <c r="H249" s="5" t="str">
        <f t="shared" si="9"/>
        <v>det_</v>
      </c>
      <c r="I249" s="5" t="str">
        <f t="shared" si="10"/>
        <v>W:\Performance Measurement\1. Freeway\1. raw data\2012\data files\det_.txt</v>
      </c>
      <c r="J249" s="5" t="str">
        <f t="shared" si="11"/>
        <v>W:\Performance Measurement\1. Freeway\1. raw data\2012\data files\det_.xlsx</v>
      </c>
      <c r="K249" s="5"/>
    </row>
    <row r="250" spans="4:11" x14ac:dyDescent="0.25">
      <c r="D250" s="95">
        <v>246</v>
      </c>
      <c r="E250" s="10"/>
      <c r="F250" s="10"/>
      <c r="G250" s="10"/>
      <c r="H250" s="5" t="str">
        <f t="shared" si="9"/>
        <v>det_</v>
      </c>
      <c r="I250" s="5" t="str">
        <f t="shared" si="10"/>
        <v>W:\Performance Measurement\1. Freeway\1. raw data\2012\data files\det_.txt</v>
      </c>
      <c r="J250" s="5" t="str">
        <f t="shared" si="11"/>
        <v>W:\Performance Measurement\1. Freeway\1. raw data\2012\data files\det_.xlsx</v>
      </c>
    </row>
    <row r="251" spans="4:11" x14ac:dyDescent="0.25">
      <c r="D251" s="95">
        <v>247</v>
      </c>
      <c r="E251" s="10"/>
      <c r="F251" s="10"/>
      <c r="G251" s="10"/>
      <c r="H251" s="5" t="str">
        <f t="shared" si="9"/>
        <v>det_</v>
      </c>
      <c r="I251" s="5" t="str">
        <f t="shared" si="10"/>
        <v>W:\Performance Measurement\1. Freeway\1. raw data\2012\data files\det_.txt</v>
      </c>
      <c r="J251" s="5" t="str">
        <f t="shared" si="11"/>
        <v>W:\Performance Measurement\1. Freeway\1. raw data\2012\data files\det_.xlsx</v>
      </c>
    </row>
    <row r="252" spans="4:11" x14ac:dyDescent="0.25">
      <c r="D252" s="95">
        <v>248</v>
      </c>
      <c r="E252" s="10"/>
      <c r="F252" s="10"/>
      <c r="G252" s="10"/>
      <c r="H252" s="5" t="str">
        <f t="shared" si="9"/>
        <v>det_</v>
      </c>
      <c r="I252" s="5" t="str">
        <f t="shared" si="10"/>
        <v>W:\Performance Measurement\1. Freeway\1. raw data\2012\data files\det_.txt</v>
      </c>
      <c r="J252" s="5" t="str">
        <f t="shared" si="11"/>
        <v>W:\Performance Measurement\1. Freeway\1. raw data\2012\data files\det_.xlsx</v>
      </c>
    </row>
    <row r="253" spans="4:11" x14ac:dyDescent="0.25">
      <c r="D253" s="95">
        <v>249</v>
      </c>
      <c r="E253" s="10"/>
      <c r="F253" s="10"/>
      <c r="G253" s="10"/>
      <c r="H253" s="5" t="str">
        <f t="shared" si="9"/>
        <v>det_</v>
      </c>
      <c r="I253" s="5" t="str">
        <f t="shared" si="10"/>
        <v>W:\Performance Measurement\1. Freeway\1. raw data\2012\data files\det_.txt</v>
      </c>
      <c r="J253" s="5" t="str">
        <f t="shared" si="11"/>
        <v>W:\Performance Measurement\1. Freeway\1. raw data\2012\data files\det_.xlsx</v>
      </c>
    </row>
    <row r="254" spans="4:11" x14ac:dyDescent="0.25">
      <c r="D254" s="95">
        <v>250</v>
      </c>
      <c r="E254" s="10"/>
      <c r="F254" s="10"/>
      <c r="G254" s="10"/>
      <c r="H254" s="5" t="str">
        <f t="shared" si="9"/>
        <v>det_</v>
      </c>
      <c r="I254" s="5" t="str">
        <f t="shared" si="10"/>
        <v>W:\Performance Measurement\1. Freeway\1. raw data\2012\data files\det_.txt</v>
      </c>
      <c r="J254" s="5" t="str">
        <f t="shared" si="11"/>
        <v>W:\Performance Measurement\1. Freeway\1. raw data\2012\data files\det_.xlsx</v>
      </c>
    </row>
    <row r="255" spans="4:11" x14ac:dyDescent="0.25">
      <c r="D255" s="95">
        <v>251</v>
      </c>
      <c r="E255" s="10"/>
      <c r="F255" s="10"/>
      <c r="G255" s="10"/>
      <c r="H255" s="5" t="str">
        <f t="shared" si="9"/>
        <v>det_</v>
      </c>
      <c r="I255" s="5" t="str">
        <f t="shared" si="10"/>
        <v>W:\Performance Measurement\1. Freeway\1. raw data\2012\data files\det_.txt</v>
      </c>
      <c r="J255" s="5" t="str">
        <f t="shared" si="11"/>
        <v>W:\Performance Measurement\1. Freeway\1. raw data\2012\data files\det_.xlsx</v>
      </c>
    </row>
    <row r="256" spans="4:11" x14ac:dyDescent="0.25">
      <c r="D256" s="95">
        <v>252</v>
      </c>
      <c r="E256" s="10"/>
      <c r="F256" s="10"/>
      <c r="G256" s="10"/>
      <c r="H256" s="5" t="str">
        <f t="shared" si="9"/>
        <v>det_</v>
      </c>
      <c r="I256" s="5" t="str">
        <f t="shared" si="10"/>
        <v>W:\Performance Measurement\1. Freeway\1. raw data\2012\data files\det_.txt</v>
      </c>
      <c r="J256" s="5" t="str">
        <f t="shared" si="11"/>
        <v>W:\Performance Measurement\1. Freeway\1. raw data\2012\data files\det_.xlsx</v>
      </c>
    </row>
    <row r="257" spans="4:10" x14ac:dyDescent="0.25">
      <c r="D257" s="95">
        <v>253</v>
      </c>
      <c r="E257" s="10"/>
      <c r="F257" s="10"/>
      <c r="G257" s="10"/>
      <c r="H257" s="5" t="str">
        <f t="shared" si="9"/>
        <v>det_</v>
      </c>
      <c r="I257" s="5" t="str">
        <f t="shared" si="10"/>
        <v>W:\Performance Measurement\1. Freeway\1. raw data\2012\data files\det_.txt</v>
      </c>
      <c r="J257" s="5" t="str">
        <f t="shared" si="11"/>
        <v>W:\Performance Measurement\1. Freeway\1. raw data\2012\data files\det_.xlsx</v>
      </c>
    </row>
    <row r="258" spans="4:10" x14ac:dyDescent="0.25">
      <c r="D258" s="95">
        <v>254</v>
      </c>
      <c r="E258" s="10"/>
      <c r="F258" s="10"/>
      <c r="G258" s="10"/>
      <c r="H258" s="5" t="str">
        <f t="shared" si="9"/>
        <v>det_</v>
      </c>
      <c r="I258" s="5" t="str">
        <f t="shared" si="10"/>
        <v>W:\Performance Measurement\1. Freeway\1. raw data\2012\data files\det_.txt</v>
      </c>
      <c r="J258" s="5" t="str">
        <f t="shared" si="11"/>
        <v>W:\Performance Measurement\1. Freeway\1. raw data\2012\data files\det_.xlsx</v>
      </c>
    </row>
    <row r="259" spans="4:10" x14ac:dyDescent="0.25">
      <c r="D259" s="95">
        <v>255</v>
      </c>
      <c r="E259" s="10"/>
      <c r="F259" s="10"/>
      <c r="G259" s="10"/>
      <c r="H259" s="5" t="str">
        <f t="shared" si="9"/>
        <v>det_</v>
      </c>
      <c r="I259" s="5" t="str">
        <f t="shared" si="10"/>
        <v>W:\Performance Measurement\1. Freeway\1. raw data\2012\data files\det_.txt</v>
      </c>
      <c r="J259" s="5" t="str">
        <f t="shared" si="11"/>
        <v>W:\Performance Measurement\1. Freeway\1. raw data\2012\data files\det_.xlsx</v>
      </c>
    </row>
    <row r="260" spans="4:10" x14ac:dyDescent="0.25">
      <c r="D260" s="95">
        <v>256</v>
      </c>
      <c r="E260" s="10"/>
      <c r="F260" s="10"/>
      <c r="G260" s="10"/>
      <c r="H260" s="5" t="str">
        <f t="shared" si="9"/>
        <v>det_</v>
      </c>
      <c r="I260" s="5" t="str">
        <f t="shared" si="10"/>
        <v>W:\Performance Measurement\1. Freeway\1. raw data\2012\data files\det_.txt</v>
      </c>
      <c r="J260" s="5" t="str">
        <f t="shared" si="11"/>
        <v>W:\Performance Measurement\1. Freeway\1. raw data\2012\data files\det_.xlsx</v>
      </c>
    </row>
    <row r="261" spans="4:10" x14ac:dyDescent="0.25">
      <c r="D261" s="95">
        <v>257</v>
      </c>
      <c r="E261" s="10"/>
      <c r="F261" s="10"/>
      <c r="G261" s="10"/>
      <c r="H261" s="5" t="str">
        <f t="shared" ref="H261:H282" si="12">"det_"&amp;E261&amp;""</f>
        <v>det_</v>
      </c>
      <c r="I261" s="5" t="str">
        <f t="shared" ref="I261:I282" si="13">$B$5&amp;"\"&amp;H261&amp;".txt"</f>
        <v>W:\Performance Measurement\1. Freeway\1. raw data\2012\data files\det_.txt</v>
      </c>
      <c r="J261" s="5" t="str">
        <f t="shared" ref="J261:J282" si="14">$B$5&amp;"\"&amp;H261&amp;".xlsx"</f>
        <v>W:\Performance Measurement\1. Freeway\1. raw data\2012\data files\det_.xlsx</v>
      </c>
    </row>
    <row r="262" spans="4:10" x14ac:dyDescent="0.25">
      <c r="D262" s="95">
        <v>258</v>
      </c>
      <c r="E262" s="10"/>
      <c r="F262" s="10"/>
      <c r="G262" s="10"/>
      <c r="H262" s="5" t="str">
        <f t="shared" si="12"/>
        <v>det_</v>
      </c>
      <c r="I262" s="5" t="str">
        <f t="shared" si="13"/>
        <v>W:\Performance Measurement\1. Freeway\1. raw data\2012\data files\det_.txt</v>
      </c>
      <c r="J262" s="5" t="str">
        <f t="shared" si="14"/>
        <v>W:\Performance Measurement\1. Freeway\1. raw data\2012\data files\det_.xlsx</v>
      </c>
    </row>
    <row r="263" spans="4:10" x14ac:dyDescent="0.25">
      <c r="D263" s="95">
        <v>259</v>
      </c>
      <c r="E263" s="10"/>
      <c r="F263" s="10"/>
      <c r="G263" s="10"/>
      <c r="H263" s="5" t="str">
        <f t="shared" si="12"/>
        <v>det_</v>
      </c>
      <c r="I263" s="5" t="str">
        <f t="shared" si="13"/>
        <v>W:\Performance Measurement\1. Freeway\1. raw data\2012\data files\det_.txt</v>
      </c>
      <c r="J263" s="5" t="str">
        <f t="shared" si="14"/>
        <v>W:\Performance Measurement\1. Freeway\1. raw data\2012\data files\det_.xlsx</v>
      </c>
    </row>
    <row r="264" spans="4:10" x14ac:dyDescent="0.25">
      <c r="D264" s="95">
        <v>260</v>
      </c>
      <c r="E264" s="10"/>
      <c r="F264" s="10"/>
      <c r="G264" s="10"/>
      <c r="H264" s="5" t="str">
        <f t="shared" si="12"/>
        <v>det_</v>
      </c>
      <c r="I264" s="5" t="str">
        <f t="shared" si="13"/>
        <v>W:\Performance Measurement\1. Freeway\1. raw data\2012\data files\det_.txt</v>
      </c>
      <c r="J264" s="5" t="str">
        <f t="shared" si="14"/>
        <v>W:\Performance Measurement\1. Freeway\1. raw data\2012\data files\det_.xlsx</v>
      </c>
    </row>
    <row r="265" spans="4:10" x14ac:dyDescent="0.25">
      <c r="D265" s="95">
        <v>261</v>
      </c>
      <c r="E265" s="10"/>
      <c r="F265" s="10"/>
      <c r="G265" s="10"/>
      <c r="H265" s="5" t="str">
        <f t="shared" si="12"/>
        <v>det_</v>
      </c>
      <c r="I265" s="5" t="str">
        <f t="shared" si="13"/>
        <v>W:\Performance Measurement\1. Freeway\1. raw data\2012\data files\det_.txt</v>
      </c>
      <c r="J265" s="5" t="str">
        <f t="shared" si="14"/>
        <v>W:\Performance Measurement\1. Freeway\1. raw data\2012\data files\det_.xlsx</v>
      </c>
    </row>
    <row r="266" spans="4:10" x14ac:dyDescent="0.25">
      <c r="D266" s="95">
        <v>262</v>
      </c>
      <c r="E266" s="10"/>
      <c r="F266" s="10"/>
      <c r="G266" s="10"/>
      <c r="H266" s="5" t="str">
        <f t="shared" si="12"/>
        <v>det_</v>
      </c>
      <c r="I266" s="5" t="str">
        <f t="shared" si="13"/>
        <v>W:\Performance Measurement\1. Freeway\1. raw data\2012\data files\det_.txt</v>
      </c>
      <c r="J266" s="5" t="str">
        <f t="shared" si="14"/>
        <v>W:\Performance Measurement\1. Freeway\1. raw data\2012\data files\det_.xlsx</v>
      </c>
    </row>
    <row r="267" spans="4:10" x14ac:dyDescent="0.25">
      <c r="D267" s="95">
        <v>263</v>
      </c>
      <c r="E267" s="10"/>
      <c r="F267" s="10"/>
      <c r="G267" s="10"/>
      <c r="H267" s="5" t="str">
        <f t="shared" si="12"/>
        <v>det_</v>
      </c>
      <c r="I267" s="5" t="str">
        <f t="shared" si="13"/>
        <v>W:\Performance Measurement\1. Freeway\1. raw data\2012\data files\det_.txt</v>
      </c>
      <c r="J267" s="5" t="str">
        <f t="shared" si="14"/>
        <v>W:\Performance Measurement\1. Freeway\1. raw data\2012\data files\det_.xlsx</v>
      </c>
    </row>
    <row r="268" spans="4:10" x14ac:dyDescent="0.25">
      <c r="D268" s="95">
        <v>264</v>
      </c>
      <c r="E268" s="10"/>
      <c r="F268" s="10"/>
      <c r="G268" s="10"/>
      <c r="H268" s="5" t="str">
        <f t="shared" si="12"/>
        <v>det_</v>
      </c>
      <c r="I268" s="5" t="str">
        <f t="shared" si="13"/>
        <v>W:\Performance Measurement\1. Freeway\1. raw data\2012\data files\det_.txt</v>
      </c>
      <c r="J268" s="5" t="str">
        <f t="shared" si="14"/>
        <v>W:\Performance Measurement\1. Freeway\1. raw data\2012\data files\det_.xlsx</v>
      </c>
    </row>
    <row r="269" spans="4:10" x14ac:dyDescent="0.25">
      <c r="D269" s="95">
        <v>265</v>
      </c>
      <c r="E269" s="10"/>
      <c r="F269" s="10"/>
      <c r="G269" s="10"/>
      <c r="H269" s="5" t="str">
        <f t="shared" si="12"/>
        <v>det_</v>
      </c>
      <c r="I269" s="5" t="str">
        <f t="shared" si="13"/>
        <v>W:\Performance Measurement\1. Freeway\1. raw data\2012\data files\det_.txt</v>
      </c>
      <c r="J269" s="5" t="str">
        <f t="shared" si="14"/>
        <v>W:\Performance Measurement\1. Freeway\1. raw data\2012\data files\det_.xlsx</v>
      </c>
    </row>
    <row r="270" spans="4:10" x14ac:dyDescent="0.25">
      <c r="D270" s="95">
        <v>266</v>
      </c>
      <c r="E270" s="10"/>
      <c r="F270" s="10"/>
      <c r="G270" s="10"/>
      <c r="H270" s="5" t="str">
        <f t="shared" si="12"/>
        <v>det_</v>
      </c>
      <c r="I270" s="5" t="str">
        <f t="shared" si="13"/>
        <v>W:\Performance Measurement\1. Freeway\1. raw data\2012\data files\det_.txt</v>
      </c>
      <c r="J270" s="5" t="str">
        <f t="shared" si="14"/>
        <v>W:\Performance Measurement\1. Freeway\1. raw data\2012\data files\det_.xlsx</v>
      </c>
    </row>
    <row r="271" spans="4:10" x14ac:dyDescent="0.25">
      <c r="D271" s="95">
        <v>267</v>
      </c>
      <c r="E271" s="10"/>
      <c r="F271" s="10"/>
      <c r="G271" s="10"/>
      <c r="H271" s="5" t="str">
        <f t="shared" si="12"/>
        <v>det_</v>
      </c>
      <c r="I271" s="5" t="str">
        <f t="shared" si="13"/>
        <v>W:\Performance Measurement\1. Freeway\1. raw data\2012\data files\det_.txt</v>
      </c>
      <c r="J271" s="5" t="str">
        <f t="shared" si="14"/>
        <v>W:\Performance Measurement\1. Freeway\1. raw data\2012\data files\det_.xlsx</v>
      </c>
    </row>
    <row r="272" spans="4:10" x14ac:dyDescent="0.25">
      <c r="D272" s="95">
        <v>268</v>
      </c>
      <c r="E272" s="10"/>
      <c r="F272" s="10"/>
      <c r="G272" s="10"/>
      <c r="H272" s="5" t="str">
        <f t="shared" si="12"/>
        <v>det_</v>
      </c>
      <c r="I272" s="5" t="str">
        <f t="shared" si="13"/>
        <v>W:\Performance Measurement\1. Freeway\1. raw data\2012\data files\det_.txt</v>
      </c>
      <c r="J272" s="5" t="str">
        <f t="shared" si="14"/>
        <v>W:\Performance Measurement\1. Freeway\1. raw data\2012\data files\det_.xlsx</v>
      </c>
    </row>
    <row r="273" spans="4:10" x14ac:dyDescent="0.25">
      <c r="D273" s="95">
        <v>269</v>
      </c>
      <c r="E273" s="10"/>
      <c r="F273" s="10"/>
      <c r="G273" s="10"/>
      <c r="H273" s="5" t="str">
        <f t="shared" si="12"/>
        <v>det_</v>
      </c>
      <c r="I273" s="5" t="str">
        <f t="shared" si="13"/>
        <v>W:\Performance Measurement\1. Freeway\1. raw data\2012\data files\det_.txt</v>
      </c>
      <c r="J273" s="5" t="str">
        <f t="shared" si="14"/>
        <v>W:\Performance Measurement\1. Freeway\1. raw data\2012\data files\det_.xlsx</v>
      </c>
    </row>
    <row r="274" spans="4:10" x14ac:dyDescent="0.25">
      <c r="D274" s="95">
        <v>270</v>
      </c>
      <c r="E274" s="10"/>
      <c r="F274" s="10"/>
      <c r="G274" s="10"/>
      <c r="H274" s="5" t="str">
        <f t="shared" si="12"/>
        <v>det_</v>
      </c>
      <c r="I274" s="5" t="str">
        <f t="shared" si="13"/>
        <v>W:\Performance Measurement\1. Freeway\1. raw data\2012\data files\det_.txt</v>
      </c>
      <c r="J274" s="5" t="str">
        <f t="shared" si="14"/>
        <v>W:\Performance Measurement\1. Freeway\1. raw data\2012\data files\det_.xlsx</v>
      </c>
    </row>
    <row r="275" spans="4:10" x14ac:dyDescent="0.25">
      <c r="D275" s="95">
        <v>271</v>
      </c>
      <c r="E275" s="10"/>
      <c r="F275" s="10"/>
      <c r="G275" s="10"/>
      <c r="H275" s="5" t="str">
        <f t="shared" si="12"/>
        <v>det_</v>
      </c>
      <c r="I275" s="5" t="str">
        <f t="shared" si="13"/>
        <v>W:\Performance Measurement\1. Freeway\1. raw data\2012\data files\det_.txt</v>
      </c>
      <c r="J275" s="5" t="str">
        <f t="shared" si="14"/>
        <v>W:\Performance Measurement\1. Freeway\1. raw data\2012\data files\det_.xlsx</v>
      </c>
    </row>
    <row r="276" spans="4:10" x14ac:dyDescent="0.25">
      <c r="D276" s="95">
        <v>272</v>
      </c>
      <c r="E276" s="10"/>
      <c r="F276" s="10"/>
      <c r="G276" s="10"/>
      <c r="H276" s="5" t="str">
        <f t="shared" si="12"/>
        <v>det_</v>
      </c>
      <c r="I276" s="5" t="str">
        <f t="shared" si="13"/>
        <v>W:\Performance Measurement\1. Freeway\1. raw data\2012\data files\det_.txt</v>
      </c>
      <c r="J276" s="5" t="str">
        <f t="shared" si="14"/>
        <v>W:\Performance Measurement\1. Freeway\1. raw data\2012\data files\det_.xlsx</v>
      </c>
    </row>
    <row r="277" spans="4:10" x14ac:dyDescent="0.25">
      <c r="D277" s="95">
        <v>273</v>
      </c>
      <c r="E277" s="10"/>
      <c r="F277" s="10"/>
      <c r="G277" s="10"/>
      <c r="H277" s="5" t="str">
        <f t="shared" si="12"/>
        <v>det_</v>
      </c>
      <c r="I277" s="5" t="str">
        <f t="shared" si="13"/>
        <v>W:\Performance Measurement\1. Freeway\1. raw data\2012\data files\det_.txt</v>
      </c>
      <c r="J277" s="5" t="str">
        <f t="shared" si="14"/>
        <v>W:\Performance Measurement\1. Freeway\1. raw data\2012\data files\det_.xlsx</v>
      </c>
    </row>
    <row r="278" spans="4:10" x14ac:dyDescent="0.25">
      <c r="D278" s="95">
        <v>274</v>
      </c>
      <c r="E278" s="10"/>
      <c r="F278" s="10"/>
      <c r="G278" s="10"/>
      <c r="H278" s="5" t="str">
        <f t="shared" si="12"/>
        <v>det_</v>
      </c>
      <c r="I278" s="5" t="str">
        <f t="shared" si="13"/>
        <v>W:\Performance Measurement\1. Freeway\1. raw data\2012\data files\det_.txt</v>
      </c>
      <c r="J278" s="5" t="str">
        <f t="shared" si="14"/>
        <v>W:\Performance Measurement\1. Freeway\1. raw data\2012\data files\det_.xlsx</v>
      </c>
    </row>
    <row r="279" spans="4:10" x14ac:dyDescent="0.25">
      <c r="D279" s="95">
        <v>275</v>
      </c>
      <c r="E279" s="10"/>
      <c r="F279" s="10"/>
      <c r="G279" s="10"/>
      <c r="H279" s="5" t="str">
        <f t="shared" si="12"/>
        <v>det_</v>
      </c>
      <c r="I279" s="5" t="str">
        <f t="shared" si="13"/>
        <v>W:\Performance Measurement\1. Freeway\1. raw data\2012\data files\det_.txt</v>
      </c>
      <c r="J279" s="5" t="str">
        <f t="shared" si="14"/>
        <v>W:\Performance Measurement\1. Freeway\1. raw data\2012\data files\det_.xlsx</v>
      </c>
    </row>
    <row r="280" spans="4:10" x14ac:dyDescent="0.25">
      <c r="D280" s="95">
        <v>276</v>
      </c>
      <c r="E280" s="10"/>
      <c r="F280" s="10"/>
      <c r="G280" s="10"/>
      <c r="H280" s="5" t="str">
        <f t="shared" si="12"/>
        <v>det_</v>
      </c>
      <c r="I280" s="5" t="str">
        <f t="shared" si="13"/>
        <v>W:\Performance Measurement\1. Freeway\1. raw data\2012\data files\det_.txt</v>
      </c>
      <c r="J280" s="5" t="str">
        <f t="shared" si="14"/>
        <v>W:\Performance Measurement\1. Freeway\1. raw data\2012\data files\det_.xlsx</v>
      </c>
    </row>
    <row r="281" spans="4:10" x14ac:dyDescent="0.25">
      <c r="D281" s="95">
        <v>277</v>
      </c>
      <c r="E281" s="10"/>
      <c r="F281" s="10"/>
      <c r="G281" s="10"/>
      <c r="H281" s="5" t="str">
        <f t="shared" si="12"/>
        <v>det_</v>
      </c>
      <c r="I281" s="5" t="str">
        <f t="shared" si="13"/>
        <v>W:\Performance Measurement\1. Freeway\1. raw data\2012\data files\det_.txt</v>
      </c>
      <c r="J281" s="5" t="str">
        <f t="shared" si="14"/>
        <v>W:\Performance Measurement\1. Freeway\1. raw data\2012\data files\det_.xlsx</v>
      </c>
    </row>
    <row r="282" spans="4:10" x14ac:dyDescent="0.25">
      <c r="D282" s="95">
        <v>278</v>
      </c>
      <c r="E282" s="10"/>
      <c r="F282" s="10"/>
      <c r="G282" s="10"/>
      <c r="H282" s="5" t="str">
        <f t="shared" si="12"/>
        <v>det_</v>
      </c>
      <c r="I282" s="5" t="str">
        <f t="shared" si="13"/>
        <v>W:\Performance Measurement\1. Freeway\1. raw data\2012\data files\det_.txt</v>
      </c>
      <c r="J282" s="5" t="str">
        <f t="shared" si="14"/>
        <v>W:\Performance Measurement\1. Freeway\1. raw data\2012\data files\det_.xlsx</v>
      </c>
    </row>
    <row r="283" spans="4:10" x14ac:dyDescent="0.25">
      <c r="E283" s="10"/>
      <c r="F283" s="10"/>
      <c r="G283" s="10"/>
    </row>
    <row r="284" spans="4:10" x14ac:dyDescent="0.25">
      <c r="E284" s="10"/>
      <c r="F284" s="10"/>
      <c r="G284" s="10"/>
    </row>
    <row r="285" spans="4:10" x14ac:dyDescent="0.25">
      <c r="E285" s="10"/>
      <c r="F285" s="10"/>
      <c r="G285" s="10"/>
    </row>
    <row r="286" spans="4:10" x14ac:dyDescent="0.25">
      <c r="E286" s="10"/>
      <c r="F286" s="10"/>
      <c r="G286" s="10"/>
    </row>
    <row r="287" spans="4:10" x14ac:dyDescent="0.25">
      <c r="E287" s="10"/>
      <c r="F287" s="10"/>
      <c r="G287" s="10"/>
    </row>
    <row r="288" spans="4:10" x14ac:dyDescent="0.25">
      <c r="E288" s="10"/>
      <c r="F288" s="10"/>
      <c r="G288" s="10"/>
    </row>
    <row r="289" spans="5:7" x14ac:dyDescent="0.25">
      <c r="E289" s="10"/>
      <c r="F289" s="10"/>
      <c r="G289" s="10"/>
    </row>
    <row r="290" spans="5:7" x14ac:dyDescent="0.25">
      <c r="E290" s="10"/>
      <c r="F290" s="10"/>
      <c r="G290" s="10"/>
    </row>
    <row r="291" spans="5:7" x14ac:dyDescent="0.25">
      <c r="E291" s="10"/>
      <c r="F291" s="10"/>
      <c r="G291" s="10"/>
    </row>
    <row r="292" spans="5:7" x14ac:dyDescent="0.25">
      <c r="E292" s="10"/>
      <c r="F292" s="10"/>
      <c r="G292" s="10"/>
    </row>
    <row r="293" spans="5:7" x14ac:dyDescent="0.25">
      <c r="E293" s="10"/>
      <c r="F293" s="10"/>
      <c r="G293" s="10"/>
    </row>
    <row r="294" spans="5:7" x14ac:dyDescent="0.25">
      <c r="E294" s="10"/>
      <c r="F294" s="10"/>
      <c r="G294" s="10"/>
    </row>
    <row r="295" spans="5:7" x14ac:dyDescent="0.25">
      <c r="E295" s="10"/>
      <c r="F295" s="10"/>
      <c r="G295" s="10"/>
    </row>
    <row r="296" spans="5:7" x14ac:dyDescent="0.25">
      <c r="E296" s="10"/>
      <c r="F296" s="10"/>
      <c r="G296"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locked="0" defaultSize="0" print="0" autoFill="0" autoPict="0" macro="[0]!Step3">
                <anchor moveWithCells="1" sizeWithCells="1">
                  <from>
                    <xdr:col>1</xdr:col>
                    <xdr:colOff>0</xdr:colOff>
                    <xdr:row>2</xdr:row>
                    <xdr:rowOff>0</xdr:rowOff>
                  </from>
                  <to>
                    <xdr:col>2</xdr:col>
                    <xdr:colOff>638175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T341"/>
  <sheetViews>
    <sheetView zoomScaleNormal="100" workbookViewId="0">
      <selection activeCell="P21" sqref="P21"/>
    </sheetView>
  </sheetViews>
  <sheetFormatPr defaultRowHeight="15" x14ac:dyDescent="0.25"/>
  <cols>
    <col min="1" max="1" width="4.140625" style="95" customWidth="1"/>
    <col min="2" max="2" width="10.7109375" style="95" customWidth="1"/>
    <col min="3" max="3" width="21.7109375" style="95" customWidth="1"/>
    <col min="4" max="4" width="8.7109375" style="95" customWidth="1"/>
    <col min="5" max="8" width="10.7109375" style="95" customWidth="1"/>
    <col min="9" max="10" width="24" style="95" customWidth="1"/>
    <col min="11" max="11" width="10.5703125" style="95" customWidth="1"/>
    <col min="12" max="16384" width="9.140625" style="95"/>
  </cols>
  <sheetData>
    <row r="1" spans="2:20" ht="18.75" x14ac:dyDescent="0.3">
      <c r="B1" s="13" t="s">
        <v>21</v>
      </c>
      <c r="C1" s="13"/>
      <c r="D1" s="13"/>
      <c r="E1" s="13"/>
      <c r="H1" s="13"/>
      <c r="I1" s="12" t="s">
        <v>20</v>
      </c>
    </row>
    <row r="2" spans="2:20" x14ac:dyDescent="0.25">
      <c r="E2" s="6"/>
      <c r="F2" s="6"/>
      <c r="G2" s="6"/>
      <c r="H2" s="6"/>
      <c r="I2" s="6"/>
      <c r="J2" s="6"/>
      <c r="K2" s="6"/>
    </row>
    <row r="3" spans="2:20" x14ac:dyDescent="0.25">
      <c r="E3" s="6"/>
      <c r="F3" s="6"/>
      <c r="G3" s="6"/>
    </row>
    <row r="4" spans="2:20" x14ac:dyDescent="0.25">
      <c r="D4" s="95" t="s">
        <v>19</v>
      </c>
      <c r="E4" s="95" t="s">
        <v>18</v>
      </c>
      <c r="F4" s="95" t="s">
        <v>38</v>
      </c>
      <c r="G4" s="95" t="s">
        <v>39</v>
      </c>
      <c r="H4" s="95" t="s">
        <v>17</v>
      </c>
      <c r="I4" s="95" t="s">
        <v>16</v>
      </c>
      <c r="J4" s="95" t="s">
        <v>15</v>
      </c>
      <c r="M4" s="95" t="s">
        <v>275</v>
      </c>
      <c r="N4" s="95" t="s">
        <v>18</v>
      </c>
      <c r="O4" s="95" t="s">
        <v>38</v>
      </c>
      <c r="P4" s="95" t="s">
        <v>39</v>
      </c>
    </row>
    <row r="5" spans="2:20" x14ac:dyDescent="0.25">
      <c r="B5" s="2" t="s">
        <v>272</v>
      </c>
      <c r="C5" s="95" t="s">
        <v>14</v>
      </c>
      <c r="D5" s="95">
        <v>1</v>
      </c>
      <c r="E5" s="25">
        <v>255</v>
      </c>
      <c r="F5" s="10">
        <v>3</v>
      </c>
      <c r="G5" s="10">
        <v>1</v>
      </c>
      <c r="H5" s="5" t="str">
        <f t="shared" ref="H5:H68" si="0">"det_"&amp;E5&amp;""</f>
        <v>det_255</v>
      </c>
      <c r="I5" s="5" t="str">
        <f t="shared" ref="I5:I68" si="1">$B$5&amp;"\"&amp;H5&amp;".txt"</f>
        <v>W:\Performance Measurement\1. Freeway\1. raw data\2012\data files\det_255.txt</v>
      </c>
      <c r="J5" s="5" t="str">
        <f t="shared" ref="J5:J68" si="2">$B$5&amp;"\"&amp;H5&amp;".xlsx"</f>
        <v>W:\Performance Measurement\1. Freeway\1. raw data\2012\data files\det_255.xlsx</v>
      </c>
      <c r="K5" s="5"/>
      <c r="M5" s="106" t="s">
        <v>58</v>
      </c>
      <c r="N5" s="10">
        <v>2</v>
      </c>
      <c r="O5" s="10">
        <v>5</v>
      </c>
      <c r="P5" s="10">
        <v>1</v>
      </c>
      <c r="R5" s="105">
        <v>20</v>
      </c>
      <c r="S5" s="95">
        <f t="shared" ref="S5:S42" si="3">VLOOKUP(R5,$E$24:$G$306,2)</f>
        <v>4</v>
      </c>
      <c r="T5" s="95">
        <f>VLOOKUP(R5,$E$24:$G$306,3)</f>
        <v>1</v>
      </c>
    </row>
    <row r="6" spans="2:20" x14ac:dyDescent="0.25">
      <c r="B6" s="2" t="s">
        <v>47</v>
      </c>
      <c r="C6" s="95" t="s">
        <v>13</v>
      </c>
      <c r="D6" s="95">
        <v>2</v>
      </c>
      <c r="E6" s="25">
        <v>513</v>
      </c>
      <c r="F6" s="10">
        <v>3</v>
      </c>
      <c r="G6" s="11">
        <v>0</v>
      </c>
      <c r="H6" s="5" t="str">
        <f t="shared" si="0"/>
        <v>det_513</v>
      </c>
      <c r="I6" s="5" t="str">
        <f t="shared" si="1"/>
        <v>W:\Performance Measurement\1. Freeway\1. raw data\2012\data files\det_513.txt</v>
      </c>
      <c r="J6" s="5" t="str">
        <f t="shared" si="2"/>
        <v>W:\Performance Measurement\1. Freeway\1. raw data\2012\data files\det_513.xlsx</v>
      </c>
      <c r="K6" s="5"/>
      <c r="M6" s="106" t="s">
        <v>58</v>
      </c>
      <c r="N6" s="10">
        <v>8</v>
      </c>
      <c r="O6" s="10">
        <v>4</v>
      </c>
      <c r="P6" s="10">
        <v>1</v>
      </c>
      <c r="R6" s="105">
        <v>35</v>
      </c>
      <c r="S6" s="95">
        <f t="shared" si="3"/>
        <v>4</v>
      </c>
      <c r="T6" s="95">
        <f t="shared" ref="T6:T42" si="4">VLOOKUP(R6,$E$24:$G$306,3)</f>
        <v>1</v>
      </c>
    </row>
    <row r="7" spans="2:20" x14ac:dyDescent="0.25">
      <c r="B7" s="2" t="s">
        <v>271</v>
      </c>
      <c r="C7" s="95" t="s">
        <v>11</v>
      </c>
      <c r="D7" s="95">
        <v>3</v>
      </c>
      <c r="E7" s="25">
        <v>53</v>
      </c>
      <c r="F7" s="10">
        <v>4</v>
      </c>
      <c r="G7" s="10">
        <v>1</v>
      </c>
      <c r="H7" s="5" t="str">
        <f t="shared" si="0"/>
        <v>det_53</v>
      </c>
      <c r="I7" s="5" t="str">
        <f t="shared" si="1"/>
        <v>W:\Performance Measurement\1. Freeway\1. raw data\2012\data files\det_53.txt</v>
      </c>
      <c r="J7" s="5" t="str">
        <f t="shared" si="2"/>
        <v>W:\Performance Measurement\1. Freeway\1. raw data\2012\data files\det_53.xlsx</v>
      </c>
      <c r="K7" s="5"/>
      <c r="M7" s="106" t="s">
        <v>58</v>
      </c>
      <c r="N7" s="10">
        <v>14</v>
      </c>
      <c r="O7" s="10">
        <v>4</v>
      </c>
      <c r="P7" s="10">
        <v>1</v>
      </c>
      <c r="R7" s="105">
        <v>55</v>
      </c>
      <c r="S7" s="95">
        <f t="shared" si="3"/>
        <v>5</v>
      </c>
      <c r="T7" s="95">
        <f t="shared" si="4"/>
        <v>1</v>
      </c>
    </row>
    <row r="8" spans="2:20" x14ac:dyDescent="0.25">
      <c r="B8" s="2" t="s">
        <v>260</v>
      </c>
      <c r="C8" s="1" t="s">
        <v>10</v>
      </c>
      <c r="D8" s="95">
        <v>4</v>
      </c>
      <c r="E8" s="25">
        <v>579</v>
      </c>
      <c r="F8" s="10">
        <v>3</v>
      </c>
      <c r="G8" s="10">
        <v>0</v>
      </c>
      <c r="H8" s="5" t="str">
        <f t="shared" si="0"/>
        <v>det_579</v>
      </c>
      <c r="I8" s="5" t="str">
        <f t="shared" si="1"/>
        <v>W:\Performance Measurement\1. Freeway\1. raw data\2012\data files\det_579.txt</v>
      </c>
      <c r="J8" s="5" t="str">
        <f t="shared" si="2"/>
        <v>W:\Performance Measurement\1. Freeway\1. raw data\2012\data files\det_579.xlsx</v>
      </c>
      <c r="K8" s="5"/>
      <c r="M8" s="106" t="s">
        <v>58</v>
      </c>
      <c r="N8" s="10">
        <v>20</v>
      </c>
      <c r="O8" s="10">
        <v>4</v>
      </c>
      <c r="P8" s="10">
        <v>1</v>
      </c>
      <c r="R8" s="105">
        <v>80</v>
      </c>
      <c r="S8" s="95">
        <f t="shared" si="3"/>
        <v>4</v>
      </c>
      <c r="T8" s="95">
        <f t="shared" si="4"/>
        <v>1</v>
      </c>
    </row>
    <row r="9" spans="2:20" x14ac:dyDescent="0.25">
      <c r="D9" s="95">
        <v>5</v>
      </c>
      <c r="E9" s="25">
        <v>580</v>
      </c>
      <c r="F9" s="10">
        <v>3</v>
      </c>
      <c r="G9" s="10">
        <v>0</v>
      </c>
      <c r="H9" s="5" t="str">
        <f t="shared" si="0"/>
        <v>det_580</v>
      </c>
      <c r="I9" s="5" t="str">
        <f t="shared" si="1"/>
        <v>W:\Performance Measurement\1. Freeway\1. raw data\2012\data files\det_580.txt</v>
      </c>
      <c r="J9" s="5" t="str">
        <f t="shared" si="2"/>
        <v>W:\Performance Measurement\1. Freeway\1. raw data\2012\data files\det_580.xlsx</v>
      </c>
      <c r="K9" s="5"/>
      <c r="M9" s="106" t="s">
        <v>58</v>
      </c>
      <c r="N9" s="10">
        <v>25</v>
      </c>
      <c r="O9" s="10">
        <v>4</v>
      </c>
      <c r="P9" s="10">
        <v>1</v>
      </c>
      <c r="R9" s="105">
        <v>84</v>
      </c>
      <c r="S9" s="95">
        <f t="shared" si="3"/>
        <v>4</v>
      </c>
      <c r="T9" s="95">
        <f t="shared" si="4"/>
        <v>1</v>
      </c>
    </row>
    <row r="10" spans="2:20" x14ac:dyDescent="0.25">
      <c r="B10" s="3">
        <v>2012</v>
      </c>
      <c r="C10" s="95" t="s">
        <v>9</v>
      </c>
      <c r="D10" s="95">
        <v>6</v>
      </c>
      <c r="E10" s="25">
        <v>581</v>
      </c>
      <c r="F10" s="10">
        <v>3</v>
      </c>
      <c r="G10" s="10">
        <v>0</v>
      </c>
      <c r="H10" s="5" t="str">
        <f t="shared" si="0"/>
        <v>det_581</v>
      </c>
      <c r="I10" s="5" t="str">
        <f t="shared" si="1"/>
        <v>W:\Performance Measurement\1. Freeway\1. raw data\2012\data files\det_581.txt</v>
      </c>
      <c r="J10" s="5" t="str">
        <f t="shared" si="2"/>
        <v>W:\Performance Measurement\1. Freeway\1. raw data\2012\data files\det_581.xlsx</v>
      </c>
      <c r="K10" s="5"/>
      <c r="M10" s="106" t="s">
        <v>58</v>
      </c>
      <c r="N10" s="10">
        <v>30</v>
      </c>
      <c r="O10" s="10">
        <v>4</v>
      </c>
      <c r="P10" s="10">
        <v>1</v>
      </c>
      <c r="R10" s="105">
        <v>103</v>
      </c>
      <c r="S10" s="95">
        <f t="shared" si="3"/>
        <v>3</v>
      </c>
      <c r="T10" s="95">
        <f t="shared" si="4"/>
        <v>0</v>
      </c>
    </row>
    <row r="11" spans="2:20" x14ac:dyDescent="0.25">
      <c r="B11" s="3">
        <v>366</v>
      </c>
      <c r="C11" s="95" t="s">
        <v>0</v>
      </c>
      <c r="D11" s="95">
        <v>7</v>
      </c>
      <c r="E11" s="25">
        <v>582</v>
      </c>
      <c r="F11" s="10">
        <v>3</v>
      </c>
      <c r="G11" s="10">
        <v>0</v>
      </c>
      <c r="H11" s="5" t="str">
        <f t="shared" si="0"/>
        <v>det_582</v>
      </c>
      <c r="I11" s="5" t="str">
        <f t="shared" si="1"/>
        <v>W:\Performance Measurement\1. Freeway\1. raw data\2012\data files\det_582.txt</v>
      </c>
      <c r="J11" s="5" t="str">
        <f t="shared" si="2"/>
        <v>W:\Performance Measurement\1. Freeway\1. raw data\2012\data files\det_582.xlsx</v>
      </c>
      <c r="K11" s="5"/>
      <c r="M11" s="106" t="s">
        <v>58</v>
      </c>
      <c r="N11" s="10">
        <v>68</v>
      </c>
      <c r="O11" s="10">
        <v>4</v>
      </c>
      <c r="P11" s="10">
        <v>1</v>
      </c>
      <c r="R11" s="105">
        <v>156</v>
      </c>
      <c r="S11" s="95">
        <f t="shared" si="3"/>
        <v>3</v>
      </c>
      <c r="T11" s="95">
        <f t="shared" si="4"/>
        <v>0</v>
      </c>
    </row>
    <row r="12" spans="2:20" x14ac:dyDescent="0.25">
      <c r="B12" s="3">
        <v>249</v>
      </c>
      <c r="C12" s="95" t="s">
        <v>1</v>
      </c>
      <c r="D12" s="95">
        <v>8</v>
      </c>
      <c r="E12" s="25">
        <v>583</v>
      </c>
      <c r="F12" s="10">
        <v>3</v>
      </c>
      <c r="G12" s="10">
        <v>0</v>
      </c>
      <c r="H12" s="5" t="str">
        <f t="shared" si="0"/>
        <v>det_583</v>
      </c>
      <c r="I12" s="5" t="str">
        <f t="shared" si="1"/>
        <v>W:\Performance Measurement\1. Freeway\1. raw data\2012\data files\det_583.txt</v>
      </c>
      <c r="J12" s="5" t="str">
        <f t="shared" si="2"/>
        <v>W:\Performance Measurement\1. Freeway\1. raw data\2012\data files\det_583.xlsx</v>
      </c>
      <c r="K12" s="5"/>
      <c r="M12" s="106" t="s">
        <v>58</v>
      </c>
      <c r="N12" s="10">
        <v>133</v>
      </c>
      <c r="O12" s="10">
        <v>5</v>
      </c>
      <c r="P12" s="10">
        <v>1</v>
      </c>
      <c r="R12" s="105">
        <v>162</v>
      </c>
      <c r="S12" s="95">
        <f t="shared" si="3"/>
        <v>4</v>
      </c>
      <c r="T12" s="95">
        <f t="shared" si="4"/>
        <v>1</v>
      </c>
    </row>
    <row r="13" spans="2:20" x14ac:dyDescent="0.25">
      <c r="D13" s="95">
        <v>9</v>
      </c>
      <c r="E13" s="25">
        <v>584</v>
      </c>
      <c r="F13" s="10">
        <v>3</v>
      </c>
      <c r="G13" s="10">
        <v>0</v>
      </c>
      <c r="H13" s="5" t="str">
        <f t="shared" si="0"/>
        <v>det_584</v>
      </c>
      <c r="I13" s="5" t="str">
        <f t="shared" si="1"/>
        <v>W:\Performance Measurement\1. Freeway\1. raw data\2012\data files\det_584.txt</v>
      </c>
      <c r="J13" s="5" t="str">
        <f t="shared" si="2"/>
        <v>W:\Performance Measurement\1. Freeway\1. raw data\2012\data files\det_584.xlsx</v>
      </c>
      <c r="K13" s="5"/>
      <c r="M13" s="106" t="s">
        <v>58</v>
      </c>
      <c r="N13" s="10">
        <v>73</v>
      </c>
      <c r="O13" s="10">
        <v>5</v>
      </c>
      <c r="P13" s="10">
        <v>1</v>
      </c>
      <c r="R13" s="105">
        <v>171</v>
      </c>
      <c r="S13" s="95">
        <f t="shared" si="3"/>
        <v>3</v>
      </c>
      <c r="T13" s="95">
        <f t="shared" si="4"/>
        <v>0</v>
      </c>
    </row>
    <row r="14" spans="2:20" x14ac:dyDescent="0.25">
      <c r="B14" s="3">
        <v>1</v>
      </c>
      <c r="C14" s="1" t="s">
        <v>8</v>
      </c>
      <c r="D14" s="95">
        <v>10</v>
      </c>
      <c r="E14" s="25">
        <v>585</v>
      </c>
      <c r="F14" s="10">
        <v>2</v>
      </c>
      <c r="G14" s="10">
        <v>0</v>
      </c>
      <c r="H14" s="5" t="str">
        <f t="shared" si="0"/>
        <v>det_585</v>
      </c>
      <c r="I14" s="5" t="str">
        <f t="shared" si="1"/>
        <v>W:\Performance Measurement\1. Freeway\1. raw data\2012\data files\det_585.txt</v>
      </c>
      <c r="J14" s="5" t="str">
        <f t="shared" si="2"/>
        <v>W:\Performance Measurement\1. Freeway\1. raw data\2012\data files\det_585.xlsx</v>
      </c>
      <c r="K14" s="5"/>
      <c r="M14" s="106" t="s">
        <v>58</v>
      </c>
      <c r="N14" s="10">
        <v>35</v>
      </c>
      <c r="O14" s="10">
        <v>4</v>
      </c>
      <c r="P14" s="10">
        <v>1</v>
      </c>
      <c r="R14" s="105">
        <v>179</v>
      </c>
      <c r="S14" s="95">
        <f t="shared" si="3"/>
        <v>2</v>
      </c>
      <c r="T14" s="95">
        <f t="shared" si="4"/>
        <v>0</v>
      </c>
    </row>
    <row r="15" spans="2:20" x14ac:dyDescent="0.25">
      <c r="D15" s="95">
        <v>11</v>
      </c>
      <c r="E15" s="25">
        <v>586</v>
      </c>
      <c r="F15" s="10">
        <v>2</v>
      </c>
      <c r="G15" s="10">
        <v>0</v>
      </c>
      <c r="H15" s="5" t="str">
        <f t="shared" si="0"/>
        <v>det_586</v>
      </c>
      <c r="I15" s="5" t="str">
        <f t="shared" si="1"/>
        <v>W:\Performance Measurement\1. Freeway\1. raw data\2012\data files\det_586.txt</v>
      </c>
      <c r="J15" s="5" t="str">
        <f t="shared" si="2"/>
        <v>W:\Performance Measurement\1. Freeway\1. raw data\2012\data files\det_586.xlsx</v>
      </c>
      <c r="K15" s="5"/>
      <c r="M15" s="106" t="s">
        <v>58</v>
      </c>
      <c r="N15" s="10">
        <v>29</v>
      </c>
      <c r="O15" s="10">
        <v>4</v>
      </c>
      <c r="P15" s="10">
        <v>1</v>
      </c>
      <c r="R15" s="105">
        <v>195</v>
      </c>
      <c r="S15" s="95">
        <f t="shared" si="3"/>
        <v>3</v>
      </c>
      <c r="T15" s="95">
        <f t="shared" si="4"/>
        <v>1</v>
      </c>
    </row>
    <row r="16" spans="2:20" x14ac:dyDescent="0.25">
      <c r="B16" s="3">
        <v>20</v>
      </c>
      <c r="C16" s="95" t="s">
        <v>7</v>
      </c>
      <c r="D16" s="95">
        <v>12</v>
      </c>
      <c r="E16" s="25">
        <v>587</v>
      </c>
      <c r="F16" s="10">
        <v>3</v>
      </c>
      <c r="G16" s="10">
        <v>0</v>
      </c>
      <c r="H16" s="5" t="str">
        <f t="shared" si="0"/>
        <v>det_587</v>
      </c>
      <c r="I16" s="5" t="str">
        <f t="shared" si="1"/>
        <v>W:\Performance Measurement\1. Freeway\1. raw data\2012\data files\det_587.txt</v>
      </c>
      <c r="J16" s="5" t="str">
        <f t="shared" si="2"/>
        <v>W:\Performance Measurement\1. Freeway\1. raw data\2012\data files\det_587.xlsx</v>
      </c>
      <c r="K16" s="5"/>
      <c r="M16" s="106" t="s">
        <v>58</v>
      </c>
      <c r="N16" s="10">
        <v>24</v>
      </c>
      <c r="O16" s="10">
        <v>4</v>
      </c>
      <c r="P16" s="10">
        <v>1</v>
      </c>
      <c r="R16" s="105">
        <v>206</v>
      </c>
      <c r="S16" s="95">
        <f t="shared" si="3"/>
        <v>3</v>
      </c>
      <c r="T16" s="95">
        <f t="shared" si="4"/>
        <v>1</v>
      </c>
    </row>
    <row r="17" spans="1:20" x14ac:dyDescent="0.25">
      <c r="B17" s="3">
        <v>35</v>
      </c>
      <c r="C17" s="95" t="s">
        <v>6</v>
      </c>
      <c r="D17" s="95">
        <v>13</v>
      </c>
      <c r="E17" s="10">
        <v>588</v>
      </c>
      <c r="F17" s="10">
        <v>3</v>
      </c>
      <c r="G17" s="10">
        <v>0</v>
      </c>
      <c r="H17" s="5" t="str">
        <f t="shared" si="0"/>
        <v>det_588</v>
      </c>
      <c r="I17" s="5" t="str">
        <f t="shared" si="1"/>
        <v>W:\Performance Measurement\1. Freeway\1. raw data\2012\data files\det_588.txt</v>
      </c>
      <c r="J17" s="5" t="str">
        <f t="shared" si="2"/>
        <v>W:\Performance Measurement\1. Freeway\1. raw data\2012\data files\det_588.xlsx</v>
      </c>
      <c r="K17" s="5"/>
      <c r="M17" s="106" t="s">
        <v>58</v>
      </c>
      <c r="N17" s="10">
        <v>17</v>
      </c>
      <c r="O17" s="10">
        <v>4</v>
      </c>
      <c r="P17" s="10">
        <v>1</v>
      </c>
      <c r="R17" s="105">
        <v>220</v>
      </c>
      <c r="S17" s="95">
        <f t="shared" si="3"/>
        <v>3</v>
      </c>
      <c r="T17" s="95">
        <f t="shared" si="4"/>
        <v>1</v>
      </c>
    </row>
    <row r="18" spans="1:20" x14ac:dyDescent="0.25">
      <c r="C18" s="1"/>
      <c r="D18" s="95">
        <v>14</v>
      </c>
      <c r="E18" s="10">
        <v>589</v>
      </c>
      <c r="F18" s="10">
        <v>3</v>
      </c>
      <c r="G18" s="10">
        <v>0</v>
      </c>
      <c r="H18" s="5" t="str">
        <f t="shared" si="0"/>
        <v>det_589</v>
      </c>
      <c r="I18" s="5" t="str">
        <f t="shared" si="1"/>
        <v>W:\Performance Measurement\1. Freeway\1. raw data\2012\data files\det_589.txt</v>
      </c>
      <c r="J18" s="5" t="str">
        <f t="shared" si="2"/>
        <v>W:\Performance Measurement\1. Freeway\1. raw data\2012\data files\det_589.xlsx</v>
      </c>
      <c r="K18" s="5"/>
      <c r="M18" s="106" t="s">
        <v>58</v>
      </c>
      <c r="N18" s="10">
        <v>11</v>
      </c>
      <c r="O18" s="10">
        <v>4</v>
      </c>
      <c r="P18" s="10">
        <v>1</v>
      </c>
      <c r="R18" s="105">
        <v>243</v>
      </c>
      <c r="S18" s="95">
        <f t="shared" si="3"/>
        <v>4</v>
      </c>
      <c r="T18" s="95">
        <f t="shared" si="4"/>
        <v>1</v>
      </c>
    </row>
    <row r="19" spans="1:20" x14ac:dyDescent="0.25">
      <c r="B19" s="7" t="str">
        <f>"E1:X"&amp;B$11*36/B14+1</f>
        <v>E1:X13177</v>
      </c>
      <c r="C19" s="1" t="s">
        <v>5</v>
      </c>
      <c r="D19" s="95">
        <v>15</v>
      </c>
      <c r="E19" s="10">
        <v>590</v>
      </c>
      <c r="F19" s="10">
        <v>3</v>
      </c>
      <c r="G19" s="10">
        <v>0</v>
      </c>
      <c r="H19" s="5" t="str">
        <f t="shared" si="0"/>
        <v>det_590</v>
      </c>
      <c r="I19" s="5" t="str">
        <f t="shared" si="1"/>
        <v>W:\Performance Measurement\1. Freeway\1. raw data\2012\data files\det_590.txt</v>
      </c>
      <c r="J19" s="5" t="str">
        <f t="shared" si="2"/>
        <v>W:\Performance Measurement\1. Freeway\1. raw data\2012\data files\det_590.xlsx</v>
      </c>
      <c r="K19" s="5"/>
      <c r="M19" s="106" t="s">
        <v>58</v>
      </c>
      <c r="N19" s="10">
        <v>4</v>
      </c>
      <c r="O19" s="10">
        <v>4</v>
      </c>
      <c r="P19" s="10">
        <v>1</v>
      </c>
      <c r="R19" s="105">
        <v>258</v>
      </c>
      <c r="S19" s="95">
        <f t="shared" si="3"/>
        <v>5</v>
      </c>
      <c r="T19" s="95">
        <f t="shared" si="4"/>
        <v>1</v>
      </c>
    </row>
    <row r="20" spans="1:20" x14ac:dyDescent="0.25">
      <c r="B20" s="7" t="str">
        <f>"E1:X"&amp;B$11*72/B14+1</f>
        <v>E1:X26353</v>
      </c>
      <c r="C20" s="1" t="s">
        <v>4</v>
      </c>
      <c r="D20" s="95">
        <v>16</v>
      </c>
      <c r="E20" s="10">
        <v>591</v>
      </c>
      <c r="F20" s="10">
        <v>3</v>
      </c>
      <c r="G20" s="10">
        <v>0</v>
      </c>
      <c r="H20" s="5" t="str">
        <f t="shared" si="0"/>
        <v>det_591</v>
      </c>
      <c r="I20" s="5" t="str">
        <f t="shared" si="1"/>
        <v>W:\Performance Measurement\1. Freeway\1. raw data\2012\data files\det_591.txt</v>
      </c>
      <c r="J20" s="5" t="str">
        <f t="shared" si="2"/>
        <v>W:\Performance Measurement\1. Freeway\1. raw data\2012\data files\det_591.xlsx</v>
      </c>
      <c r="K20" s="5"/>
      <c r="M20" s="106" t="s">
        <v>58</v>
      </c>
      <c r="N20" s="10">
        <v>1</v>
      </c>
      <c r="O20" s="10">
        <v>4</v>
      </c>
      <c r="P20" s="10">
        <v>1</v>
      </c>
      <c r="R20" s="105">
        <v>264</v>
      </c>
      <c r="S20" s="95">
        <f t="shared" si="3"/>
        <v>5</v>
      </c>
      <c r="T20" s="95">
        <f t="shared" si="4"/>
        <v>1</v>
      </c>
    </row>
    <row r="21" spans="1:20" x14ac:dyDescent="0.25">
      <c r="B21" s="7" t="str">
        <f>"E1:X"&amp;B$11*48/B14+1</f>
        <v>E1:X17569</v>
      </c>
      <c r="C21" s="1" t="s">
        <v>3</v>
      </c>
      <c r="D21" s="95">
        <v>17</v>
      </c>
      <c r="E21" s="10">
        <v>592</v>
      </c>
      <c r="F21" s="10">
        <v>3</v>
      </c>
      <c r="G21" s="10">
        <v>0</v>
      </c>
      <c r="H21" s="5" t="str">
        <f t="shared" si="0"/>
        <v>det_592</v>
      </c>
      <c r="I21" s="5" t="str">
        <f t="shared" si="1"/>
        <v>W:\Performance Measurement\1. Freeway\1. raw data\2012\data files\det_592.txt</v>
      </c>
      <c r="J21" s="5" t="str">
        <f t="shared" si="2"/>
        <v>W:\Performance Measurement\1. Freeway\1. raw data\2012\data files\det_592.xlsx</v>
      </c>
      <c r="K21" s="5"/>
      <c r="M21" s="106" t="s">
        <v>59</v>
      </c>
      <c r="N21" s="10">
        <v>75</v>
      </c>
      <c r="O21" s="10">
        <v>5</v>
      </c>
      <c r="P21" s="10">
        <v>1</v>
      </c>
      <c r="R21" s="105">
        <v>292</v>
      </c>
      <c r="S21" s="95">
        <f t="shared" si="3"/>
        <v>4</v>
      </c>
      <c r="T21" s="95">
        <f t="shared" si="4"/>
        <v>1</v>
      </c>
    </row>
    <row r="22" spans="1:20" x14ac:dyDescent="0.25">
      <c r="B22" s="7" t="str">
        <f>"E1:X"&amp;B$11*132/B14+1</f>
        <v>E1:X48313</v>
      </c>
      <c r="C22" s="1" t="s">
        <v>2</v>
      </c>
      <c r="D22" s="95">
        <v>18</v>
      </c>
      <c r="E22" s="10">
        <v>593</v>
      </c>
      <c r="F22" s="10">
        <v>3</v>
      </c>
      <c r="G22" s="10">
        <v>0</v>
      </c>
      <c r="H22" s="5" t="str">
        <f t="shared" si="0"/>
        <v>det_593</v>
      </c>
      <c r="I22" s="5" t="str">
        <f t="shared" si="1"/>
        <v>W:\Performance Measurement\1. Freeway\1. raw data\2012\data files\det_593.txt</v>
      </c>
      <c r="J22" s="5" t="str">
        <f t="shared" si="2"/>
        <v>W:\Performance Measurement\1. Freeway\1. raw data\2012\data files\det_593.xlsx</v>
      </c>
      <c r="K22" s="5"/>
      <c r="M22" s="106" t="s">
        <v>59</v>
      </c>
      <c r="N22" s="10">
        <v>80</v>
      </c>
      <c r="O22" s="10">
        <v>4</v>
      </c>
      <c r="P22" s="10">
        <v>1</v>
      </c>
      <c r="R22" s="105">
        <v>316</v>
      </c>
      <c r="S22" s="95">
        <f t="shared" si="3"/>
        <v>4</v>
      </c>
      <c r="T22" s="95">
        <f t="shared" si="4"/>
        <v>1</v>
      </c>
    </row>
    <row r="23" spans="1:20" x14ac:dyDescent="0.25">
      <c r="D23" s="95">
        <v>19</v>
      </c>
      <c r="E23" s="10"/>
      <c r="F23" s="10"/>
      <c r="G23" s="10"/>
      <c r="H23" s="5" t="str">
        <f t="shared" si="0"/>
        <v>det_</v>
      </c>
      <c r="I23" s="5" t="str">
        <f t="shared" si="1"/>
        <v>W:\Performance Measurement\1. Freeway\1. raw data\2012\data files\det_.txt</v>
      </c>
      <c r="J23" s="5" t="str">
        <f t="shared" si="2"/>
        <v>W:\Performance Measurement\1. Freeway\1. raw data\2012\data files\det_.xlsx</v>
      </c>
      <c r="K23" s="5"/>
      <c r="M23" s="106" t="s">
        <v>59</v>
      </c>
      <c r="N23" s="10">
        <v>85</v>
      </c>
      <c r="O23" s="10">
        <v>4</v>
      </c>
      <c r="P23" s="10">
        <v>1</v>
      </c>
      <c r="R23" s="105">
        <v>361</v>
      </c>
      <c r="S23" s="95">
        <f t="shared" si="3"/>
        <v>3</v>
      </c>
      <c r="T23" s="95">
        <f t="shared" si="4"/>
        <v>1</v>
      </c>
    </row>
    <row r="24" spans="1:20" x14ac:dyDescent="0.25">
      <c r="B24" s="4" t="str">
        <f>B6&amp;"\"&amp;B7</f>
        <v>W:\Performance Measurement\1. Freeway\2. processed data_quality control\a. template files\blank2012.xlsx</v>
      </c>
      <c r="D24" s="95">
        <v>20</v>
      </c>
      <c r="E24" s="25">
        <v>579</v>
      </c>
      <c r="F24" s="10">
        <v>3</v>
      </c>
      <c r="G24" s="11">
        <v>1</v>
      </c>
      <c r="H24" s="5" t="str">
        <f t="shared" si="0"/>
        <v>det_579</v>
      </c>
      <c r="I24" s="5" t="str">
        <f t="shared" si="1"/>
        <v>W:\Performance Measurement\1. Freeway\1. raw data\2012\data files\det_579.txt</v>
      </c>
      <c r="J24" s="5" t="str">
        <f t="shared" si="2"/>
        <v>W:\Performance Measurement\1. Freeway\1. raw data\2012\data files\det_579.xlsx</v>
      </c>
      <c r="K24" s="5"/>
      <c r="M24" s="106" t="s">
        <v>59</v>
      </c>
      <c r="N24" s="10">
        <v>87</v>
      </c>
      <c r="O24" s="10">
        <v>3</v>
      </c>
      <c r="P24" s="10">
        <v>1</v>
      </c>
      <c r="R24" s="105">
        <v>396</v>
      </c>
      <c r="S24" s="95">
        <f t="shared" si="3"/>
        <v>3</v>
      </c>
      <c r="T24" s="95">
        <f t="shared" si="4"/>
        <v>1</v>
      </c>
    </row>
    <row r="25" spans="1:20" x14ac:dyDescent="0.25">
      <c r="B25" s="4" t="str">
        <f>B6&amp;"\"&amp;B8</f>
        <v>W:\Performance Measurement\1. Freeway\2. processed data_quality control\a. template files\Template.xlsx</v>
      </c>
      <c r="C25" s="1"/>
      <c r="D25" s="95">
        <v>21</v>
      </c>
      <c r="E25" s="25">
        <v>580</v>
      </c>
      <c r="F25" s="11">
        <v>4</v>
      </c>
      <c r="G25" s="11">
        <v>1</v>
      </c>
      <c r="H25" s="5" t="str">
        <f t="shared" si="0"/>
        <v>det_580</v>
      </c>
      <c r="I25" s="5" t="str">
        <f t="shared" si="1"/>
        <v>W:\Performance Measurement\1. Freeway\1. raw data\2012\data files\det_580.txt</v>
      </c>
      <c r="J25" s="5" t="str">
        <f t="shared" si="2"/>
        <v>W:\Performance Measurement\1. Freeway\1. raw data\2012\data files\det_580.xlsx</v>
      </c>
      <c r="K25" s="5"/>
      <c r="M25" s="106" t="s">
        <v>59</v>
      </c>
      <c r="N25" s="10">
        <v>139</v>
      </c>
      <c r="O25" s="10">
        <v>5</v>
      </c>
      <c r="P25" s="10">
        <v>1</v>
      </c>
      <c r="R25" s="105">
        <v>420</v>
      </c>
      <c r="S25" s="95">
        <f t="shared" si="3"/>
        <v>4</v>
      </c>
      <c r="T25" s="95">
        <f t="shared" si="4"/>
        <v>1</v>
      </c>
    </row>
    <row r="26" spans="1:20" x14ac:dyDescent="0.25">
      <c r="B26" s="4"/>
      <c r="D26" s="95">
        <v>22</v>
      </c>
      <c r="E26" s="25">
        <v>581</v>
      </c>
      <c r="F26" s="10">
        <v>3</v>
      </c>
      <c r="G26" s="11">
        <v>1</v>
      </c>
      <c r="H26" s="5" t="str">
        <f t="shared" si="0"/>
        <v>det_581</v>
      </c>
      <c r="I26" s="5" t="str">
        <f t="shared" si="1"/>
        <v>W:\Performance Measurement\1. Freeway\1. raw data\2012\data files\det_581.txt</v>
      </c>
      <c r="J26" s="5" t="str">
        <f t="shared" si="2"/>
        <v>W:\Performance Measurement\1. Freeway\1. raw data\2012\data files\det_581.xlsx</v>
      </c>
      <c r="K26" s="5"/>
      <c r="M26" s="106" t="s">
        <v>59</v>
      </c>
      <c r="N26" s="10">
        <v>84</v>
      </c>
      <c r="O26" s="10">
        <v>4</v>
      </c>
      <c r="P26" s="10">
        <v>1</v>
      </c>
      <c r="R26" s="105">
        <v>425</v>
      </c>
      <c r="S26" s="95">
        <f t="shared" si="3"/>
        <v>3</v>
      </c>
      <c r="T26" s="95">
        <f t="shared" si="4"/>
        <v>1</v>
      </c>
    </row>
    <row r="27" spans="1:20" x14ac:dyDescent="0.25">
      <c r="D27" s="95">
        <v>23</v>
      </c>
      <c r="E27" s="25">
        <v>582</v>
      </c>
      <c r="F27" s="10">
        <v>3</v>
      </c>
      <c r="G27" s="11">
        <v>1</v>
      </c>
      <c r="H27" s="5" t="str">
        <f t="shared" si="0"/>
        <v>det_582</v>
      </c>
      <c r="I27" s="5" t="str">
        <f t="shared" si="1"/>
        <v>W:\Performance Measurement\1. Freeway\1. raw data\2012\data files\det_582.txt</v>
      </c>
      <c r="J27" s="5" t="str">
        <f t="shared" si="2"/>
        <v>W:\Performance Measurement\1. Freeway\1. raw data\2012\data files\det_582.xlsx</v>
      </c>
      <c r="K27" s="5"/>
      <c r="M27" s="106" t="s">
        <v>59</v>
      </c>
      <c r="N27" s="10">
        <v>78</v>
      </c>
      <c r="O27" s="10">
        <v>4</v>
      </c>
      <c r="P27" s="10">
        <v>1</v>
      </c>
      <c r="R27" s="105">
        <v>432</v>
      </c>
      <c r="S27" s="95">
        <f t="shared" si="3"/>
        <v>3</v>
      </c>
      <c r="T27" s="95">
        <f t="shared" si="4"/>
        <v>1</v>
      </c>
    </row>
    <row r="28" spans="1:20" x14ac:dyDescent="0.25">
      <c r="D28" s="95">
        <v>24</v>
      </c>
      <c r="E28" s="25">
        <v>583</v>
      </c>
      <c r="F28" s="10">
        <v>3</v>
      </c>
      <c r="G28" s="11">
        <v>1</v>
      </c>
      <c r="H28" s="5" t="str">
        <f t="shared" si="0"/>
        <v>det_583</v>
      </c>
      <c r="I28" s="5" t="str">
        <f t="shared" si="1"/>
        <v>W:\Performance Measurement\1. Freeway\1. raw data\2012\data files\det_583.txt</v>
      </c>
      <c r="J28" s="5" t="str">
        <f t="shared" si="2"/>
        <v>W:\Performance Measurement\1. Freeway\1. raw data\2012\data files\det_583.xlsx</v>
      </c>
      <c r="K28" s="5"/>
      <c r="M28" s="106" t="s">
        <v>59</v>
      </c>
      <c r="N28" s="10">
        <v>137</v>
      </c>
      <c r="O28" s="10">
        <v>3</v>
      </c>
      <c r="P28" s="10">
        <v>1</v>
      </c>
      <c r="R28" s="105">
        <v>441</v>
      </c>
      <c r="S28" s="95">
        <f t="shared" si="3"/>
        <v>3</v>
      </c>
      <c r="T28" s="95">
        <f t="shared" si="4"/>
        <v>1</v>
      </c>
    </row>
    <row r="29" spans="1:20" x14ac:dyDescent="0.25">
      <c r="A29" s="1"/>
      <c r="C29" s="1"/>
      <c r="D29" s="95">
        <v>25</v>
      </c>
      <c r="E29" s="25">
        <v>584</v>
      </c>
      <c r="F29" s="10">
        <v>3</v>
      </c>
      <c r="G29" s="11">
        <v>1</v>
      </c>
      <c r="H29" s="5" t="str">
        <f t="shared" si="0"/>
        <v>det_584</v>
      </c>
      <c r="I29" s="5" t="str">
        <f t="shared" si="1"/>
        <v>W:\Performance Measurement\1. Freeway\1. raw data\2012\data files\det_584.txt</v>
      </c>
      <c r="J29" s="5" t="str">
        <f t="shared" si="2"/>
        <v>W:\Performance Measurement\1. Freeway\1. raw data\2012\data files\det_584.xlsx</v>
      </c>
      <c r="K29" s="5"/>
      <c r="M29" s="106" t="s">
        <v>60</v>
      </c>
      <c r="N29" s="10">
        <v>89</v>
      </c>
      <c r="O29" s="10">
        <v>4</v>
      </c>
      <c r="P29" s="10">
        <v>1</v>
      </c>
      <c r="R29" s="105">
        <v>482</v>
      </c>
      <c r="S29" s="95">
        <f t="shared" si="3"/>
        <v>5</v>
      </c>
      <c r="T29" s="95">
        <f t="shared" si="4"/>
        <v>1</v>
      </c>
    </row>
    <row r="30" spans="1:20" x14ac:dyDescent="0.25">
      <c r="A30" s="1"/>
      <c r="C30" s="1"/>
      <c r="D30" s="95">
        <v>26</v>
      </c>
      <c r="E30" s="25">
        <v>585</v>
      </c>
      <c r="F30" s="10">
        <v>2</v>
      </c>
      <c r="G30" s="11">
        <v>1</v>
      </c>
      <c r="H30" s="5" t="str">
        <f t="shared" si="0"/>
        <v>det_585</v>
      </c>
      <c r="I30" s="5" t="str">
        <f t="shared" si="1"/>
        <v>W:\Performance Measurement\1. Freeway\1. raw data\2012\data files\det_585.txt</v>
      </c>
      <c r="J30" s="5" t="str">
        <f t="shared" si="2"/>
        <v>W:\Performance Measurement\1. Freeway\1. raw data\2012\data files\det_585.xlsx</v>
      </c>
      <c r="K30" s="5"/>
      <c r="M30" s="106" t="s">
        <v>60</v>
      </c>
      <c r="N30" s="10">
        <v>149</v>
      </c>
      <c r="O30" s="10">
        <v>3</v>
      </c>
      <c r="P30" s="10">
        <v>1</v>
      </c>
      <c r="R30" s="105">
        <v>497</v>
      </c>
      <c r="S30" s="95">
        <f t="shared" si="3"/>
        <v>3</v>
      </c>
      <c r="T30" s="95">
        <f t="shared" si="4"/>
        <v>1</v>
      </c>
    </row>
    <row r="31" spans="1:20" x14ac:dyDescent="0.25">
      <c r="A31" s="1"/>
      <c r="C31" s="1"/>
      <c r="D31" s="95">
        <v>27</v>
      </c>
      <c r="E31" s="25">
        <v>586</v>
      </c>
      <c r="F31" s="11">
        <v>3</v>
      </c>
      <c r="G31" s="11">
        <v>1</v>
      </c>
      <c r="H31" s="5" t="str">
        <f t="shared" si="0"/>
        <v>det_586</v>
      </c>
      <c r="I31" s="5" t="str">
        <f t="shared" si="1"/>
        <v>W:\Performance Measurement\1. Freeway\1. raw data\2012\data files\det_586.txt</v>
      </c>
      <c r="J31" s="5" t="str">
        <f t="shared" si="2"/>
        <v>W:\Performance Measurement\1. Freeway\1. raw data\2012\data files\det_586.xlsx</v>
      </c>
      <c r="K31" s="5"/>
      <c r="M31" s="106" t="s">
        <v>60</v>
      </c>
      <c r="N31" s="10">
        <v>93</v>
      </c>
      <c r="O31" s="10">
        <v>3</v>
      </c>
      <c r="P31" s="10">
        <v>1</v>
      </c>
      <c r="R31" s="105">
        <v>510</v>
      </c>
      <c r="S31" s="95">
        <f t="shared" si="3"/>
        <v>4</v>
      </c>
      <c r="T31" s="95">
        <f t="shared" si="4"/>
        <v>1</v>
      </c>
    </row>
    <row r="32" spans="1:20" x14ac:dyDescent="0.25">
      <c r="A32" s="1"/>
      <c r="C32" s="1"/>
      <c r="D32" s="95">
        <v>28</v>
      </c>
      <c r="E32" s="25">
        <v>587</v>
      </c>
      <c r="F32" s="10">
        <v>3</v>
      </c>
      <c r="G32" s="11">
        <v>1</v>
      </c>
      <c r="H32" s="5" t="str">
        <f t="shared" si="0"/>
        <v>det_587</v>
      </c>
      <c r="I32" s="5" t="str">
        <f t="shared" si="1"/>
        <v>W:\Performance Measurement\1. Freeway\1. raw data\2012\data files\det_587.txt</v>
      </c>
      <c r="J32" s="5" t="str">
        <f t="shared" si="2"/>
        <v>W:\Performance Measurement\1. Freeway\1. raw data\2012\data files\det_587.xlsx</v>
      </c>
      <c r="K32" s="5"/>
      <c r="M32" s="106" t="s">
        <v>60</v>
      </c>
      <c r="N32" s="10">
        <v>40</v>
      </c>
      <c r="O32" s="10">
        <v>5</v>
      </c>
      <c r="P32" s="10">
        <v>1</v>
      </c>
      <c r="R32" s="105">
        <v>523</v>
      </c>
      <c r="S32" s="95">
        <f t="shared" si="3"/>
        <v>5</v>
      </c>
      <c r="T32" s="95">
        <f t="shared" si="4"/>
        <v>1</v>
      </c>
    </row>
    <row r="33" spans="1:20" x14ac:dyDescent="0.25">
      <c r="A33" s="1"/>
      <c r="C33" s="1"/>
      <c r="D33" s="95">
        <v>29</v>
      </c>
      <c r="E33" s="25">
        <v>588</v>
      </c>
      <c r="F33" s="10">
        <v>3</v>
      </c>
      <c r="G33" s="11">
        <v>1</v>
      </c>
      <c r="H33" s="5" t="str">
        <f t="shared" si="0"/>
        <v>det_588</v>
      </c>
      <c r="I33" s="5" t="str">
        <f t="shared" si="1"/>
        <v>W:\Performance Measurement\1. Freeway\1. raw data\2012\data files\det_588.txt</v>
      </c>
      <c r="J33" s="5" t="str">
        <f t="shared" si="2"/>
        <v>W:\Performance Measurement\1. Freeway\1. raw data\2012\data files\det_588.xlsx</v>
      </c>
      <c r="K33" s="5"/>
      <c r="M33" s="106" t="s">
        <v>60</v>
      </c>
      <c r="N33" s="10">
        <v>46</v>
      </c>
      <c r="O33" s="10">
        <v>5</v>
      </c>
      <c r="P33" s="10">
        <v>1</v>
      </c>
      <c r="R33" s="105">
        <v>538</v>
      </c>
      <c r="S33" s="95">
        <f t="shared" si="3"/>
        <v>5</v>
      </c>
      <c r="T33" s="95">
        <f t="shared" si="4"/>
        <v>1</v>
      </c>
    </row>
    <row r="34" spans="1:20" x14ac:dyDescent="0.25">
      <c r="A34" s="1"/>
      <c r="C34" s="1"/>
      <c r="D34" s="95">
        <v>30</v>
      </c>
      <c r="E34" s="25">
        <v>589</v>
      </c>
      <c r="F34" s="10">
        <v>3</v>
      </c>
      <c r="G34" s="11">
        <v>1</v>
      </c>
      <c r="H34" s="5" t="str">
        <f t="shared" si="0"/>
        <v>det_589</v>
      </c>
      <c r="I34" s="5" t="str">
        <f t="shared" si="1"/>
        <v>W:\Performance Measurement\1. Freeway\1. raw data\2012\data files\det_589.txt</v>
      </c>
      <c r="J34" s="5" t="str">
        <f t="shared" si="2"/>
        <v>W:\Performance Measurement\1. Freeway\1. raw data\2012\data files\det_589.xlsx</v>
      </c>
      <c r="K34" s="5"/>
      <c r="M34" s="106" t="s">
        <v>60</v>
      </c>
      <c r="N34" s="10">
        <v>50</v>
      </c>
      <c r="O34" s="10">
        <v>4</v>
      </c>
      <c r="P34" s="10">
        <v>1</v>
      </c>
      <c r="R34" s="105">
        <v>542</v>
      </c>
      <c r="S34" s="95">
        <f t="shared" si="3"/>
        <v>3</v>
      </c>
      <c r="T34" s="95">
        <f t="shared" si="4"/>
        <v>1</v>
      </c>
    </row>
    <row r="35" spans="1:20" x14ac:dyDescent="0.25">
      <c r="A35" s="1"/>
      <c r="C35" s="1"/>
      <c r="D35" s="95">
        <v>31</v>
      </c>
      <c r="E35" s="25">
        <v>590</v>
      </c>
      <c r="F35" s="10">
        <v>3</v>
      </c>
      <c r="G35" s="11">
        <v>1</v>
      </c>
      <c r="H35" s="5" t="str">
        <f t="shared" si="0"/>
        <v>det_590</v>
      </c>
      <c r="I35" s="5" t="str">
        <f t="shared" si="1"/>
        <v>W:\Performance Measurement\1. Freeway\1. raw data\2012\data files\det_590.txt</v>
      </c>
      <c r="J35" s="5" t="str">
        <f t="shared" si="2"/>
        <v>W:\Performance Measurement\1. Freeway\1. raw data\2012\data files\det_590.xlsx</v>
      </c>
      <c r="K35" s="5"/>
      <c r="M35" s="106" t="s">
        <v>60</v>
      </c>
      <c r="N35" s="10">
        <v>55</v>
      </c>
      <c r="O35" s="10">
        <v>5</v>
      </c>
      <c r="P35" s="10">
        <v>1</v>
      </c>
      <c r="R35" s="105">
        <v>550</v>
      </c>
      <c r="S35" s="95">
        <f>VLOOKUP(R35,$E$24:$G$306,2)</f>
        <v>3</v>
      </c>
      <c r="T35" s="95">
        <f t="shared" si="4"/>
        <v>1</v>
      </c>
    </row>
    <row r="36" spans="1:20" x14ac:dyDescent="0.25">
      <c r="A36" s="1"/>
      <c r="D36" s="95">
        <v>32</v>
      </c>
      <c r="E36" s="25">
        <v>591</v>
      </c>
      <c r="F36" s="10">
        <v>3</v>
      </c>
      <c r="G36" s="11">
        <v>1</v>
      </c>
      <c r="H36" s="5" t="str">
        <f t="shared" si="0"/>
        <v>det_591</v>
      </c>
      <c r="I36" s="5" t="str">
        <f t="shared" si="1"/>
        <v>W:\Performance Measurement\1. Freeway\1. raw data\2012\data files\det_591.txt</v>
      </c>
      <c r="J36" s="5" t="str">
        <f t="shared" si="2"/>
        <v>W:\Performance Measurement\1. Freeway\1. raw data\2012\data files\det_591.xlsx</v>
      </c>
      <c r="K36" s="5"/>
      <c r="M36" s="106" t="s">
        <v>60</v>
      </c>
      <c r="N36" s="10">
        <v>59</v>
      </c>
      <c r="O36" s="10">
        <v>4</v>
      </c>
      <c r="P36" s="10">
        <v>1</v>
      </c>
      <c r="R36" s="105">
        <v>560</v>
      </c>
      <c r="S36" s="95">
        <f t="shared" si="3"/>
        <v>3</v>
      </c>
      <c r="T36" s="95">
        <f t="shared" si="4"/>
        <v>1</v>
      </c>
    </row>
    <row r="37" spans="1:20" x14ac:dyDescent="0.25">
      <c r="D37" s="95">
        <v>33</v>
      </c>
      <c r="E37" s="25">
        <v>592</v>
      </c>
      <c r="F37" s="11">
        <v>4</v>
      </c>
      <c r="G37" s="11">
        <v>1</v>
      </c>
      <c r="H37" s="5" t="str">
        <f t="shared" si="0"/>
        <v>det_592</v>
      </c>
      <c r="I37" s="5" t="str">
        <f t="shared" si="1"/>
        <v>W:\Performance Measurement\1. Freeway\1. raw data\2012\data files\det_592.txt</v>
      </c>
      <c r="J37" s="5" t="str">
        <f t="shared" si="2"/>
        <v>W:\Performance Measurement\1. Freeway\1. raw data\2012\data files\det_592.xlsx</v>
      </c>
      <c r="K37" s="5"/>
      <c r="M37" s="106" t="s">
        <v>60</v>
      </c>
      <c r="N37" s="10">
        <v>64</v>
      </c>
      <c r="O37" s="10">
        <v>5</v>
      </c>
      <c r="P37" s="10">
        <v>1</v>
      </c>
      <c r="R37" s="105">
        <v>569</v>
      </c>
      <c r="S37" s="95">
        <f t="shared" si="3"/>
        <v>3</v>
      </c>
      <c r="T37" s="95">
        <f t="shared" si="4"/>
        <v>1</v>
      </c>
    </row>
    <row r="38" spans="1:20" x14ac:dyDescent="0.25">
      <c r="D38" s="95">
        <v>34</v>
      </c>
      <c r="E38" s="25">
        <v>593</v>
      </c>
      <c r="F38" s="10">
        <v>3</v>
      </c>
      <c r="G38" s="11">
        <v>1</v>
      </c>
      <c r="H38" s="5" t="str">
        <f t="shared" si="0"/>
        <v>det_593</v>
      </c>
      <c r="I38" s="5" t="str">
        <f t="shared" si="1"/>
        <v>W:\Performance Measurement\1. Freeway\1. raw data\2012\data files\det_593.txt</v>
      </c>
      <c r="J38" s="5" t="str">
        <f t="shared" si="2"/>
        <v>W:\Performance Measurement\1. Freeway\1. raw data\2012\data files\det_593.xlsx</v>
      </c>
      <c r="K38" s="5"/>
      <c r="M38" s="106" t="s">
        <v>60</v>
      </c>
      <c r="N38" s="10">
        <v>393</v>
      </c>
      <c r="O38" s="10">
        <v>3</v>
      </c>
      <c r="P38" s="10">
        <v>1</v>
      </c>
      <c r="R38" s="105">
        <v>576</v>
      </c>
      <c r="S38" s="95">
        <f t="shared" si="3"/>
        <v>3</v>
      </c>
      <c r="T38" s="95">
        <f t="shared" si="4"/>
        <v>1</v>
      </c>
    </row>
    <row r="39" spans="1:20" x14ac:dyDescent="0.25">
      <c r="D39" s="95">
        <v>35</v>
      </c>
      <c r="E39" s="25">
        <v>255</v>
      </c>
      <c r="F39" s="11">
        <v>4</v>
      </c>
      <c r="G39" s="11">
        <v>0</v>
      </c>
      <c r="H39" s="5" t="str">
        <f t="shared" si="0"/>
        <v>det_255</v>
      </c>
      <c r="I39" s="5" t="str">
        <f t="shared" si="1"/>
        <v>W:\Performance Measurement\1. Freeway\1. raw data\2012\data files\det_255.txt</v>
      </c>
      <c r="J39" s="5" t="str">
        <f t="shared" si="2"/>
        <v>W:\Performance Measurement\1. Freeway\1. raw data\2012\data files\det_255.xlsx</v>
      </c>
      <c r="K39" s="5"/>
      <c r="M39" s="106" t="s">
        <v>60</v>
      </c>
      <c r="N39" s="10">
        <v>425</v>
      </c>
      <c r="O39" s="10">
        <v>3</v>
      </c>
      <c r="P39" s="10">
        <v>1</v>
      </c>
      <c r="R39" s="105">
        <v>581</v>
      </c>
      <c r="S39" s="95">
        <f t="shared" si="3"/>
        <v>3</v>
      </c>
      <c r="T39" s="95">
        <f t="shared" si="4"/>
        <v>1</v>
      </c>
    </row>
    <row r="40" spans="1:20" x14ac:dyDescent="0.25">
      <c r="D40" s="95">
        <v>36</v>
      </c>
      <c r="E40" s="10"/>
      <c r="F40" s="10"/>
      <c r="G40" s="10"/>
      <c r="H40" s="5" t="str">
        <f t="shared" si="0"/>
        <v>det_</v>
      </c>
      <c r="I40" s="5" t="str">
        <f t="shared" si="1"/>
        <v>W:\Performance Measurement\1. Freeway\1. raw data\2012\data files\det_.txt</v>
      </c>
      <c r="J40" s="5" t="str">
        <f t="shared" si="2"/>
        <v>W:\Performance Measurement\1. Freeway\1. raw data\2012\data files\det_.xlsx</v>
      </c>
      <c r="K40" s="5"/>
      <c r="M40" s="106" t="s">
        <v>60</v>
      </c>
      <c r="N40" s="10">
        <v>66</v>
      </c>
      <c r="O40" s="10">
        <v>6</v>
      </c>
      <c r="P40" s="10">
        <v>1</v>
      </c>
      <c r="R40" s="105">
        <v>589</v>
      </c>
      <c r="S40" s="95">
        <f t="shared" si="3"/>
        <v>3</v>
      </c>
      <c r="T40" s="95">
        <f t="shared" si="4"/>
        <v>1</v>
      </c>
    </row>
    <row r="41" spans="1:20" x14ac:dyDescent="0.25">
      <c r="D41" s="95">
        <v>37</v>
      </c>
      <c r="E41" s="10"/>
      <c r="F41" s="10"/>
      <c r="G41" s="10"/>
      <c r="H41" s="5" t="str">
        <f t="shared" si="0"/>
        <v>det_</v>
      </c>
      <c r="I41" s="5" t="str">
        <f t="shared" si="1"/>
        <v>W:\Performance Measurement\1. Freeway\1. raw data\2012\data files\det_.txt</v>
      </c>
      <c r="J41" s="5" t="str">
        <f t="shared" si="2"/>
        <v>W:\Performance Measurement\1. Freeway\1. raw data\2012\data files\det_.xlsx</v>
      </c>
      <c r="K41" s="5"/>
      <c r="M41" s="106" t="s">
        <v>60</v>
      </c>
      <c r="N41" s="10">
        <v>63</v>
      </c>
      <c r="O41" s="10">
        <v>4</v>
      </c>
      <c r="P41" s="10">
        <v>1</v>
      </c>
      <c r="R41" s="105">
        <v>599</v>
      </c>
      <c r="S41" s="95">
        <f t="shared" si="3"/>
        <v>3</v>
      </c>
      <c r="T41" s="95">
        <f t="shared" si="4"/>
        <v>1</v>
      </c>
    </row>
    <row r="42" spans="1:20" x14ac:dyDescent="0.25">
      <c r="D42" s="95">
        <v>38</v>
      </c>
      <c r="E42" s="10"/>
      <c r="F42" s="10"/>
      <c r="G42" s="10"/>
      <c r="H42" s="5" t="str">
        <f t="shared" si="0"/>
        <v>det_</v>
      </c>
      <c r="I42" s="5" t="str">
        <f t="shared" si="1"/>
        <v>W:\Performance Measurement\1. Freeway\1. raw data\2012\data files\det_.txt</v>
      </c>
      <c r="J42" s="5" t="str">
        <f t="shared" si="2"/>
        <v>W:\Performance Measurement\1. Freeway\1. raw data\2012\data files\det_.xlsx</v>
      </c>
      <c r="K42" s="5"/>
      <c r="M42" s="106" t="s">
        <v>60</v>
      </c>
      <c r="N42" s="10">
        <v>60</v>
      </c>
      <c r="O42" s="10">
        <v>5</v>
      </c>
      <c r="P42" s="10">
        <v>1</v>
      </c>
      <c r="R42" s="105">
        <v>603</v>
      </c>
      <c r="S42" s="95">
        <f t="shared" si="3"/>
        <v>3</v>
      </c>
      <c r="T42" s="95">
        <f t="shared" si="4"/>
        <v>1</v>
      </c>
    </row>
    <row r="43" spans="1:20" x14ac:dyDescent="0.25">
      <c r="D43" s="95">
        <v>39</v>
      </c>
      <c r="E43" s="10"/>
      <c r="F43" s="10"/>
      <c r="G43" s="10"/>
      <c r="H43" s="5" t="str">
        <f t="shared" si="0"/>
        <v>det_</v>
      </c>
      <c r="I43" s="5" t="str">
        <f t="shared" si="1"/>
        <v>W:\Performance Measurement\1. Freeway\1. raw data\2012\data files\det_.txt</v>
      </c>
      <c r="J43" s="5" t="str">
        <f t="shared" si="2"/>
        <v>W:\Performance Measurement\1. Freeway\1. raw data\2012\data files\det_.xlsx</v>
      </c>
      <c r="K43" s="5"/>
      <c r="M43" s="106" t="s">
        <v>60</v>
      </c>
      <c r="N43" s="10">
        <v>53</v>
      </c>
      <c r="O43" s="10">
        <v>4</v>
      </c>
      <c r="P43" s="10">
        <v>1</v>
      </c>
    </row>
    <row r="44" spans="1:20" x14ac:dyDescent="0.25">
      <c r="D44" s="95">
        <v>40</v>
      </c>
      <c r="E44" s="10"/>
      <c r="F44" s="10"/>
      <c r="G44" s="10"/>
      <c r="H44" s="5" t="str">
        <f t="shared" si="0"/>
        <v>det_</v>
      </c>
      <c r="I44" s="5" t="str">
        <f t="shared" si="1"/>
        <v>W:\Performance Measurement\1. Freeway\1. raw data\2012\data files\det_.txt</v>
      </c>
      <c r="J44" s="5" t="str">
        <f t="shared" si="2"/>
        <v>W:\Performance Measurement\1. Freeway\1. raw data\2012\data files\det_.xlsx</v>
      </c>
      <c r="K44" s="5"/>
      <c r="M44" s="106" t="s">
        <v>60</v>
      </c>
      <c r="N44" s="10">
        <v>47</v>
      </c>
      <c r="O44" s="10">
        <v>5</v>
      </c>
      <c r="P44" s="10">
        <v>1</v>
      </c>
    </row>
    <row r="45" spans="1:20" x14ac:dyDescent="0.25">
      <c r="D45" s="95">
        <v>41</v>
      </c>
      <c r="E45" s="10"/>
      <c r="F45" s="10"/>
      <c r="G45" s="10"/>
      <c r="H45" s="5" t="str">
        <f t="shared" si="0"/>
        <v>det_</v>
      </c>
      <c r="I45" s="5" t="str">
        <f t="shared" si="1"/>
        <v>W:\Performance Measurement\1. Freeway\1. raw data\2012\data files\det_.txt</v>
      </c>
      <c r="J45" s="5" t="str">
        <f t="shared" si="2"/>
        <v>W:\Performance Measurement\1. Freeway\1. raw data\2012\data files\det_.xlsx</v>
      </c>
      <c r="K45" s="5"/>
      <c r="M45" s="106" t="s">
        <v>60</v>
      </c>
      <c r="N45" s="10">
        <v>41</v>
      </c>
      <c r="O45" s="10">
        <v>6</v>
      </c>
      <c r="P45" s="10">
        <v>1</v>
      </c>
    </row>
    <row r="46" spans="1:20" x14ac:dyDescent="0.25">
      <c r="D46" s="95">
        <v>42</v>
      </c>
      <c r="E46" s="10"/>
      <c r="F46" s="10"/>
      <c r="G46" s="10"/>
      <c r="H46" s="5" t="str">
        <f t="shared" si="0"/>
        <v>det_</v>
      </c>
      <c r="I46" s="5" t="str">
        <f t="shared" si="1"/>
        <v>W:\Performance Measurement\1. Freeway\1. raw data\2012\data files\det_.txt</v>
      </c>
      <c r="J46" s="5" t="str">
        <f t="shared" si="2"/>
        <v>W:\Performance Measurement\1. Freeway\1. raw data\2012\data files\det_.xlsx</v>
      </c>
      <c r="K46" s="5"/>
      <c r="M46" s="106" t="s">
        <v>60</v>
      </c>
      <c r="N46" s="10">
        <v>144</v>
      </c>
      <c r="O46" s="10">
        <v>3</v>
      </c>
      <c r="P46" s="10">
        <v>1</v>
      </c>
    </row>
    <row r="47" spans="1:20" x14ac:dyDescent="0.25">
      <c r="D47" s="95">
        <v>43</v>
      </c>
      <c r="E47" s="10"/>
      <c r="F47" s="10"/>
      <c r="G47" s="10"/>
      <c r="H47" s="5" t="str">
        <f t="shared" si="0"/>
        <v>det_</v>
      </c>
      <c r="I47" s="5" t="str">
        <f t="shared" si="1"/>
        <v>W:\Performance Measurement\1. Freeway\1. raw data\2012\data files\det_.txt</v>
      </c>
      <c r="J47" s="5" t="str">
        <f t="shared" si="2"/>
        <v>W:\Performance Measurement\1. Freeway\1. raw data\2012\data files\det_.xlsx</v>
      </c>
      <c r="K47" s="5"/>
      <c r="M47" s="106" t="s">
        <v>60</v>
      </c>
      <c r="N47" s="10">
        <v>92</v>
      </c>
      <c r="O47" s="10">
        <v>3</v>
      </c>
      <c r="P47" s="10">
        <v>1</v>
      </c>
    </row>
    <row r="48" spans="1:20" x14ac:dyDescent="0.25">
      <c r="D48" s="95">
        <v>44</v>
      </c>
      <c r="E48" s="10"/>
      <c r="F48" s="10"/>
      <c r="G48" s="10"/>
      <c r="H48" s="5" t="str">
        <f t="shared" si="0"/>
        <v>det_</v>
      </c>
      <c r="I48" s="5" t="str">
        <f t="shared" si="1"/>
        <v>W:\Performance Measurement\1. Freeway\1. raw data\2012\data files\det_.txt</v>
      </c>
      <c r="J48" s="5" t="str">
        <f t="shared" si="2"/>
        <v>W:\Performance Measurement\1. Freeway\1. raw data\2012\data files\det_.xlsx</v>
      </c>
      <c r="K48" s="5"/>
      <c r="M48" s="106" t="s">
        <v>60</v>
      </c>
      <c r="N48" s="10">
        <v>141</v>
      </c>
      <c r="O48" s="10">
        <v>4</v>
      </c>
      <c r="P48" s="10">
        <v>1</v>
      </c>
    </row>
    <row r="49" spans="4:16" x14ac:dyDescent="0.25">
      <c r="D49" s="95">
        <v>45</v>
      </c>
      <c r="E49" s="10"/>
      <c r="F49" s="10"/>
      <c r="G49" s="10"/>
      <c r="H49" s="5" t="str">
        <f t="shared" si="0"/>
        <v>det_</v>
      </c>
      <c r="I49" s="5" t="str">
        <f t="shared" si="1"/>
        <v>W:\Performance Measurement\1. Freeway\1. raw data\2012\data files\det_.txt</v>
      </c>
      <c r="J49" s="5" t="str">
        <f t="shared" si="2"/>
        <v>W:\Performance Measurement\1. Freeway\1. raw data\2012\data files\det_.xlsx</v>
      </c>
      <c r="K49" s="5"/>
      <c r="M49" s="106" t="s">
        <v>61</v>
      </c>
      <c r="N49" s="10">
        <v>396</v>
      </c>
      <c r="O49" s="10">
        <v>3</v>
      </c>
      <c r="P49" s="10">
        <v>1</v>
      </c>
    </row>
    <row r="50" spans="4:16" x14ac:dyDescent="0.25">
      <c r="D50" s="95">
        <v>46</v>
      </c>
      <c r="E50" s="10"/>
      <c r="F50" s="10"/>
      <c r="G50" s="10"/>
      <c r="H50" s="5" t="str">
        <f t="shared" si="0"/>
        <v>det_</v>
      </c>
      <c r="I50" s="5" t="str">
        <f t="shared" si="1"/>
        <v>W:\Performance Measurement\1. Freeway\1. raw data\2012\data files\det_.txt</v>
      </c>
      <c r="J50" s="5" t="str">
        <f t="shared" si="2"/>
        <v>W:\Performance Measurement\1. Freeway\1. raw data\2012\data files\det_.xlsx</v>
      </c>
      <c r="K50" s="5"/>
      <c r="M50" s="106" t="s">
        <v>61</v>
      </c>
      <c r="N50" s="10">
        <v>397</v>
      </c>
      <c r="O50" s="10">
        <v>4</v>
      </c>
      <c r="P50" s="10">
        <v>1</v>
      </c>
    </row>
    <row r="51" spans="4:16" x14ac:dyDescent="0.25">
      <c r="D51" s="95">
        <v>47</v>
      </c>
      <c r="E51" s="10"/>
      <c r="F51" s="10"/>
      <c r="G51" s="10"/>
      <c r="H51" s="5" t="str">
        <f t="shared" si="0"/>
        <v>det_</v>
      </c>
      <c r="I51" s="5" t="str">
        <f t="shared" si="1"/>
        <v>W:\Performance Measurement\1. Freeway\1. raw data\2012\data files\det_.txt</v>
      </c>
      <c r="J51" s="5" t="str">
        <f t="shared" si="2"/>
        <v>W:\Performance Measurement\1. Freeway\1. raw data\2012\data files\det_.xlsx</v>
      </c>
      <c r="K51" s="5"/>
      <c r="M51" s="106" t="s">
        <v>61</v>
      </c>
      <c r="N51" s="10">
        <v>399</v>
      </c>
      <c r="O51" s="10">
        <v>4</v>
      </c>
      <c r="P51" s="10">
        <v>1</v>
      </c>
    </row>
    <row r="52" spans="4:16" x14ac:dyDescent="0.25">
      <c r="D52" s="95">
        <v>48</v>
      </c>
      <c r="E52" s="10"/>
      <c r="F52" s="10"/>
      <c r="G52" s="10"/>
      <c r="H52" s="5" t="str">
        <f t="shared" si="0"/>
        <v>det_</v>
      </c>
      <c r="I52" s="5" t="str">
        <f t="shared" si="1"/>
        <v>W:\Performance Measurement\1. Freeway\1. raw data\2012\data files\det_.txt</v>
      </c>
      <c r="J52" s="5" t="str">
        <f t="shared" si="2"/>
        <v>W:\Performance Measurement\1. Freeway\1. raw data\2012\data files\det_.xlsx</v>
      </c>
      <c r="K52" s="5"/>
      <c r="M52" s="106" t="s">
        <v>61</v>
      </c>
      <c r="N52" s="10">
        <v>401</v>
      </c>
      <c r="O52" s="10">
        <v>4</v>
      </c>
      <c r="P52" s="10">
        <v>1</v>
      </c>
    </row>
    <row r="53" spans="4:16" x14ac:dyDescent="0.25">
      <c r="D53" s="95">
        <v>49</v>
      </c>
      <c r="E53" s="10"/>
      <c r="F53" s="10"/>
      <c r="G53" s="10"/>
      <c r="H53" s="5" t="str">
        <f t="shared" si="0"/>
        <v>det_</v>
      </c>
      <c r="I53" s="5" t="str">
        <f t="shared" si="1"/>
        <v>W:\Performance Measurement\1. Freeway\1. raw data\2012\data files\det_.txt</v>
      </c>
      <c r="J53" s="5" t="str">
        <f t="shared" si="2"/>
        <v>W:\Performance Measurement\1. Freeway\1. raw data\2012\data files\det_.xlsx</v>
      </c>
      <c r="K53" s="5"/>
      <c r="M53" s="106" t="s">
        <v>61</v>
      </c>
      <c r="N53" s="10">
        <v>403</v>
      </c>
      <c r="O53" s="10">
        <v>3</v>
      </c>
      <c r="P53" s="10">
        <v>1</v>
      </c>
    </row>
    <row r="54" spans="4:16" x14ac:dyDescent="0.25">
      <c r="D54" s="95">
        <v>50</v>
      </c>
      <c r="E54" s="10"/>
      <c r="F54" s="10"/>
      <c r="G54" s="10"/>
      <c r="H54" s="5" t="str">
        <f t="shared" si="0"/>
        <v>det_</v>
      </c>
      <c r="I54" s="5" t="str">
        <f t="shared" si="1"/>
        <v>W:\Performance Measurement\1. Freeway\1. raw data\2012\data files\det_.txt</v>
      </c>
      <c r="J54" s="5" t="str">
        <f t="shared" si="2"/>
        <v>W:\Performance Measurement\1. Freeway\1. raw data\2012\data files\det_.xlsx</v>
      </c>
      <c r="K54" s="5"/>
      <c r="M54" s="106" t="s">
        <v>61</v>
      </c>
      <c r="N54" s="10">
        <v>406</v>
      </c>
      <c r="O54" s="10">
        <v>3</v>
      </c>
      <c r="P54" s="10">
        <v>1</v>
      </c>
    </row>
    <row r="55" spans="4:16" x14ac:dyDescent="0.25">
      <c r="D55" s="95">
        <v>51</v>
      </c>
      <c r="E55" s="10"/>
      <c r="F55" s="10"/>
      <c r="G55" s="10"/>
      <c r="H55" s="5" t="str">
        <f t="shared" si="0"/>
        <v>det_</v>
      </c>
      <c r="I55" s="5" t="str">
        <f t="shared" si="1"/>
        <v>W:\Performance Measurement\1. Freeway\1. raw data\2012\data files\det_.txt</v>
      </c>
      <c r="J55" s="5" t="str">
        <f t="shared" si="2"/>
        <v>W:\Performance Measurement\1. Freeway\1. raw data\2012\data files\det_.xlsx</v>
      </c>
      <c r="K55" s="5"/>
      <c r="M55" s="106" t="s">
        <v>61</v>
      </c>
      <c r="N55" s="10">
        <v>409</v>
      </c>
      <c r="O55" s="10">
        <v>5</v>
      </c>
      <c r="P55" s="10">
        <v>1</v>
      </c>
    </row>
    <row r="56" spans="4:16" x14ac:dyDescent="0.25">
      <c r="D56" s="95">
        <v>52</v>
      </c>
      <c r="E56" s="10"/>
      <c r="F56" s="10"/>
      <c r="G56" s="10"/>
      <c r="H56" s="5" t="str">
        <f t="shared" si="0"/>
        <v>det_</v>
      </c>
      <c r="I56" s="5" t="str">
        <f t="shared" si="1"/>
        <v>W:\Performance Measurement\1. Freeway\1. raw data\2012\data files\det_.txt</v>
      </c>
      <c r="J56" s="5" t="str">
        <f t="shared" si="2"/>
        <v>W:\Performance Measurement\1. Freeway\1. raw data\2012\data files\det_.xlsx</v>
      </c>
      <c r="K56" s="5"/>
      <c r="M56" s="106" t="s">
        <v>61</v>
      </c>
      <c r="N56" s="10">
        <v>410</v>
      </c>
      <c r="O56" s="10">
        <v>4</v>
      </c>
      <c r="P56" s="10">
        <v>1</v>
      </c>
    </row>
    <row r="57" spans="4:16" x14ac:dyDescent="0.25">
      <c r="D57" s="95">
        <v>53</v>
      </c>
      <c r="E57" s="10"/>
      <c r="F57" s="10"/>
      <c r="G57" s="10"/>
      <c r="H57" s="5" t="str">
        <f t="shared" si="0"/>
        <v>det_</v>
      </c>
      <c r="I57" s="5" t="str">
        <f t="shared" si="1"/>
        <v>W:\Performance Measurement\1. Freeway\1. raw data\2012\data files\det_.txt</v>
      </c>
      <c r="J57" s="5" t="str">
        <f t="shared" si="2"/>
        <v>W:\Performance Measurement\1. Freeway\1. raw data\2012\data files\det_.xlsx</v>
      </c>
      <c r="K57" s="5"/>
      <c r="M57" s="106" t="s">
        <v>61</v>
      </c>
      <c r="N57" s="10">
        <v>411</v>
      </c>
      <c r="O57" s="10">
        <v>3</v>
      </c>
      <c r="P57" s="10">
        <v>1</v>
      </c>
    </row>
    <row r="58" spans="4:16" x14ac:dyDescent="0.25">
      <c r="D58" s="95">
        <v>54</v>
      </c>
      <c r="E58" s="10"/>
      <c r="F58" s="10"/>
      <c r="G58" s="10"/>
      <c r="H58" s="5" t="str">
        <f t="shared" si="0"/>
        <v>det_</v>
      </c>
      <c r="I58" s="5" t="str">
        <f t="shared" si="1"/>
        <v>W:\Performance Measurement\1. Freeway\1. raw data\2012\data files\det_.txt</v>
      </c>
      <c r="J58" s="5" t="str">
        <f t="shared" si="2"/>
        <v>W:\Performance Measurement\1. Freeway\1. raw data\2012\data files\det_.xlsx</v>
      </c>
      <c r="K58" s="5"/>
      <c r="M58" s="106" t="s">
        <v>61</v>
      </c>
      <c r="N58" s="10">
        <v>414</v>
      </c>
      <c r="O58" s="10">
        <v>3</v>
      </c>
      <c r="P58" s="10">
        <v>1</v>
      </c>
    </row>
    <row r="59" spans="4:16" x14ac:dyDescent="0.25">
      <c r="D59" s="95">
        <v>55</v>
      </c>
      <c r="E59" s="48">
        <v>1</v>
      </c>
      <c r="F59" s="10">
        <v>4</v>
      </c>
      <c r="G59" s="10">
        <v>1</v>
      </c>
      <c r="H59" s="5" t="str">
        <f t="shared" si="0"/>
        <v>det_1</v>
      </c>
      <c r="I59" s="5" t="str">
        <f t="shared" si="1"/>
        <v>W:\Performance Measurement\1. Freeway\1. raw data\2012\data files\det_1.txt</v>
      </c>
      <c r="J59" s="5" t="str">
        <f t="shared" si="2"/>
        <v>W:\Performance Measurement\1. Freeway\1. raw data\2012\data files\det_1.xlsx</v>
      </c>
      <c r="K59" s="5"/>
      <c r="M59" s="106" t="s">
        <v>61</v>
      </c>
      <c r="N59" s="10">
        <v>417</v>
      </c>
      <c r="O59" s="10">
        <v>3</v>
      </c>
      <c r="P59" s="10">
        <v>1</v>
      </c>
    </row>
    <row r="60" spans="4:16" x14ac:dyDescent="0.25">
      <c r="D60" s="95">
        <v>56</v>
      </c>
      <c r="E60" s="48">
        <v>2</v>
      </c>
      <c r="F60" s="10">
        <v>5</v>
      </c>
      <c r="G60" s="10">
        <v>1</v>
      </c>
      <c r="H60" s="5" t="str">
        <f t="shared" si="0"/>
        <v>det_2</v>
      </c>
      <c r="I60" s="5" t="str">
        <f t="shared" si="1"/>
        <v>W:\Performance Measurement\1. Freeway\1. raw data\2012\data files\det_2.txt</v>
      </c>
      <c r="J60" s="5" t="str">
        <f t="shared" si="2"/>
        <v>W:\Performance Measurement\1. Freeway\1. raw data\2012\data files\det_2.xlsx</v>
      </c>
      <c r="K60" s="5"/>
      <c r="M60" s="106" t="s">
        <v>61</v>
      </c>
      <c r="N60" s="10">
        <v>420</v>
      </c>
      <c r="O60" s="10">
        <v>4</v>
      </c>
      <c r="P60" s="10">
        <v>1</v>
      </c>
    </row>
    <row r="61" spans="4:16" x14ac:dyDescent="0.25">
      <c r="D61" s="95">
        <v>57</v>
      </c>
      <c r="E61" s="48">
        <v>4</v>
      </c>
      <c r="F61" s="10">
        <v>4</v>
      </c>
      <c r="G61" s="10">
        <v>1</v>
      </c>
      <c r="H61" s="5" t="str">
        <f t="shared" si="0"/>
        <v>det_4</v>
      </c>
      <c r="I61" s="5" t="str">
        <f t="shared" si="1"/>
        <v>W:\Performance Measurement\1. Freeway\1. raw data\2012\data files\det_4.txt</v>
      </c>
      <c r="J61" s="5" t="str">
        <f t="shared" si="2"/>
        <v>W:\Performance Measurement\1. Freeway\1. raw data\2012\data files\det_4.xlsx</v>
      </c>
      <c r="K61" s="5"/>
      <c r="M61" s="106" t="s">
        <v>61</v>
      </c>
      <c r="N61" s="10">
        <v>423</v>
      </c>
      <c r="O61" s="10">
        <v>3</v>
      </c>
      <c r="P61" s="10">
        <v>1</v>
      </c>
    </row>
    <row r="62" spans="4:16" x14ac:dyDescent="0.25">
      <c r="D62" s="95">
        <v>58</v>
      </c>
      <c r="E62" s="48">
        <v>8</v>
      </c>
      <c r="F62" s="10">
        <v>4</v>
      </c>
      <c r="G62" s="10">
        <v>1</v>
      </c>
      <c r="H62" s="5" t="str">
        <f t="shared" si="0"/>
        <v>det_8</v>
      </c>
      <c r="I62" s="5" t="str">
        <f t="shared" si="1"/>
        <v>W:\Performance Measurement\1. Freeway\1. raw data\2012\data files\det_8.txt</v>
      </c>
      <c r="J62" s="5" t="str">
        <f t="shared" si="2"/>
        <v>W:\Performance Measurement\1. Freeway\1. raw data\2012\data files\det_8.xlsx</v>
      </c>
      <c r="K62" s="5"/>
      <c r="M62" s="106" t="s">
        <v>62</v>
      </c>
      <c r="N62" s="10">
        <v>39</v>
      </c>
      <c r="O62" s="10">
        <v>3</v>
      </c>
      <c r="P62" s="10">
        <v>0</v>
      </c>
    </row>
    <row r="63" spans="4:16" x14ac:dyDescent="0.25">
      <c r="D63" s="95">
        <v>59</v>
      </c>
      <c r="E63" s="48">
        <v>11</v>
      </c>
      <c r="F63" s="10">
        <v>4</v>
      </c>
      <c r="G63" s="10">
        <v>1</v>
      </c>
      <c r="H63" s="5" t="str">
        <f t="shared" si="0"/>
        <v>det_11</v>
      </c>
      <c r="I63" s="5" t="str">
        <f t="shared" si="1"/>
        <v>W:\Performance Measurement\1. Freeway\1. raw data\2012\data files\det_11.txt</v>
      </c>
      <c r="J63" s="5" t="str">
        <f t="shared" si="2"/>
        <v>W:\Performance Measurement\1. Freeway\1. raw data\2012\data files\det_11.xlsx</v>
      </c>
      <c r="K63" s="5"/>
      <c r="M63" s="106" t="s">
        <v>62</v>
      </c>
      <c r="N63" s="10">
        <v>153</v>
      </c>
      <c r="O63" s="10">
        <v>3</v>
      </c>
      <c r="P63" s="10">
        <v>0</v>
      </c>
    </row>
    <row r="64" spans="4:16" x14ac:dyDescent="0.25">
      <c r="D64" s="95">
        <v>60</v>
      </c>
      <c r="E64" s="48">
        <v>14</v>
      </c>
      <c r="F64" s="10">
        <v>4</v>
      </c>
      <c r="G64" s="10">
        <v>1</v>
      </c>
      <c r="H64" s="5" t="str">
        <f t="shared" si="0"/>
        <v>det_14</v>
      </c>
      <c r="I64" s="5" t="str">
        <f t="shared" si="1"/>
        <v>W:\Performance Measurement\1. Freeway\1. raw data\2012\data files\det_14.txt</v>
      </c>
      <c r="J64" s="5" t="str">
        <f t="shared" si="2"/>
        <v>W:\Performance Measurement\1. Freeway\1. raw data\2012\data files\det_14.xlsx</v>
      </c>
      <c r="K64" s="5"/>
      <c r="M64" s="106" t="s">
        <v>62</v>
      </c>
      <c r="N64" s="10">
        <v>98</v>
      </c>
      <c r="O64" s="10">
        <v>3</v>
      </c>
      <c r="P64" s="10">
        <v>0</v>
      </c>
    </row>
    <row r="65" spans="4:16" x14ac:dyDescent="0.25">
      <c r="D65" s="95">
        <v>61</v>
      </c>
      <c r="E65" s="48">
        <v>17</v>
      </c>
      <c r="F65" s="10">
        <v>4</v>
      </c>
      <c r="G65" s="10">
        <v>1</v>
      </c>
      <c r="H65" s="5" t="str">
        <f t="shared" si="0"/>
        <v>det_17</v>
      </c>
      <c r="I65" s="5" t="str">
        <f t="shared" si="1"/>
        <v>W:\Performance Measurement\1. Freeway\1. raw data\2012\data files\det_17.txt</v>
      </c>
      <c r="J65" s="5" t="str">
        <f t="shared" si="2"/>
        <v>W:\Performance Measurement\1. Freeway\1. raw data\2012\data files\det_17.xlsx</v>
      </c>
      <c r="K65" s="5"/>
      <c r="M65" s="106" t="s">
        <v>62</v>
      </c>
      <c r="N65" s="10">
        <v>104</v>
      </c>
      <c r="O65" s="10">
        <v>3</v>
      </c>
      <c r="P65" s="10">
        <v>0</v>
      </c>
    </row>
    <row r="66" spans="4:16" x14ac:dyDescent="0.25">
      <c r="D66" s="95">
        <v>62</v>
      </c>
      <c r="E66" s="48">
        <v>20</v>
      </c>
      <c r="F66" s="10">
        <v>4</v>
      </c>
      <c r="G66" s="10">
        <v>1</v>
      </c>
      <c r="H66" s="5" t="str">
        <f t="shared" si="0"/>
        <v>det_20</v>
      </c>
      <c r="I66" s="5" t="str">
        <f t="shared" si="1"/>
        <v>W:\Performance Measurement\1. Freeway\1. raw data\2012\data files\det_20.txt</v>
      </c>
      <c r="J66" s="5" t="str">
        <f t="shared" si="2"/>
        <v>W:\Performance Measurement\1. Freeway\1. raw data\2012\data files\det_20.xlsx</v>
      </c>
      <c r="K66" s="5"/>
      <c r="M66" s="106" t="s">
        <v>62</v>
      </c>
      <c r="N66" s="10">
        <v>154</v>
      </c>
      <c r="O66" s="10">
        <v>3</v>
      </c>
      <c r="P66" s="10">
        <v>0</v>
      </c>
    </row>
    <row r="67" spans="4:16" x14ac:dyDescent="0.25">
      <c r="D67" s="95">
        <v>63</v>
      </c>
      <c r="E67" s="48">
        <v>24</v>
      </c>
      <c r="F67" s="10">
        <v>4</v>
      </c>
      <c r="G67" s="10">
        <v>1</v>
      </c>
      <c r="H67" s="5" t="str">
        <f t="shared" si="0"/>
        <v>det_24</v>
      </c>
      <c r="I67" s="5" t="str">
        <f t="shared" si="1"/>
        <v>W:\Performance Measurement\1. Freeway\1. raw data\2012\data files\det_24.txt</v>
      </c>
      <c r="J67" s="5" t="str">
        <f t="shared" si="2"/>
        <v>W:\Performance Measurement\1. Freeway\1. raw data\2012\data files\det_24.xlsx</v>
      </c>
      <c r="K67" s="5"/>
      <c r="M67" s="106" t="s">
        <v>62</v>
      </c>
      <c r="N67" s="10">
        <v>155</v>
      </c>
      <c r="O67" s="10">
        <v>3</v>
      </c>
      <c r="P67" s="10">
        <v>0</v>
      </c>
    </row>
    <row r="68" spans="4:16" x14ac:dyDescent="0.25">
      <c r="D68" s="95">
        <v>64</v>
      </c>
      <c r="E68" s="48">
        <v>25</v>
      </c>
      <c r="F68" s="10">
        <v>4</v>
      </c>
      <c r="G68" s="10">
        <v>1</v>
      </c>
      <c r="H68" s="5" t="str">
        <f t="shared" si="0"/>
        <v>det_25</v>
      </c>
      <c r="I68" s="5" t="str">
        <f t="shared" si="1"/>
        <v>W:\Performance Measurement\1. Freeway\1. raw data\2012\data files\det_25.txt</v>
      </c>
      <c r="J68" s="5" t="str">
        <f t="shared" si="2"/>
        <v>W:\Performance Measurement\1. Freeway\1. raw data\2012\data files\det_25.xlsx</v>
      </c>
      <c r="K68" s="5"/>
      <c r="M68" s="106" t="s">
        <v>62</v>
      </c>
      <c r="N68" s="10">
        <v>156</v>
      </c>
      <c r="O68" s="10">
        <v>3</v>
      </c>
      <c r="P68" s="10">
        <v>0</v>
      </c>
    </row>
    <row r="69" spans="4:16" x14ac:dyDescent="0.25">
      <c r="D69" s="95">
        <v>65</v>
      </c>
      <c r="E69" s="48">
        <v>29</v>
      </c>
      <c r="F69" s="10">
        <v>4</v>
      </c>
      <c r="G69" s="10">
        <v>1</v>
      </c>
      <c r="H69" s="5" t="str">
        <f t="shared" ref="H69:H132" si="5">"det_"&amp;E69&amp;""</f>
        <v>det_29</v>
      </c>
      <c r="I69" s="5" t="str">
        <f t="shared" ref="I69:I132" si="6">$B$5&amp;"\"&amp;H69&amp;".txt"</f>
        <v>W:\Performance Measurement\1. Freeway\1. raw data\2012\data files\det_29.txt</v>
      </c>
      <c r="J69" s="5" t="str">
        <f t="shared" ref="J69:J132" si="7">$B$5&amp;"\"&amp;H69&amp;".xlsx"</f>
        <v>W:\Performance Measurement\1. Freeway\1. raw data\2012\data files\det_29.xlsx</v>
      </c>
      <c r="K69" s="5"/>
      <c r="M69" s="106" t="s">
        <v>62</v>
      </c>
      <c r="N69" s="10">
        <v>121</v>
      </c>
      <c r="O69" s="10">
        <v>3</v>
      </c>
      <c r="P69" s="10">
        <v>0</v>
      </c>
    </row>
    <row r="70" spans="4:16" x14ac:dyDescent="0.25">
      <c r="D70" s="95">
        <v>66</v>
      </c>
      <c r="E70" s="48">
        <v>30</v>
      </c>
      <c r="F70" s="10">
        <v>4</v>
      </c>
      <c r="G70" s="10">
        <v>1</v>
      </c>
      <c r="H70" s="5" t="str">
        <f t="shared" si="5"/>
        <v>det_30</v>
      </c>
      <c r="I70" s="5" t="str">
        <f t="shared" si="6"/>
        <v>W:\Performance Measurement\1. Freeway\1. raw data\2012\data files\det_30.txt</v>
      </c>
      <c r="J70" s="5" t="str">
        <f t="shared" si="7"/>
        <v>W:\Performance Measurement\1. Freeway\1. raw data\2012\data files\det_30.xlsx</v>
      </c>
      <c r="K70" s="5"/>
      <c r="M70" s="106" t="s">
        <v>62</v>
      </c>
      <c r="N70" s="10">
        <v>123</v>
      </c>
      <c r="O70" s="10">
        <v>3</v>
      </c>
      <c r="P70" s="10">
        <v>0</v>
      </c>
    </row>
    <row r="71" spans="4:16" x14ac:dyDescent="0.25">
      <c r="D71" s="95">
        <v>67</v>
      </c>
      <c r="E71" s="48">
        <v>35</v>
      </c>
      <c r="F71" s="10">
        <v>4</v>
      </c>
      <c r="G71" s="10">
        <v>1</v>
      </c>
      <c r="H71" s="5" t="str">
        <f t="shared" si="5"/>
        <v>det_35</v>
      </c>
      <c r="I71" s="5" t="str">
        <f t="shared" si="6"/>
        <v>W:\Performance Measurement\1. Freeway\1. raw data\2012\data files\det_35.txt</v>
      </c>
      <c r="J71" s="5" t="str">
        <f t="shared" si="7"/>
        <v>W:\Performance Measurement\1. Freeway\1. raw data\2012\data files\det_35.xlsx</v>
      </c>
      <c r="K71" s="5"/>
      <c r="M71" s="106" t="s">
        <v>62</v>
      </c>
      <c r="N71" s="10">
        <v>122</v>
      </c>
      <c r="O71" s="10">
        <v>3</v>
      </c>
      <c r="P71" s="10">
        <v>0</v>
      </c>
    </row>
    <row r="72" spans="4:16" x14ac:dyDescent="0.25">
      <c r="D72" s="95">
        <v>68</v>
      </c>
      <c r="E72" s="48">
        <v>36</v>
      </c>
      <c r="F72" s="10">
        <v>3</v>
      </c>
      <c r="G72" s="10">
        <v>0</v>
      </c>
      <c r="H72" s="5" t="str">
        <f t="shared" si="5"/>
        <v>det_36</v>
      </c>
      <c r="I72" s="5" t="str">
        <f t="shared" si="6"/>
        <v>W:\Performance Measurement\1. Freeway\1. raw data\2012\data files\det_36.txt</v>
      </c>
      <c r="J72" s="5" t="str">
        <f t="shared" si="7"/>
        <v>W:\Performance Measurement\1. Freeway\1. raw data\2012\data files\det_36.xlsx</v>
      </c>
      <c r="K72" s="5"/>
      <c r="M72" s="106" t="s">
        <v>62</v>
      </c>
      <c r="N72" s="10">
        <v>118</v>
      </c>
      <c r="O72" s="10">
        <v>3</v>
      </c>
      <c r="P72" s="10">
        <v>0</v>
      </c>
    </row>
    <row r="73" spans="4:16" x14ac:dyDescent="0.25">
      <c r="D73" s="95">
        <v>69</v>
      </c>
      <c r="E73" s="48">
        <v>39</v>
      </c>
      <c r="F73" s="10">
        <v>3</v>
      </c>
      <c r="G73" s="10">
        <v>0</v>
      </c>
      <c r="H73" s="5" t="str">
        <f t="shared" si="5"/>
        <v>det_39</v>
      </c>
      <c r="I73" s="5" t="str">
        <f t="shared" si="6"/>
        <v>W:\Performance Measurement\1. Freeway\1. raw data\2012\data files\det_39.txt</v>
      </c>
      <c r="J73" s="5" t="str">
        <f t="shared" si="7"/>
        <v>W:\Performance Measurement\1. Freeway\1. raw data\2012\data files\det_39.xlsx</v>
      </c>
      <c r="K73" s="5"/>
      <c r="M73" s="106" t="s">
        <v>62</v>
      </c>
      <c r="N73" s="10">
        <v>114</v>
      </c>
      <c r="O73" s="10">
        <v>3</v>
      </c>
      <c r="P73" s="10">
        <v>0</v>
      </c>
    </row>
    <row r="74" spans="4:16" x14ac:dyDescent="0.25">
      <c r="D74" s="95">
        <v>70</v>
      </c>
      <c r="E74" s="48">
        <v>40</v>
      </c>
      <c r="F74" s="10">
        <v>5</v>
      </c>
      <c r="G74" s="10">
        <v>1</v>
      </c>
      <c r="H74" s="5" t="str">
        <f t="shared" si="5"/>
        <v>det_40</v>
      </c>
      <c r="I74" s="5" t="str">
        <f t="shared" si="6"/>
        <v>W:\Performance Measurement\1. Freeway\1. raw data\2012\data files\det_40.txt</v>
      </c>
      <c r="J74" s="5" t="str">
        <f t="shared" si="7"/>
        <v>W:\Performance Measurement\1. Freeway\1. raw data\2012\data files\det_40.xlsx</v>
      </c>
      <c r="K74" s="5"/>
      <c r="M74" s="106" t="s">
        <v>62</v>
      </c>
      <c r="N74" s="10">
        <v>108</v>
      </c>
      <c r="O74" s="10">
        <v>3</v>
      </c>
      <c r="P74" s="10">
        <v>0</v>
      </c>
    </row>
    <row r="75" spans="4:16" x14ac:dyDescent="0.25">
      <c r="D75" s="95">
        <v>71</v>
      </c>
      <c r="E75" s="48">
        <v>41</v>
      </c>
      <c r="F75" s="10">
        <v>6</v>
      </c>
      <c r="G75" s="10">
        <v>1</v>
      </c>
      <c r="H75" s="5" t="str">
        <f t="shared" si="5"/>
        <v>det_41</v>
      </c>
      <c r="I75" s="5" t="str">
        <f t="shared" si="6"/>
        <v>W:\Performance Measurement\1. Freeway\1. raw data\2012\data files\det_41.txt</v>
      </c>
      <c r="J75" s="5" t="str">
        <f t="shared" si="7"/>
        <v>W:\Performance Measurement\1. Freeway\1. raw data\2012\data files\det_41.xlsx</v>
      </c>
      <c r="K75" s="5"/>
      <c r="M75" s="106" t="s">
        <v>62</v>
      </c>
      <c r="N75" s="10">
        <v>103</v>
      </c>
      <c r="O75" s="10">
        <v>3</v>
      </c>
      <c r="P75" s="10">
        <v>0</v>
      </c>
    </row>
    <row r="76" spans="4:16" x14ac:dyDescent="0.25">
      <c r="D76" s="95">
        <v>72</v>
      </c>
      <c r="E76" s="48">
        <v>46</v>
      </c>
      <c r="F76" s="10">
        <v>5</v>
      </c>
      <c r="G76" s="10">
        <v>1</v>
      </c>
      <c r="H76" s="5" t="str">
        <f t="shared" si="5"/>
        <v>det_46</v>
      </c>
      <c r="I76" s="5" t="str">
        <f t="shared" si="6"/>
        <v>W:\Performance Measurement\1. Freeway\1. raw data\2012\data files\det_46.txt</v>
      </c>
      <c r="J76" s="5" t="str">
        <f t="shared" si="7"/>
        <v>W:\Performance Measurement\1. Freeway\1. raw data\2012\data files\det_46.xlsx</v>
      </c>
      <c r="K76" s="5"/>
      <c r="M76" s="106" t="s">
        <v>62</v>
      </c>
      <c r="N76" s="10">
        <v>97</v>
      </c>
      <c r="O76" s="10">
        <v>3</v>
      </c>
      <c r="P76" s="10">
        <v>0</v>
      </c>
    </row>
    <row r="77" spans="4:16" x14ac:dyDescent="0.25">
      <c r="D77" s="95">
        <v>73</v>
      </c>
      <c r="E77" s="48">
        <v>47</v>
      </c>
      <c r="F77" s="10">
        <v>5</v>
      </c>
      <c r="G77" s="10">
        <v>1</v>
      </c>
      <c r="H77" s="5" t="str">
        <f t="shared" si="5"/>
        <v>det_47</v>
      </c>
      <c r="I77" s="5" t="str">
        <f t="shared" si="6"/>
        <v>W:\Performance Measurement\1. Freeway\1. raw data\2012\data files\det_47.txt</v>
      </c>
      <c r="J77" s="5" t="str">
        <f t="shared" si="7"/>
        <v>W:\Performance Measurement\1. Freeway\1. raw data\2012\data files\det_47.xlsx</v>
      </c>
      <c r="K77" s="5"/>
      <c r="M77" s="106" t="s">
        <v>62</v>
      </c>
      <c r="N77" s="10">
        <v>36</v>
      </c>
      <c r="O77" s="10">
        <v>3</v>
      </c>
      <c r="P77" s="10">
        <v>0</v>
      </c>
    </row>
    <row r="78" spans="4:16" x14ac:dyDescent="0.25">
      <c r="D78" s="95">
        <v>74</v>
      </c>
      <c r="E78" s="48">
        <v>50</v>
      </c>
      <c r="F78" s="10">
        <v>4</v>
      </c>
      <c r="G78" s="10">
        <v>1</v>
      </c>
      <c r="H78" s="5" t="str">
        <f t="shared" si="5"/>
        <v>det_50</v>
      </c>
      <c r="I78" s="5" t="str">
        <f t="shared" si="6"/>
        <v>W:\Performance Measurement\1. Freeway\1. raw data\2012\data files\det_50.txt</v>
      </c>
      <c r="J78" s="5" t="str">
        <f t="shared" si="7"/>
        <v>W:\Performance Measurement\1. Freeway\1. raw data\2012\data files\det_50.xlsx</v>
      </c>
      <c r="K78" s="5"/>
      <c r="M78" s="106" t="s">
        <v>63</v>
      </c>
      <c r="N78" s="10">
        <v>161</v>
      </c>
      <c r="O78" s="10">
        <v>2</v>
      </c>
      <c r="P78" s="10">
        <v>0</v>
      </c>
    </row>
    <row r="79" spans="4:16" x14ac:dyDescent="0.25">
      <c r="D79" s="95">
        <v>75</v>
      </c>
      <c r="E79" s="48">
        <v>53</v>
      </c>
      <c r="F79" s="10">
        <v>4</v>
      </c>
      <c r="G79" s="10">
        <v>1</v>
      </c>
      <c r="H79" s="5" t="str">
        <f t="shared" si="5"/>
        <v>det_53</v>
      </c>
      <c r="I79" s="5" t="str">
        <f t="shared" si="6"/>
        <v>W:\Performance Measurement\1. Freeway\1. raw data\2012\data files\det_53.txt</v>
      </c>
      <c r="J79" s="5" t="str">
        <f t="shared" si="7"/>
        <v>W:\Performance Measurement\1. Freeway\1. raw data\2012\data files\det_53.xlsx</v>
      </c>
      <c r="K79" s="5"/>
      <c r="M79" s="106" t="s">
        <v>63</v>
      </c>
      <c r="N79" s="10">
        <v>162</v>
      </c>
      <c r="O79" s="10">
        <v>4</v>
      </c>
      <c r="P79" s="10">
        <v>1</v>
      </c>
    </row>
    <row r="80" spans="4:16" x14ac:dyDescent="0.25">
      <c r="D80" s="95">
        <v>76</v>
      </c>
      <c r="E80" s="48">
        <v>55</v>
      </c>
      <c r="F80" s="10">
        <v>5</v>
      </c>
      <c r="G80" s="10">
        <v>1</v>
      </c>
      <c r="H80" s="5" t="str">
        <f t="shared" si="5"/>
        <v>det_55</v>
      </c>
      <c r="I80" s="5" t="str">
        <f t="shared" si="6"/>
        <v>W:\Performance Measurement\1. Freeway\1. raw data\2012\data files\det_55.txt</v>
      </c>
      <c r="J80" s="5" t="str">
        <f t="shared" si="7"/>
        <v>W:\Performance Measurement\1. Freeway\1. raw data\2012\data files\det_55.xlsx</v>
      </c>
      <c r="K80" s="5"/>
      <c r="M80" s="106" t="s">
        <v>63</v>
      </c>
      <c r="N80" s="10">
        <v>337</v>
      </c>
      <c r="O80" s="10">
        <v>3</v>
      </c>
      <c r="P80" s="10">
        <v>1</v>
      </c>
    </row>
    <row r="81" spans="4:16" x14ac:dyDescent="0.25">
      <c r="D81" s="95">
        <v>77</v>
      </c>
      <c r="E81" s="48">
        <v>59</v>
      </c>
      <c r="F81" s="10">
        <v>4</v>
      </c>
      <c r="G81" s="10">
        <v>1</v>
      </c>
      <c r="H81" s="5" t="str">
        <f t="shared" si="5"/>
        <v>det_59</v>
      </c>
      <c r="I81" s="5" t="str">
        <f t="shared" si="6"/>
        <v>W:\Performance Measurement\1. Freeway\1. raw data\2012\data files\det_59.txt</v>
      </c>
      <c r="J81" s="5" t="str">
        <f t="shared" si="7"/>
        <v>W:\Performance Measurement\1. Freeway\1. raw data\2012\data files\det_59.xlsx</v>
      </c>
      <c r="K81" s="5"/>
      <c r="M81" s="106" t="s">
        <v>63</v>
      </c>
      <c r="N81" s="10">
        <v>340</v>
      </c>
      <c r="O81" s="10">
        <v>3</v>
      </c>
      <c r="P81" s="10">
        <v>1</v>
      </c>
    </row>
    <row r="82" spans="4:16" x14ac:dyDescent="0.25">
      <c r="D82" s="95">
        <v>78</v>
      </c>
      <c r="E82" s="48">
        <v>60</v>
      </c>
      <c r="F82" s="10">
        <v>5</v>
      </c>
      <c r="G82" s="10">
        <v>1</v>
      </c>
      <c r="H82" s="5" t="str">
        <f t="shared" si="5"/>
        <v>det_60</v>
      </c>
      <c r="I82" s="5" t="str">
        <f t="shared" si="6"/>
        <v>W:\Performance Measurement\1. Freeway\1. raw data\2012\data files\det_60.txt</v>
      </c>
      <c r="J82" s="5" t="str">
        <f t="shared" si="7"/>
        <v>W:\Performance Measurement\1. Freeway\1. raw data\2012\data files\det_60.xlsx</v>
      </c>
      <c r="K82" s="5"/>
      <c r="M82" s="106" t="s">
        <v>63</v>
      </c>
      <c r="N82" s="10">
        <v>343</v>
      </c>
      <c r="O82" s="10">
        <v>3</v>
      </c>
      <c r="P82" s="10">
        <v>1</v>
      </c>
    </row>
    <row r="83" spans="4:16" x14ac:dyDescent="0.25">
      <c r="D83" s="95">
        <v>79</v>
      </c>
      <c r="E83" s="48">
        <v>63</v>
      </c>
      <c r="F83" s="10">
        <v>4</v>
      </c>
      <c r="G83" s="10">
        <v>1</v>
      </c>
      <c r="H83" s="5" t="str">
        <f t="shared" si="5"/>
        <v>det_63</v>
      </c>
      <c r="I83" s="5" t="str">
        <f t="shared" si="6"/>
        <v>W:\Performance Measurement\1. Freeway\1. raw data\2012\data files\det_63.txt</v>
      </c>
      <c r="J83" s="5" t="str">
        <f t="shared" si="7"/>
        <v>W:\Performance Measurement\1. Freeway\1. raw data\2012\data files\det_63.xlsx</v>
      </c>
      <c r="K83" s="5"/>
      <c r="M83" s="106" t="s">
        <v>63</v>
      </c>
      <c r="N83" s="10">
        <v>346</v>
      </c>
      <c r="O83" s="10">
        <v>3</v>
      </c>
      <c r="P83" s="10">
        <v>1</v>
      </c>
    </row>
    <row r="84" spans="4:16" x14ac:dyDescent="0.25">
      <c r="D84" s="95">
        <v>80</v>
      </c>
      <c r="E84" s="48">
        <v>64</v>
      </c>
      <c r="F84" s="10">
        <v>5</v>
      </c>
      <c r="G84" s="10">
        <v>1</v>
      </c>
      <c r="H84" s="5" t="str">
        <f t="shared" si="5"/>
        <v>det_64</v>
      </c>
      <c r="I84" s="5" t="str">
        <f t="shared" si="6"/>
        <v>W:\Performance Measurement\1. Freeway\1. raw data\2012\data files\det_64.txt</v>
      </c>
      <c r="J84" s="5" t="str">
        <f t="shared" si="7"/>
        <v>W:\Performance Measurement\1. Freeway\1. raw data\2012\data files\det_64.xlsx</v>
      </c>
      <c r="K84" s="5"/>
      <c r="M84" s="106" t="s">
        <v>63</v>
      </c>
      <c r="N84" s="10">
        <v>349</v>
      </c>
      <c r="O84" s="10">
        <v>3</v>
      </c>
      <c r="P84" s="10">
        <v>1</v>
      </c>
    </row>
    <row r="85" spans="4:16" x14ac:dyDescent="0.25">
      <c r="D85" s="95">
        <v>81</v>
      </c>
      <c r="E85" s="48">
        <v>66</v>
      </c>
      <c r="F85" s="10">
        <v>6</v>
      </c>
      <c r="G85" s="10">
        <v>1</v>
      </c>
      <c r="H85" s="5" t="str">
        <f t="shared" si="5"/>
        <v>det_66</v>
      </c>
      <c r="I85" s="5" t="str">
        <f t="shared" si="6"/>
        <v>W:\Performance Measurement\1. Freeway\1. raw data\2012\data files\det_66.txt</v>
      </c>
      <c r="J85" s="5" t="str">
        <f t="shared" si="7"/>
        <v>W:\Performance Measurement\1. Freeway\1. raw data\2012\data files\det_66.xlsx</v>
      </c>
      <c r="K85" s="5"/>
      <c r="M85" s="106" t="s">
        <v>63</v>
      </c>
      <c r="N85" s="10">
        <v>352</v>
      </c>
      <c r="O85" s="10">
        <v>3</v>
      </c>
      <c r="P85" s="10">
        <v>1</v>
      </c>
    </row>
    <row r="86" spans="4:16" x14ac:dyDescent="0.25">
      <c r="D86" s="95">
        <v>82</v>
      </c>
      <c r="E86" s="48">
        <v>68</v>
      </c>
      <c r="F86" s="10">
        <v>4</v>
      </c>
      <c r="G86" s="10">
        <v>1</v>
      </c>
      <c r="H86" s="5" t="str">
        <f t="shared" si="5"/>
        <v>det_68</v>
      </c>
      <c r="I86" s="5" t="str">
        <f t="shared" si="6"/>
        <v>W:\Performance Measurement\1. Freeway\1. raw data\2012\data files\det_68.txt</v>
      </c>
      <c r="J86" s="5" t="str">
        <f t="shared" si="7"/>
        <v>W:\Performance Measurement\1. Freeway\1. raw data\2012\data files\det_68.xlsx</v>
      </c>
      <c r="K86" s="5"/>
      <c r="M86" s="106" t="s">
        <v>63</v>
      </c>
      <c r="N86" s="10">
        <v>355</v>
      </c>
      <c r="O86" s="10">
        <v>3</v>
      </c>
      <c r="P86" s="10">
        <v>1</v>
      </c>
    </row>
    <row r="87" spans="4:16" x14ac:dyDescent="0.25">
      <c r="D87" s="95">
        <v>83</v>
      </c>
      <c r="E87" s="48">
        <v>73</v>
      </c>
      <c r="F87" s="10">
        <v>5</v>
      </c>
      <c r="G87" s="10">
        <v>1</v>
      </c>
      <c r="H87" s="5" t="str">
        <f t="shared" si="5"/>
        <v>det_73</v>
      </c>
      <c r="I87" s="5" t="str">
        <f t="shared" si="6"/>
        <v>W:\Performance Measurement\1. Freeway\1. raw data\2012\data files\det_73.txt</v>
      </c>
      <c r="J87" s="5" t="str">
        <f t="shared" si="7"/>
        <v>W:\Performance Measurement\1. Freeway\1. raw data\2012\data files\det_73.xlsx</v>
      </c>
      <c r="K87" s="5"/>
      <c r="M87" s="106" t="s">
        <v>63</v>
      </c>
      <c r="N87" s="10">
        <v>357</v>
      </c>
      <c r="O87" s="10">
        <v>3</v>
      </c>
      <c r="P87" s="10">
        <v>1</v>
      </c>
    </row>
    <row r="88" spans="4:16" x14ac:dyDescent="0.25">
      <c r="D88" s="95">
        <v>84</v>
      </c>
      <c r="E88" s="48">
        <v>75</v>
      </c>
      <c r="F88" s="10">
        <v>5</v>
      </c>
      <c r="G88" s="10">
        <v>1</v>
      </c>
      <c r="H88" s="5" t="str">
        <f t="shared" si="5"/>
        <v>det_75</v>
      </c>
      <c r="I88" s="5" t="str">
        <f t="shared" si="6"/>
        <v>W:\Performance Measurement\1. Freeway\1. raw data\2012\data files\det_75.txt</v>
      </c>
      <c r="J88" s="5" t="str">
        <f t="shared" si="7"/>
        <v>W:\Performance Measurement\1. Freeway\1. raw data\2012\data files\det_75.xlsx</v>
      </c>
      <c r="K88" s="5"/>
      <c r="M88" s="106" t="s">
        <v>63</v>
      </c>
      <c r="N88" s="10">
        <v>358</v>
      </c>
      <c r="O88" s="10">
        <v>3</v>
      </c>
      <c r="P88" s="10">
        <v>1</v>
      </c>
    </row>
    <row r="89" spans="4:16" x14ac:dyDescent="0.25">
      <c r="D89" s="95">
        <v>85</v>
      </c>
      <c r="E89" s="48">
        <v>78</v>
      </c>
      <c r="F89" s="10">
        <v>4</v>
      </c>
      <c r="G89" s="10">
        <v>1</v>
      </c>
      <c r="H89" s="5" t="str">
        <f t="shared" si="5"/>
        <v>det_78</v>
      </c>
      <c r="I89" s="5" t="str">
        <f t="shared" si="6"/>
        <v>W:\Performance Measurement\1. Freeway\1. raw data\2012\data files\det_78.txt</v>
      </c>
      <c r="J89" s="5" t="str">
        <f t="shared" si="7"/>
        <v>W:\Performance Measurement\1. Freeway\1. raw data\2012\data files\det_78.xlsx</v>
      </c>
      <c r="K89" s="5"/>
      <c r="M89" s="106" t="s">
        <v>63</v>
      </c>
      <c r="N89" s="10">
        <v>361</v>
      </c>
      <c r="O89" s="10">
        <v>3</v>
      </c>
      <c r="P89" s="10">
        <v>1</v>
      </c>
    </row>
    <row r="90" spans="4:16" x14ac:dyDescent="0.25">
      <c r="D90" s="95">
        <v>86</v>
      </c>
      <c r="E90" s="48">
        <v>80</v>
      </c>
      <c r="F90" s="10">
        <v>4</v>
      </c>
      <c r="G90" s="10">
        <v>1</v>
      </c>
      <c r="H90" s="5" t="str">
        <f t="shared" si="5"/>
        <v>det_80</v>
      </c>
      <c r="I90" s="5" t="str">
        <f t="shared" si="6"/>
        <v>W:\Performance Measurement\1. Freeway\1. raw data\2012\data files\det_80.txt</v>
      </c>
      <c r="J90" s="5" t="str">
        <f t="shared" si="7"/>
        <v>W:\Performance Measurement\1. Freeway\1. raw data\2012\data files\det_80.xlsx</v>
      </c>
      <c r="K90" s="5"/>
      <c r="M90" s="106" t="s">
        <v>63</v>
      </c>
      <c r="N90" s="10">
        <v>364</v>
      </c>
      <c r="O90" s="10">
        <v>3</v>
      </c>
      <c r="P90" s="10">
        <v>1</v>
      </c>
    </row>
    <row r="91" spans="4:16" x14ac:dyDescent="0.25">
      <c r="D91" s="95">
        <v>87</v>
      </c>
      <c r="E91" s="48">
        <v>84</v>
      </c>
      <c r="F91" s="10">
        <v>4</v>
      </c>
      <c r="G91" s="10">
        <v>1</v>
      </c>
      <c r="H91" s="5" t="str">
        <f t="shared" si="5"/>
        <v>det_84</v>
      </c>
      <c r="I91" s="5" t="str">
        <f t="shared" si="6"/>
        <v>W:\Performance Measurement\1. Freeway\1. raw data\2012\data files\det_84.txt</v>
      </c>
      <c r="J91" s="5" t="str">
        <f t="shared" si="7"/>
        <v>W:\Performance Measurement\1. Freeway\1. raw data\2012\data files\det_84.xlsx</v>
      </c>
      <c r="K91" s="5"/>
      <c r="M91" s="106" t="s">
        <v>63</v>
      </c>
      <c r="N91" s="10">
        <v>367</v>
      </c>
      <c r="O91" s="10">
        <v>3</v>
      </c>
      <c r="P91" s="10">
        <v>1</v>
      </c>
    </row>
    <row r="92" spans="4:16" x14ac:dyDescent="0.25">
      <c r="D92" s="95">
        <v>88</v>
      </c>
      <c r="E92" s="48">
        <v>85</v>
      </c>
      <c r="F92" s="10">
        <v>4</v>
      </c>
      <c r="G92" s="10">
        <v>1</v>
      </c>
      <c r="H92" s="5" t="str">
        <f t="shared" si="5"/>
        <v>det_85</v>
      </c>
      <c r="I92" s="5" t="str">
        <f t="shared" si="6"/>
        <v>W:\Performance Measurement\1. Freeway\1. raw data\2012\data files\det_85.txt</v>
      </c>
      <c r="J92" s="5" t="str">
        <f t="shared" si="7"/>
        <v>W:\Performance Measurement\1. Freeway\1. raw data\2012\data files\det_85.xlsx</v>
      </c>
      <c r="K92" s="5"/>
      <c r="M92" s="106" t="s">
        <v>63</v>
      </c>
      <c r="N92" s="10">
        <v>370</v>
      </c>
      <c r="O92" s="10">
        <v>3</v>
      </c>
      <c r="P92" s="10">
        <v>1</v>
      </c>
    </row>
    <row r="93" spans="4:16" x14ac:dyDescent="0.25">
      <c r="D93" s="95">
        <v>89</v>
      </c>
      <c r="E93" s="48">
        <v>87</v>
      </c>
      <c r="F93" s="10">
        <v>3</v>
      </c>
      <c r="G93" s="10">
        <v>1</v>
      </c>
      <c r="H93" s="5" t="str">
        <f t="shared" si="5"/>
        <v>det_87</v>
      </c>
      <c r="I93" s="5" t="str">
        <f t="shared" si="6"/>
        <v>W:\Performance Measurement\1. Freeway\1. raw data\2012\data files\det_87.txt</v>
      </c>
      <c r="J93" s="5" t="str">
        <f t="shared" si="7"/>
        <v>W:\Performance Measurement\1. Freeway\1. raw data\2012\data files\det_87.xlsx</v>
      </c>
      <c r="K93" s="5"/>
      <c r="M93" s="106" t="s">
        <v>63</v>
      </c>
      <c r="N93" s="10">
        <v>373</v>
      </c>
      <c r="O93" s="10">
        <v>3</v>
      </c>
      <c r="P93" s="10">
        <v>1</v>
      </c>
    </row>
    <row r="94" spans="4:16" x14ac:dyDescent="0.25">
      <c r="D94" s="95">
        <v>90</v>
      </c>
      <c r="E94" s="48">
        <v>89</v>
      </c>
      <c r="F94" s="10">
        <v>4</v>
      </c>
      <c r="G94" s="10">
        <v>1</v>
      </c>
      <c r="H94" s="5" t="str">
        <f t="shared" si="5"/>
        <v>det_89</v>
      </c>
      <c r="I94" s="5" t="str">
        <f t="shared" si="6"/>
        <v>W:\Performance Measurement\1. Freeway\1. raw data\2012\data files\det_89.txt</v>
      </c>
      <c r="J94" s="5" t="str">
        <f t="shared" si="7"/>
        <v>W:\Performance Measurement\1. Freeway\1. raw data\2012\data files\det_89.xlsx</v>
      </c>
      <c r="K94" s="5"/>
      <c r="M94" s="106" t="s">
        <v>63</v>
      </c>
      <c r="N94" s="10">
        <v>376</v>
      </c>
      <c r="O94" s="10">
        <v>3</v>
      </c>
      <c r="P94" s="10">
        <v>1</v>
      </c>
    </row>
    <row r="95" spans="4:16" x14ac:dyDescent="0.25">
      <c r="D95" s="95">
        <v>91</v>
      </c>
      <c r="E95" s="48">
        <v>92</v>
      </c>
      <c r="F95" s="10">
        <v>3</v>
      </c>
      <c r="G95" s="10">
        <v>1</v>
      </c>
      <c r="H95" s="5" t="str">
        <f t="shared" si="5"/>
        <v>det_92</v>
      </c>
      <c r="I95" s="5" t="str">
        <f t="shared" si="6"/>
        <v>W:\Performance Measurement\1. Freeway\1. raw data\2012\data files\det_92.txt</v>
      </c>
      <c r="J95" s="5" t="str">
        <f t="shared" si="7"/>
        <v>W:\Performance Measurement\1. Freeway\1. raw data\2012\data files\det_92.xlsx</v>
      </c>
      <c r="K95" s="5"/>
      <c r="M95" s="106" t="s">
        <v>63</v>
      </c>
      <c r="N95" s="10">
        <v>128</v>
      </c>
      <c r="O95" s="10">
        <v>4</v>
      </c>
      <c r="P95" s="10">
        <v>1</v>
      </c>
    </row>
    <row r="96" spans="4:16" x14ac:dyDescent="0.25">
      <c r="D96" s="95">
        <v>92</v>
      </c>
      <c r="E96" s="48">
        <v>93</v>
      </c>
      <c r="F96" s="10">
        <v>3</v>
      </c>
      <c r="G96" s="10">
        <v>1</v>
      </c>
      <c r="H96" s="5" t="str">
        <f t="shared" si="5"/>
        <v>det_93</v>
      </c>
      <c r="I96" s="5" t="str">
        <f t="shared" si="6"/>
        <v>W:\Performance Measurement\1. Freeway\1. raw data\2012\data files\det_93.txt</v>
      </c>
      <c r="J96" s="5" t="str">
        <f t="shared" si="7"/>
        <v>W:\Performance Measurement\1. Freeway\1. raw data\2012\data files\det_93.xlsx</v>
      </c>
      <c r="K96" s="5"/>
      <c r="M96" s="106" t="s">
        <v>64</v>
      </c>
      <c r="N96" s="10">
        <v>163</v>
      </c>
      <c r="O96" s="10">
        <v>0</v>
      </c>
      <c r="P96" s="10">
        <v>0</v>
      </c>
    </row>
    <row r="97" spans="2:16" x14ac:dyDescent="0.25">
      <c r="D97" s="95">
        <v>93</v>
      </c>
      <c r="E97" s="48">
        <v>97</v>
      </c>
      <c r="F97" s="10">
        <v>3</v>
      </c>
      <c r="G97" s="10">
        <v>0</v>
      </c>
      <c r="H97" s="5" t="str">
        <f t="shared" si="5"/>
        <v>det_97</v>
      </c>
      <c r="I97" s="5" t="str">
        <f t="shared" si="6"/>
        <v>W:\Performance Measurement\1. Freeway\1. raw data\2012\data files\det_97.txt</v>
      </c>
      <c r="J97" s="5" t="str">
        <f t="shared" si="7"/>
        <v>W:\Performance Measurement\1. Freeway\1. raw data\2012\data files\det_97.xlsx</v>
      </c>
      <c r="K97" s="5"/>
      <c r="M97" s="106" t="s">
        <v>64</v>
      </c>
      <c r="N97" s="10">
        <v>203</v>
      </c>
      <c r="O97" s="10">
        <v>4</v>
      </c>
      <c r="P97" s="10">
        <v>1</v>
      </c>
    </row>
    <row r="98" spans="2:16" x14ac:dyDescent="0.25">
      <c r="D98" s="95">
        <v>94</v>
      </c>
      <c r="E98" s="48">
        <v>98</v>
      </c>
      <c r="F98" s="10">
        <v>3</v>
      </c>
      <c r="G98" s="10">
        <v>0</v>
      </c>
      <c r="H98" s="5" t="str">
        <f t="shared" si="5"/>
        <v>det_98</v>
      </c>
      <c r="I98" s="5" t="str">
        <f t="shared" si="6"/>
        <v>W:\Performance Measurement\1. Freeway\1. raw data\2012\data files\det_98.txt</v>
      </c>
      <c r="J98" s="5" t="str">
        <f t="shared" si="7"/>
        <v>W:\Performance Measurement\1. Freeway\1. raw data\2012\data files\det_98.xlsx</v>
      </c>
      <c r="K98" s="5"/>
      <c r="M98" s="106" t="s">
        <v>64</v>
      </c>
      <c r="N98" s="10">
        <v>206</v>
      </c>
      <c r="O98" s="10">
        <v>3</v>
      </c>
      <c r="P98" s="10">
        <v>1</v>
      </c>
    </row>
    <row r="99" spans="2:16" x14ac:dyDescent="0.25">
      <c r="D99" s="95">
        <v>95</v>
      </c>
      <c r="E99" s="48">
        <v>103</v>
      </c>
      <c r="F99" s="10">
        <v>3</v>
      </c>
      <c r="G99" s="10">
        <v>0</v>
      </c>
      <c r="H99" s="5" t="str">
        <f t="shared" si="5"/>
        <v>det_103</v>
      </c>
      <c r="I99" s="5" t="str">
        <f t="shared" si="6"/>
        <v>W:\Performance Measurement\1. Freeway\1. raw data\2012\data files\det_103.txt</v>
      </c>
      <c r="J99" s="5" t="str">
        <f t="shared" si="7"/>
        <v>W:\Performance Measurement\1. Freeway\1. raw data\2012\data files\det_103.xlsx</v>
      </c>
      <c r="K99" s="5"/>
      <c r="M99" s="106" t="s">
        <v>64</v>
      </c>
      <c r="N99" s="10">
        <v>209</v>
      </c>
      <c r="O99" s="10">
        <v>3</v>
      </c>
      <c r="P99" s="10">
        <v>1</v>
      </c>
    </row>
    <row r="100" spans="2:16" x14ac:dyDescent="0.25">
      <c r="D100" s="95">
        <v>96</v>
      </c>
      <c r="E100" s="48">
        <v>104</v>
      </c>
      <c r="F100" s="10">
        <v>3</v>
      </c>
      <c r="G100" s="10">
        <v>0</v>
      </c>
      <c r="H100" s="5" t="str">
        <f t="shared" si="5"/>
        <v>det_104</v>
      </c>
      <c r="I100" s="5" t="str">
        <f t="shared" si="6"/>
        <v>W:\Performance Measurement\1. Freeway\1. raw data\2012\data files\det_104.txt</v>
      </c>
      <c r="J100" s="5" t="str">
        <f t="shared" si="7"/>
        <v>W:\Performance Measurement\1. Freeway\1. raw data\2012\data files\det_104.xlsx</v>
      </c>
      <c r="K100" s="5"/>
      <c r="M100" s="106" t="s">
        <v>64</v>
      </c>
      <c r="N100" s="10">
        <v>212</v>
      </c>
      <c r="O100" s="10">
        <v>4</v>
      </c>
      <c r="P100" s="10">
        <v>1</v>
      </c>
    </row>
    <row r="101" spans="2:16" x14ac:dyDescent="0.25">
      <c r="D101" s="95">
        <v>97</v>
      </c>
      <c r="E101" s="48">
        <v>108</v>
      </c>
      <c r="F101" s="10">
        <v>3</v>
      </c>
      <c r="G101" s="10">
        <v>0</v>
      </c>
      <c r="H101" s="5" t="str">
        <f t="shared" si="5"/>
        <v>det_108</v>
      </c>
      <c r="I101" s="5" t="str">
        <f t="shared" si="6"/>
        <v>W:\Performance Measurement\1. Freeway\1. raw data\2012\data files\det_108.txt</v>
      </c>
      <c r="J101" s="5" t="str">
        <f t="shared" si="7"/>
        <v>W:\Performance Measurement\1. Freeway\1. raw data\2012\data files\det_108.xlsx</v>
      </c>
      <c r="K101" s="5"/>
      <c r="M101" s="106" t="s">
        <v>64</v>
      </c>
      <c r="N101" s="10">
        <v>214</v>
      </c>
      <c r="O101" s="10">
        <v>3</v>
      </c>
      <c r="P101" s="10">
        <v>1</v>
      </c>
    </row>
    <row r="102" spans="2:16" x14ac:dyDescent="0.25">
      <c r="D102" s="95">
        <v>98</v>
      </c>
      <c r="E102" s="48">
        <v>114</v>
      </c>
      <c r="F102" s="10">
        <v>3</v>
      </c>
      <c r="G102" s="10">
        <v>0</v>
      </c>
      <c r="H102" s="5" t="str">
        <f t="shared" si="5"/>
        <v>det_114</v>
      </c>
      <c r="I102" s="5" t="str">
        <f t="shared" si="6"/>
        <v>W:\Performance Measurement\1. Freeway\1. raw data\2012\data files\det_114.txt</v>
      </c>
      <c r="J102" s="5" t="str">
        <f t="shared" si="7"/>
        <v>W:\Performance Measurement\1. Freeway\1. raw data\2012\data files\det_114.xlsx</v>
      </c>
      <c r="K102" s="5"/>
      <c r="M102" s="106" t="s">
        <v>64</v>
      </c>
      <c r="N102" s="10">
        <v>201</v>
      </c>
      <c r="O102" s="10">
        <v>3</v>
      </c>
      <c r="P102" s="10">
        <v>1</v>
      </c>
    </row>
    <row r="103" spans="2:16" x14ac:dyDescent="0.25">
      <c r="D103" s="95">
        <v>99</v>
      </c>
      <c r="E103" s="48">
        <v>118</v>
      </c>
      <c r="F103" s="10">
        <v>3</v>
      </c>
      <c r="G103" s="10">
        <v>0</v>
      </c>
      <c r="H103" s="5" t="str">
        <f t="shared" si="5"/>
        <v>det_118</v>
      </c>
      <c r="I103" s="5" t="str">
        <f t="shared" si="6"/>
        <v>W:\Performance Measurement\1. Freeway\1. raw data\2012\data files\det_118.txt</v>
      </c>
      <c r="J103" s="5" t="str">
        <f t="shared" si="7"/>
        <v>W:\Performance Measurement\1. Freeway\1. raw data\2012\data files\det_118.xlsx</v>
      </c>
      <c r="K103" s="5"/>
      <c r="M103" s="106" t="s">
        <v>64</v>
      </c>
      <c r="N103" s="10">
        <v>198</v>
      </c>
      <c r="O103" s="10">
        <v>3</v>
      </c>
      <c r="P103" s="10">
        <v>1</v>
      </c>
    </row>
    <row r="104" spans="2:16" x14ac:dyDescent="0.25">
      <c r="D104" s="95">
        <v>100</v>
      </c>
      <c r="E104" s="48">
        <v>121</v>
      </c>
      <c r="F104" s="10">
        <v>3</v>
      </c>
      <c r="G104" s="10">
        <v>0</v>
      </c>
      <c r="H104" s="5" t="str">
        <f t="shared" si="5"/>
        <v>det_121</v>
      </c>
      <c r="I104" s="5" t="str">
        <f t="shared" si="6"/>
        <v>W:\Performance Measurement\1. Freeway\1. raw data\2012\data files\det_121.txt</v>
      </c>
      <c r="J104" s="5" t="str">
        <f t="shared" si="7"/>
        <v>W:\Performance Measurement\1. Freeway\1. raw data\2012\data files\det_121.xlsx</v>
      </c>
      <c r="K104" s="5"/>
      <c r="M104" s="106" t="s">
        <v>64</v>
      </c>
      <c r="N104" s="10">
        <v>195</v>
      </c>
      <c r="O104" s="10">
        <v>3</v>
      </c>
      <c r="P104" s="10">
        <v>1</v>
      </c>
    </row>
    <row r="105" spans="2:16" x14ac:dyDescent="0.25">
      <c r="D105" s="95">
        <v>101</v>
      </c>
      <c r="E105" s="48">
        <v>122</v>
      </c>
      <c r="F105" s="10">
        <v>3</v>
      </c>
      <c r="G105" s="10">
        <v>0</v>
      </c>
      <c r="H105" s="5" t="str">
        <f t="shared" si="5"/>
        <v>det_122</v>
      </c>
      <c r="I105" s="5" t="str">
        <f t="shared" si="6"/>
        <v>W:\Performance Measurement\1. Freeway\1. raw data\2012\data files\det_122.txt</v>
      </c>
      <c r="J105" s="5" t="str">
        <f t="shared" si="7"/>
        <v>W:\Performance Measurement\1. Freeway\1. raw data\2012\data files\det_122.xlsx</v>
      </c>
      <c r="K105" s="5"/>
      <c r="M105" s="106" t="s">
        <v>64</v>
      </c>
      <c r="N105" s="10">
        <v>193</v>
      </c>
      <c r="O105" s="10">
        <v>3</v>
      </c>
      <c r="P105" s="10">
        <v>1</v>
      </c>
    </row>
    <row r="106" spans="2:16" x14ac:dyDescent="0.25">
      <c r="D106" s="95">
        <v>102</v>
      </c>
      <c r="E106" s="48">
        <v>123</v>
      </c>
      <c r="F106" s="10">
        <v>3</v>
      </c>
      <c r="G106" s="10">
        <v>0</v>
      </c>
      <c r="H106" s="5" t="str">
        <f t="shared" si="5"/>
        <v>det_123</v>
      </c>
      <c r="I106" s="5" t="str">
        <f t="shared" si="6"/>
        <v>W:\Performance Measurement\1. Freeway\1. raw data\2012\data files\det_123.txt</v>
      </c>
      <c r="J106" s="5" t="str">
        <f t="shared" si="7"/>
        <v>W:\Performance Measurement\1. Freeway\1. raw data\2012\data files\det_123.xlsx</v>
      </c>
      <c r="K106" s="5"/>
      <c r="M106" s="106" t="s">
        <v>64</v>
      </c>
      <c r="N106" s="10">
        <v>190</v>
      </c>
      <c r="O106" s="10">
        <v>3</v>
      </c>
      <c r="P106" s="10">
        <v>1</v>
      </c>
    </row>
    <row r="107" spans="2:16" x14ac:dyDescent="0.25">
      <c r="D107" s="95">
        <v>103</v>
      </c>
      <c r="E107" s="48">
        <v>128</v>
      </c>
      <c r="F107" s="10">
        <v>4</v>
      </c>
      <c r="G107" s="10">
        <v>1</v>
      </c>
      <c r="H107" s="5" t="str">
        <f t="shared" si="5"/>
        <v>det_128</v>
      </c>
      <c r="I107" s="5" t="str">
        <f t="shared" si="6"/>
        <v>W:\Performance Measurement\1. Freeway\1. raw data\2012\data files\det_128.txt</v>
      </c>
      <c r="J107" s="5" t="str">
        <f t="shared" si="7"/>
        <v>W:\Performance Measurement\1. Freeway\1. raw data\2012\data files\det_128.xlsx</v>
      </c>
      <c r="K107" s="5"/>
      <c r="M107" s="106" t="s">
        <v>64</v>
      </c>
      <c r="N107" s="10">
        <v>130</v>
      </c>
      <c r="O107" s="10">
        <v>2</v>
      </c>
      <c r="P107" s="10">
        <v>1</v>
      </c>
    </row>
    <row r="108" spans="2:16" x14ac:dyDescent="0.25">
      <c r="D108" s="95">
        <v>104</v>
      </c>
      <c r="E108" s="48">
        <v>130</v>
      </c>
      <c r="F108" s="10">
        <v>2</v>
      </c>
      <c r="G108" s="10">
        <v>1</v>
      </c>
      <c r="H108" s="5" t="str">
        <f t="shared" si="5"/>
        <v>det_130</v>
      </c>
      <c r="I108" s="5" t="str">
        <f t="shared" si="6"/>
        <v>W:\Performance Measurement\1. Freeway\1. raw data\2012\data files\det_130.txt</v>
      </c>
      <c r="J108" s="5" t="str">
        <f t="shared" si="7"/>
        <v>W:\Performance Measurement\1. Freeway\1. raw data\2012\data files\det_130.xlsx</v>
      </c>
      <c r="K108" s="5"/>
      <c r="M108" s="106" t="s">
        <v>65</v>
      </c>
      <c r="N108" s="10">
        <v>313</v>
      </c>
      <c r="O108" s="10">
        <v>3</v>
      </c>
      <c r="P108" s="10">
        <v>1</v>
      </c>
    </row>
    <row r="109" spans="2:16" x14ac:dyDescent="0.25">
      <c r="D109" s="95">
        <v>105</v>
      </c>
      <c r="E109" s="48">
        <v>133</v>
      </c>
      <c r="F109" s="10">
        <v>5</v>
      </c>
      <c r="G109" s="10">
        <v>1</v>
      </c>
      <c r="H109" s="5" t="str">
        <f t="shared" si="5"/>
        <v>det_133</v>
      </c>
      <c r="I109" s="5" t="str">
        <f t="shared" si="6"/>
        <v>W:\Performance Measurement\1. Freeway\1. raw data\2012\data files\det_133.txt</v>
      </c>
      <c r="J109" s="5" t="str">
        <f t="shared" si="7"/>
        <v>W:\Performance Measurement\1. Freeway\1. raw data\2012\data files\det_133.xlsx</v>
      </c>
      <c r="K109" s="5"/>
      <c r="M109" s="106" t="s">
        <v>65</v>
      </c>
      <c r="N109" s="10">
        <v>316</v>
      </c>
      <c r="O109" s="10">
        <v>4</v>
      </c>
      <c r="P109" s="10">
        <v>1</v>
      </c>
    </row>
    <row r="110" spans="2:16" x14ac:dyDescent="0.25">
      <c r="D110" s="95">
        <v>106</v>
      </c>
      <c r="E110" s="48">
        <v>137</v>
      </c>
      <c r="F110" s="10">
        <v>3</v>
      </c>
      <c r="G110" s="10">
        <v>1</v>
      </c>
      <c r="H110" s="5" t="str">
        <f t="shared" si="5"/>
        <v>det_137</v>
      </c>
      <c r="I110" s="5" t="str">
        <f t="shared" si="6"/>
        <v>W:\Performance Measurement\1. Freeway\1. raw data\2012\data files\det_137.txt</v>
      </c>
      <c r="J110" s="5" t="str">
        <f t="shared" si="7"/>
        <v>W:\Performance Measurement\1. Freeway\1. raw data\2012\data files\det_137.xlsx</v>
      </c>
      <c r="K110" s="5"/>
      <c r="M110" s="106" t="s">
        <v>65</v>
      </c>
      <c r="N110" s="10">
        <v>318</v>
      </c>
      <c r="O110" s="10">
        <v>4</v>
      </c>
      <c r="P110" s="10">
        <v>1</v>
      </c>
    </row>
    <row r="111" spans="2:16" x14ac:dyDescent="0.25">
      <c r="D111" s="95">
        <v>107</v>
      </c>
      <c r="E111" s="48">
        <v>139</v>
      </c>
      <c r="F111" s="10">
        <v>5</v>
      </c>
      <c r="G111" s="10">
        <v>1</v>
      </c>
      <c r="H111" s="5" t="str">
        <f t="shared" si="5"/>
        <v>det_139</v>
      </c>
      <c r="I111" s="5" t="str">
        <f t="shared" si="6"/>
        <v>W:\Performance Measurement\1. Freeway\1. raw data\2012\data files\det_139.txt</v>
      </c>
      <c r="J111" s="5" t="str">
        <f t="shared" si="7"/>
        <v>W:\Performance Measurement\1. Freeway\1. raw data\2012\data files\det_139.xlsx</v>
      </c>
      <c r="K111" s="5"/>
      <c r="M111" s="106" t="s">
        <v>65</v>
      </c>
      <c r="N111" s="10">
        <v>321</v>
      </c>
      <c r="O111" s="10">
        <v>5</v>
      </c>
      <c r="P111" s="10">
        <v>1</v>
      </c>
    </row>
    <row r="112" spans="2:16" x14ac:dyDescent="0.25">
      <c r="B112" s="95">
        <v>59</v>
      </c>
      <c r="C112" s="95" t="s">
        <v>276</v>
      </c>
      <c r="D112" s="95">
        <v>108</v>
      </c>
      <c r="E112" s="48">
        <v>141</v>
      </c>
      <c r="F112" s="10">
        <v>4</v>
      </c>
      <c r="G112" s="10">
        <v>1</v>
      </c>
      <c r="H112" s="5" t="str">
        <f t="shared" si="5"/>
        <v>det_141</v>
      </c>
      <c r="I112" s="5" t="str">
        <f t="shared" si="6"/>
        <v>W:\Performance Measurement\1. Freeway\1. raw data\2012\data files\det_141.txt</v>
      </c>
      <c r="J112" s="5" t="str">
        <f t="shared" si="7"/>
        <v>W:\Performance Measurement\1. Freeway\1. raw data\2012\data files\det_141.xlsx</v>
      </c>
      <c r="K112" s="5"/>
      <c r="M112" s="106" t="s">
        <v>65</v>
      </c>
      <c r="N112" s="10">
        <v>323</v>
      </c>
      <c r="O112" s="10">
        <v>4</v>
      </c>
      <c r="P112" s="10">
        <v>1</v>
      </c>
    </row>
    <row r="113" spans="4:16" x14ac:dyDescent="0.25">
      <c r="D113" s="95">
        <v>109</v>
      </c>
      <c r="E113" s="48">
        <v>144</v>
      </c>
      <c r="F113" s="10">
        <v>3</v>
      </c>
      <c r="G113" s="10">
        <v>1</v>
      </c>
      <c r="H113" s="5" t="str">
        <f t="shared" si="5"/>
        <v>det_144</v>
      </c>
      <c r="I113" s="5" t="str">
        <f t="shared" si="6"/>
        <v>W:\Performance Measurement\1. Freeway\1. raw data\2012\data files\det_144.txt</v>
      </c>
      <c r="J113" s="5" t="str">
        <f t="shared" si="7"/>
        <v>W:\Performance Measurement\1. Freeway\1. raw data\2012\data files\det_144.xlsx</v>
      </c>
      <c r="K113" s="5"/>
      <c r="M113" s="106" t="s">
        <v>65</v>
      </c>
      <c r="N113" s="10">
        <v>325</v>
      </c>
      <c r="O113" s="10">
        <v>3</v>
      </c>
      <c r="P113" s="10">
        <v>1</v>
      </c>
    </row>
    <row r="114" spans="4:16" x14ac:dyDescent="0.25">
      <c r="D114" s="95">
        <v>110</v>
      </c>
      <c r="E114" s="48">
        <v>149</v>
      </c>
      <c r="F114" s="10">
        <v>3</v>
      </c>
      <c r="G114" s="10">
        <v>1</v>
      </c>
      <c r="H114" s="5" t="str">
        <f t="shared" si="5"/>
        <v>det_149</v>
      </c>
      <c r="I114" s="5" t="str">
        <f t="shared" si="6"/>
        <v>W:\Performance Measurement\1. Freeway\1. raw data\2012\data files\det_149.txt</v>
      </c>
      <c r="J114" s="5" t="str">
        <f t="shared" si="7"/>
        <v>W:\Performance Measurement\1. Freeway\1. raw data\2012\data files\det_149.xlsx</v>
      </c>
      <c r="K114" s="5"/>
      <c r="M114" s="106" t="s">
        <v>65</v>
      </c>
      <c r="N114" s="10">
        <v>328</v>
      </c>
      <c r="O114" s="10">
        <v>3</v>
      </c>
      <c r="P114" s="10">
        <v>1</v>
      </c>
    </row>
    <row r="115" spans="4:16" x14ac:dyDescent="0.25">
      <c r="D115" s="95">
        <v>111</v>
      </c>
      <c r="E115" s="48">
        <v>153</v>
      </c>
      <c r="F115" s="10">
        <v>3</v>
      </c>
      <c r="G115" s="10">
        <v>0</v>
      </c>
      <c r="H115" s="5" t="str">
        <f t="shared" si="5"/>
        <v>det_153</v>
      </c>
      <c r="I115" s="5" t="str">
        <f t="shared" si="6"/>
        <v>W:\Performance Measurement\1. Freeway\1. raw data\2012\data files\det_153.txt</v>
      </c>
      <c r="J115" s="5" t="str">
        <f t="shared" si="7"/>
        <v>W:\Performance Measurement\1. Freeway\1. raw data\2012\data files\det_153.xlsx</v>
      </c>
      <c r="K115" s="5"/>
      <c r="M115" s="106" t="s">
        <v>65</v>
      </c>
      <c r="N115" s="10">
        <v>331</v>
      </c>
      <c r="O115" s="10">
        <v>3</v>
      </c>
      <c r="P115" s="10">
        <v>1</v>
      </c>
    </row>
    <row r="116" spans="4:16" x14ac:dyDescent="0.25">
      <c r="D116" s="95">
        <v>112</v>
      </c>
      <c r="E116" s="48">
        <v>154</v>
      </c>
      <c r="F116" s="10">
        <v>3</v>
      </c>
      <c r="G116" s="10">
        <v>0</v>
      </c>
      <c r="H116" s="5" t="str">
        <f t="shared" si="5"/>
        <v>det_154</v>
      </c>
      <c r="I116" s="5" t="str">
        <f t="shared" si="6"/>
        <v>W:\Performance Measurement\1. Freeway\1. raw data\2012\data files\det_154.txt</v>
      </c>
      <c r="J116" s="5" t="str">
        <f t="shared" si="7"/>
        <v>W:\Performance Measurement\1. Freeway\1. raw data\2012\data files\det_154.xlsx</v>
      </c>
      <c r="K116" s="5"/>
      <c r="M116" s="106" t="s">
        <v>65</v>
      </c>
      <c r="N116" s="10">
        <v>334</v>
      </c>
      <c r="O116" s="10">
        <v>3</v>
      </c>
      <c r="P116" s="10">
        <v>1</v>
      </c>
    </row>
    <row r="117" spans="4:16" x14ac:dyDescent="0.25">
      <c r="D117" s="95">
        <v>113</v>
      </c>
      <c r="E117" s="48">
        <v>155</v>
      </c>
      <c r="F117" s="10">
        <v>3</v>
      </c>
      <c r="G117" s="10">
        <v>0</v>
      </c>
      <c r="H117" s="5" t="str">
        <f t="shared" si="5"/>
        <v>det_155</v>
      </c>
      <c r="I117" s="5" t="str">
        <f t="shared" si="6"/>
        <v>W:\Performance Measurement\1. Freeway\1. raw data\2012\data files\det_155.txt</v>
      </c>
      <c r="J117" s="5" t="str">
        <f t="shared" si="7"/>
        <v>W:\Performance Measurement\1. Freeway\1. raw data\2012\data files\det_155.xlsx</v>
      </c>
      <c r="K117" s="5"/>
      <c r="M117" s="104" t="s">
        <v>65</v>
      </c>
      <c r="N117" s="42">
        <v>336</v>
      </c>
      <c r="O117" s="42">
        <v>3</v>
      </c>
      <c r="P117" s="42">
        <v>1</v>
      </c>
    </row>
    <row r="118" spans="4:16" x14ac:dyDescent="0.25">
      <c r="D118" s="95">
        <v>114</v>
      </c>
      <c r="E118" s="48">
        <v>156</v>
      </c>
      <c r="F118" s="10">
        <v>3</v>
      </c>
      <c r="G118" s="10">
        <v>0</v>
      </c>
      <c r="H118" s="5" t="str">
        <f t="shared" si="5"/>
        <v>det_156</v>
      </c>
      <c r="I118" s="5" t="str">
        <f t="shared" si="6"/>
        <v>W:\Performance Measurement\1. Freeway\1. raw data\2012\data files\det_156.txt</v>
      </c>
      <c r="J118" s="5" t="str">
        <f t="shared" si="7"/>
        <v>W:\Performance Measurement\1. Freeway\1. raw data\2012\data files\det_156.xlsx</v>
      </c>
      <c r="K118" s="5"/>
      <c r="M118" s="104" t="s">
        <v>65</v>
      </c>
      <c r="N118" s="42">
        <v>312</v>
      </c>
      <c r="O118" s="42">
        <v>3</v>
      </c>
      <c r="P118" s="42">
        <v>1</v>
      </c>
    </row>
    <row r="119" spans="4:16" x14ac:dyDescent="0.25">
      <c r="D119" s="95">
        <v>115</v>
      </c>
      <c r="E119" s="48">
        <v>161</v>
      </c>
      <c r="F119" s="10">
        <v>2</v>
      </c>
      <c r="G119" s="10">
        <v>0</v>
      </c>
      <c r="H119" s="5" t="str">
        <f t="shared" si="5"/>
        <v>det_161</v>
      </c>
      <c r="I119" s="5" t="str">
        <f t="shared" si="6"/>
        <v>W:\Performance Measurement\1. Freeway\1. raw data\2012\data files\det_161.txt</v>
      </c>
      <c r="J119" s="5" t="str">
        <f t="shared" si="7"/>
        <v>W:\Performance Measurement\1. Freeway\1. raw data\2012\data files\det_161.xlsx</v>
      </c>
      <c r="K119" s="5"/>
      <c r="M119" s="106" t="s">
        <v>65</v>
      </c>
      <c r="N119" s="10">
        <v>309</v>
      </c>
      <c r="O119" s="10">
        <v>3</v>
      </c>
      <c r="P119" s="10">
        <v>1</v>
      </c>
    </row>
    <row r="120" spans="4:16" x14ac:dyDescent="0.25">
      <c r="D120" s="95">
        <v>116</v>
      </c>
      <c r="E120" s="48">
        <v>162</v>
      </c>
      <c r="F120" s="10">
        <v>4</v>
      </c>
      <c r="G120" s="10">
        <v>1</v>
      </c>
      <c r="H120" s="5" t="str">
        <f t="shared" si="5"/>
        <v>det_162</v>
      </c>
      <c r="I120" s="5" t="str">
        <f t="shared" si="6"/>
        <v>W:\Performance Measurement\1. Freeway\1. raw data\2012\data files\det_162.txt</v>
      </c>
      <c r="J120" s="5" t="str">
        <f t="shared" si="7"/>
        <v>W:\Performance Measurement\1. Freeway\1. raw data\2012\data files\det_162.xlsx</v>
      </c>
      <c r="K120" s="5"/>
      <c r="M120" s="106" t="s">
        <v>65</v>
      </c>
      <c r="N120" s="10">
        <v>306</v>
      </c>
      <c r="O120" s="10">
        <v>3</v>
      </c>
      <c r="P120" s="10">
        <v>1</v>
      </c>
    </row>
    <row r="121" spans="4:16" x14ac:dyDescent="0.25">
      <c r="D121" s="95">
        <v>117</v>
      </c>
      <c r="E121" s="48">
        <v>163</v>
      </c>
      <c r="F121" s="10">
        <v>0</v>
      </c>
      <c r="G121" s="10">
        <v>0</v>
      </c>
      <c r="H121" s="5" t="str">
        <f t="shared" si="5"/>
        <v>det_163</v>
      </c>
      <c r="I121" s="5" t="str">
        <f t="shared" si="6"/>
        <v>W:\Performance Measurement\1. Freeway\1. raw data\2012\data files\det_163.txt</v>
      </c>
      <c r="J121" s="5" t="str">
        <f t="shared" si="7"/>
        <v>W:\Performance Measurement\1. Freeway\1. raw data\2012\data files\det_163.xlsx</v>
      </c>
      <c r="K121" s="5"/>
      <c r="M121" s="106" t="s">
        <v>65</v>
      </c>
      <c r="N121" s="10">
        <v>303</v>
      </c>
      <c r="O121" s="10">
        <v>3</v>
      </c>
      <c r="P121" s="10">
        <v>1</v>
      </c>
    </row>
    <row r="122" spans="4:16" x14ac:dyDescent="0.25">
      <c r="D122" s="95">
        <v>118</v>
      </c>
      <c r="E122" s="48">
        <v>167</v>
      </c>
      <c r="F122" s="10">
        <v>2</v>
      </c>
      <c r="G122" s="10">
        <v>0</v>
      </c>
      <c r="H122" s="5" t="str">
        <f t="shared" si="5"/>
        <v>det_167</v>
      </c>
      <c r="I122" s="5" t="str">
        <f t="shared" si="6"/>
        <v>W:\Performance Measurement\1. Freeway\1. raw data\2012\data files\det_167.txt</v>
      </c>
      <c r="J122" s="5" t="str">
        <f t="shared" si="7"/>
        <v>W:\Performance Measurement\1. Freeway\1. raw data\2012\data files\det_167.xlsx</v>
      </c>
      <c r="K122" s="5"/>
      <c r="M122" s="106" t="s">
        <v>65</v>
      </c>
      <c r="N122" s="10">
        <v>300</v>
      </c>
      <c r="O122" s="10">
        <v>3</v>
      </c>
      <c r="P122" s="10">
        <v>1</v>
      </c>
    </row>
    <row r="123" spans="4:16" x14ac:dyDescent="0.25">
      <c r="D123" s="95">
        <v>119</v>
      </c>
      <c r="E123" s="48">
        <v>169</v>
      </c>
      <c r="F123" s="10">
        <v>3</v>
      </c>
      <c r="G123" s="10">
        <v>0</v>
      </c>
      <c r="H123" s="5" t="str">
        <f t="shared" si="5"/>
        <v>det_169</v>
      </c>
      <c r="I123" s="5" t="str">
        <f t="shared" si="6"/>
        <v>W:\Performance Measurement\1. Freeway\1. raw data\2012\data files\det_169.txt</v>
      </c>
      <c r="J123" s="5" t="str">
        <f t="shared" si="7"/>
        <v>W:\Performance Measurement\1. Freeway\1. raw data\2012\data files\det_169.xlsx</v>
      </c>
      <c r="K123" s="5"/>
      <c r="M123" s="106" t="s">
        <v>65</v>
      </c>
      <c r="N123" s="10">
        <v>299</v>
      </c>
      <c r="O123" s="10">
        <v>4</v>
      </c>
      <c r="P123" s="10">
        <v>1</v>
      </c>
    </row>
    <row r="124" spans="4:16" x14ac:dyDescent="0.25">
      <c r="D124" s="95">
        <v>120</v>
      </c>
      <c r="E124" s="48">
        <v>171</v>
      </c>
      <c r="F124" s="10">
        <v>3</v>
      </c>
      <c r="G124" s="10">
        <v>0</v>
      </c>
      <c r="H124" s="5" t="str">
        <f t="shared" si="5"/>
        <v>det_171</v>
      </c>
      <c r="I124" s="5" t="str">
        <f t="shared" si="6"/>
        <v>W:\Performance Measurement\1. Freeway\1. raw data\2012\data files\det_171.txt</v>
      </c>
      <c r="J124" s="5" t="str">
        <f t="shared" si="7"/>
        <v>W:\Performance Measurement\1. Freeway\1. raw data\2012\data files\det_171.xlsx</v>
      </c>
      <c r="K124" s="5"/>
      <c r="M124" s="106" t="s">
        <v>65</v>
      </c>
      <c r="N124" s="10">
        <v>297</v>
      </c>
      <c r="O124" s="10">
        <v>5</v>
      </c>
      <c r="P124" s="10">
        <v>1</v>
      </c>
    </row>
    <row r="125" spans="4:16" x14ac:dyDescent="0.25">
      <c r="D125" s="95">
        <v>121</v>
      </c>
      <c r="E125" s="48">
        <v>176</v>
      </c>
      <c r="F125" s="10">
        <v>2</v>
      </c>
      <c r="G125" s="10">
        <v>0</v>
      </c>
      <c r="H125" s="5" t="str">
        <f t="shared" si="5"/>
        <v>det_176</v>
      </c>
      <c r="I125" s="5" t="str">
        <f t="shared" si="6"/>
        <v>W:\Performance Measurement\1. Freeway\1. raw data\2012\data files\det_176.txt</v>
      </c>
      <c r="J125" s="5" t="str">
        <f t="shared" si="7"/>
        <v>W:\Performance Measurement\1. Freeway\1. raw data\2012\data files\det_176.xlsx</v>
      </c>
      <c r="K125" s="5"/>
      <c r="M125" s="106" t="s">
        <v>65</v>
      </c>
      <c r="N125" s="10">
        <v>294</v>
      </c>
      <c r="O125" s="10">
        <v>4</v>
      </c>
      <c r="P125" s="10">
        <v>1</v>
      </c>
    </row>
    <row r="126" spans="4:16" x14ac:dyDescent="0.25">
      <c r="D126" s="95">
        <v>122</v>
      </c>
      <c r="E126" s="48">
        <v>178</v>
      </c>
      <c r="F126" s="10">
        <v>3</v>
      </c>
      <c r="G126" s="10">
        <v>0</v>
      </c>
      <c r="H126" s="5" t="str">
        <f t="shared" si="5"/>
        <v>det_178</v>
      </c>
      <c r="I126" s="5" t="str">
        <f t="shared" si="6"/>
        <v>W:\Performance Measurement\1. Freeway\1. raw data\2012\data files\det_178.txt</v>
      </c>
      <c r="J126" s="5" t="str">
        <f t="shared" si="7"/>
        <v>W:\Performance Measurement\1. Freeway\1. raw data\2012\data files\det_178.xlsx</v>
      </c>
      <c r="K126" s="5"/>
      <c r="M126" s="106" t="s">
        <v>65</v>
      </c>
      <c r="N126" s="10">
        <v>292</v>
      </c>
      <c r="O126" s="10">
        <v>4</v>
      </c>
      <c r="P126" s="10">
        <v>1</v>
      </c>
    </row>
    <row r="127" spans="4:16" x14ac:dyDescent="0.25">
      <c r="D127" s="95">
        <v>123</v>
      </c>
      <c r="E127" s="48">
        <v>179</v>
      </c>
      <c r="F127" s="10">
        <v>2</v>
      </c>
      <c r="G127" s="10">
        <v>0</v>
      </c>
      <c r="H127" s="5" t="str">
        <f t="shared" si="5"/>
        <v>det_179</v>
      </c>
      <c r="I127" s="5" t="str">
        <f t="shared" si="6"/>
        <v>W:\Performance Measurement\1. Freeway\1. raw data\2012\data files\det_179.txt</v>
      </c>
      <c r="J127" s="5" t="str">
        <f t="shared" si="7"/>
        <v>W:\Performance Measurement\1. Freeway\1. raw data\2012\data files\det_179.xlsx</v>
      </c>
      <c r="K127" s="5"/>
      <c r="M127" s="106" t="s">
        <v>66</v>
      </c>
      <c r="N127" s="10">
        <v>229</v>
      </c>
      <c r="O127" s="10">
        <v>2</v>
      </c>
      <c r="P127" s="10">
        <v>1</v>
      </c>
    </row>
    <row r="128" spans="4:16" x14ac:dyDescent="0.25">
      <c r="D128" s="95">
        <v>124</v>
      </c>
      <c r="E128" s="48">
        <v>182</v>
      </c>
      <c r="F128" s="10">
        <v>3</v>
      </c>
      <c r="G128" s="10">
        <v>0</v>
      </c>
      <c r="H128" s="5" t="str">
        <f t="shared" si="5"/>
        <v>det_182</v>
      </c>
      <c r="I128" s="5" t="str">
        <f t="shared" si="6"/>
        <v>W:\Performance Measurement\1. Freeway\1. raw data\2012\data files\det_182.txt</v>
      </c>
      <c r="J128" s="5" t="str">
        <f t="shared" si="7"/>
        <v>W:\Performance Measurement\1. Freeway\1. raw data\2012\data files\det_182.xlsx</v>
      </c>
      <c r="K128" s="5"/>
      <c r="M128" s="106" t="s">
        <v>66</v>
      </c>
      <c r="N128" s="10">
        <v>230</v>
      </c>
      <c r="O128" s="10">
        <v>4</v>
      </c>
      <c r="P128" s="10">
        <v>1</v>
      </c>
    </row>
    <row r="129" spans="4:16" x14ac:dyDescent="0.25">
      <c r="D129" s="95">
        <v>125</v>
      </c>
      <c r="E129" s="48">
        <v>184</v>
      </c>
      <c r="F129" s="10">
        <v>2</v>
      </c>
      <c r="G129" s="10">
        <v>0</v>
      </c>
      <c r="H129" s="5" t="str">
        <f t="shared" si="5"/>
        <v>det_184</v>
      </c>
      <c r="I129" s="5" t="str">
        <f t="shared" si="6"/>
        <v>W:\Performance Measurement\1. Freeway\1. raw data\2012\data files\det_184.txt</v>
      </c>
      <c r="J129" s="5" t="str">
        <f t="shared" si="7"/>
        <v>W:\Performance Measurement\1. Freeway\1. raw data\2012\data files\det_184.xlsx</v>
      </c>
      <c r="K129" s="5"/>
      <c r="M129" s="106" t="s">
        <v>66</v>
      </c>
      <c r="N129" s="10">
        <v>233</v>
      </c>
      <c r="O129" s="10">
        <v>4</v>
      </c>
      <c r="P129" s="10">
        <v>1</v>
      </c>
    </row>
    <row r="130" spans="4:16" x14ac:dyDescent="0.25">
      <c r="D130" s="95">
        <v>126</v>
      </c>
      <c r="E130" s="48">
        <v>187</v>
      </c>
      <c r="F130" s="10">
        <v>2</v>
      </c>
      <c r="G130" s="10">
        <v>0</v>
      </c>
      <c r="H130" s="5" t="str">
        <f t="shared" si="5"/>
        <v>det_187</v>
      </c>
      <c r="I130" s="5" t="str">
        <f t="shared" si="6"/>
        <v>W:\Performance Measurement\1. Freeway\1. raw data\2012\data files\det_187.txt</v>
      </c>
      <c r="J130" s="5" t="str">
        <f t="shared" si="7"/>
        <v>W:\Performance Measurement\1. Freeway\1. raw data\2012\data files\det_187.xlsx</v>
      </c>
      <c r="K130" s="5"/>
      <c r="M130" s="106" t="s">
        <v>66</v>
      </c>
      <c r="N130" s="10">
        <v>235</v>
      </c>
      <c r="O130" s="10">
        <v>5</v>
      </c>
      <c r="P130" s="10">
        <v>1</v>
      </c>
    </row>
    <row r="131" spans="4:16" x14ac:dyDescent="0.25">
      <c r="D131" s="95">
        <v>127</v>
      </c>
      <c r="E131" s="48">
        <v>190</v>
      </c>
      <c r="F131" s="10">
        <v>3</v>
      </c>
      <c r="G131" s="10">
        <v>1</v>
      </c>
      <c r="H131" s="5" t="str">
        <f t="shared" si="5"/>
        <v>det_190</v>
      </c>
      <c r="I131" s="5" t="str">
        <f t="shared" si="6"/>
        <v>W:\Performance Measurement\1. Freeway\1. raw data\2012\data files\det_190.txt</v>
      </c>
      <c r="J131" s="5" t="str">
        <f t="shared" si="7"/>
        <v>W:\Performance Measurement\1. Freeway\1. raw data\2012\data files\det_190.xlsx</v>
      </c>
      <c r="K131" s="5"/>
      <c r="M131" s="106" t="s">
        <v>66</v>
      </c>
      <c r="N131" s="10">
        <v>237</v>
      </c>
      <c r="O131" s="10">
        <v>4</v>
      </c>
      <c r="P131" s="10">
        <v>1</v>
      </c>
    </row>
    <row r="132" spans="4:16" x14ac:dyDescent="0.25">
      <c r="D132" s="95">
        <v>128</v>
      </c>
      <c r="E132" s="48">
        <v>193</v>
      </c>
      <c r="F132" s="10">
        <v>3</v>
      </c>
      <c r="G132" s="10">
        <v>1</v>
      </c>
      <c r="H132" s="5" t="str">
        <f t="shared" si="5"/>
        <v>det_193</v>
      </c>
      <c r="I132" s="5" t="str">
        <f t="shared" si="6"/>
        <v>W:\Performance Measurement\1. Freeway\1. raw data\2012\data files\det_193.txt</v>
      </c>
      <c r="J132" s="5" t="str">
        <f t="shared" si="7"/>
        <v>W:\Performance Measurement\1. Freeway\1. raw data\2012\data files\det_193.xlsx</v>
      </c>
      <c r="K132" s="5"/>
      <c r="M132" s="106" t="s">
        <v>66</v>
      </c>
      <c r="N132" s="10">
        <v>239</v>
      </c>
      <c r="O132" s="10">
        <v>4</v>
      </c>
      <c r="P132" s="10">
        <v>1</v>
      </c>
    </row>
    <row r="133" spans="4:16" x14ac:dyDescent="0.25">
      <c r="D133" s="95">
        <v>129</v>
      </c>
      <c r="E133" s="48">
        <v>195</v>
      </c>
      <c r="F133" s="10">
        <v>3</v>
      </c>
      <c r="G133" s="10">
        <v>1</v>
      </c>
      <c r="H133" s="5" t="str">
        <f t="shared" ref="H133:H196" si="8">"det_"&amp;E133&amp;""</f>
        <v>det_195</v>
      </c>
      <c r="I133" s="5" t="str">
        <f t="shared" ref="I133:I196" si="9">$B$5&amp;"\"&amp;H133&amp;".txt"</f>
        <v>W:\Performance Measurement\1. Freeway\1. raw data\2012\data files\det_195.txt</v>
      </c>
      <c r="J133" s="5" t="str">
        <f t="shared" ref="J133:J196" si="10">$B$5&amp;"\"&amp;H133&amp;".xlsx"</f>
        <v>W:\Performance Measurement\1. Freeway\1. raw data\2012\data files\det_195.xlsx</v>
      </c>
      <c r="K133" s="5"/>
      <c r="M133" s="106" t="s">
        <v>66</v>
      </c>
      <c r="N133" s="10">
        <v>241</v>
      </c>
      <c r="O133" s="10">
        <v>4</v>
      </c>
      <c r="P133" s="10">
        <v>1</v>
      </c>
    </row>
    <row r="134" spans="4:16" x14ac:dyDescent="0.25">
      <c r="D134" s="95">
        <v>130</v>
      </c>
      <c r="E134" s="48">
        <v>198</v>
      </c>
      <c r="F134" s="10">
        <v>3</v>
      </c>
      <c r="G134" s="10">
        <v>1</v>
      </c>
      <c r="H134" s="5" t="str">
        <f t="shared" si="8"/>
        <v>det_198</v>
      </c>
      <c r="I134" s="5" t="str">
        <f t="shared" si="9"/>
        <v>W:\Performance Measurement\1. Freeway\1. raw data\2012\data files\det_198.txt</v>
      </c>
      <c r="J134" s="5" t="str">
        <f t="shared" si="10"/>
        <v>W:\Performance Measurement\1. Freeway\1. raw data\2012\data files\det_198.xlsx</v>
      </c>
      <c r="K134" s="5"/>
      <c r="M134" s="106" t="s">
        <v>66</v>
      </c>
      <c r="N134" s="10">
        <v>243</v>
      </c>
      <c r="O134" s="10">
        <v>4</v>
      </c>
      <c r="P134" s="10">
        <v>1</v>
      </c>
    </row>
    <row r="135" spans="4:16" x14ac:dyDescent="0.25">
      <c r="D135" s="95">
        <v>131</v>
      </c>
      <c r="E135" s="48">
        <v>201</v>
      </c>
      <c r="F135" s="10">
        <v>3</v>
      </c>
      <c r="G135" s="10">
        <v>1</v>
      </c>
      <c r="H135" s="5" t="str">
        <f t="shared" si="8"/>
        <v>det_201</v>
      </c>
      <c r="I135" s="5" t="str">
        <f t="shared" si="9"/>
        <v>W:\Performance Measurement\1. Freeway\1. raw data\2012\data files\det_201.txt</v>
      </c>
      <c r="J135" s="5" t="str">
        <f t="shared" si="10"/>
        <v>W:\Performance Measurement\1. Freeway\1. raw data\2012\data files\det_201.xlsx</v>
      </c>
      <c r="K135" s="5"/>
      <c r="M135" s="106" t="s">
        <v>66</v>
      </c>
      <c r="N135" s="10">
        <v>245</v>
      </c>
      <c r="O135" s="10">
        <v>5</v>
      </c>
      <c r="P135" s="10">
        <v>1</v>
      </c>
    </row>
    <row r="136" spans="4:16" x14ac:dyDescent="0.25">
      <c r="D136" s="95">
        <v>132</v>
      </c>
      <c r="E136" s="48">
        <v>203</v>
      </c>
      <c r="F136" s="10">
        <v>4</v>
      </c>
      <c r="G136" s="10">
        <v>1</v>
      </c>
      <c r="H136" s="5" t="str">
        <f t="shared" si="8"/>
        <v>det_203</v>
      </c>
      <c r="I136" s="5" t="str">
        <f t="shared" si="9"/>
        <v>W:\Performance Measurement\1. Freeway\1. raw data\2012\data files\det_203.txt</v>
      </c>
      <c r="J136" s="5" t="str">
        <f t="shared" si="10"/>
        <v>W:\Performance Measurement\1. Freeway\1. raw data\2012\data files\det_203.xlsx</v>
      </c>
      <c r="K136" s="5"/>
      <c r="M136" s="106" t="s">
        <v>66</v>
      </c>
      <c r="N136" s="10">
        <v>246</v>
      </c>
      <c r="O136" s="10">
        <v>5</v>
      </c>
      <c r="P136" s="10">
        <v>1</v>
      </c>
    </row>
    <row r="137" spans="4:16" x14ac:dyDescent="0.25">
      <c r="D137" s="95">
        <v>133</v>
      </c>
      <c r="E137" s="48">
        <v>206</v>
      </c>
      <c r="F137" s="10">
        <v>3</v>
      </c>
      <c r="G137" s="10">
        <v>1</v>
      </c>
      <c r="H137" s="5" t="str">
        <f t="shared" si="8"/>
        <v>det_206</v>
      </c>
      <c r="I137" s="5" t="str">
        <f t="shared" si="9"/>
        <v>W:\Performance Measurement\1. Freeway\1. raw data\2012\data files\det_206.txt</v>
      </c>
      <c r="J137" s="5" t="str">
        <f t="shared" si="10"/>
        <v>W:\Performance Measurement\1. Freeway\1. raw data\2012\data files\det_206.xlsx</v>
      </c>
      <c r="K137" s="5"/>
      <c r="M137" s="106" t="s">
        <v>66</v>
      </c>
      <c r="N137" s="10">
        <v>248</v>
      </c>
      <c r="O137" s="10">
        <v>6</v>
      </c>
      <c r="P137" s="10">
        <v>1</v>
      </c>
    </row>
    <row r="138" spans="4:16" x14ac:dyDescent="0.25">
      <c r="D138" s="95">
        <v>134</v>
      </c>
      <c r="E138" s="48">
        <v>209</v>
      </c>
      <c r="F138" s="10">
        <v>3</v>
      </c>
      <c r="G138" s="10">
        <v>1</v>
      </c>
      <c r="H138" s="5" t="str">
        <f t="shared" si="8"/>
        <v>det_209</v>
      </c>
      <c r="I138" s="5" t="str">
        <f t="shared" si="9"/>
        <v>W:\Performance Measurement\1. Freeway\1. raw data\2012\data files\det_209.txt</v>
      </c>
      <c r="J138" s="5" t="str">
        <f t="shared" si="10"/>
        <v>W:\Performance Measurement\1. Freeway\1. raw data\2012\data files\det_209.xlsx</v>
      </c>
      <c r="K138" s="5"/>
      <c r="M138" s="106" t="s">
        <v>66</v>
      </c>
      <c r="N138" s="10">
        <v>250</v>
      </c>
      <c r="O138" s="10">
        <v>5</v>
      </c>
      <c r="P138" s="10">
        <v>1</v>
      </c>
    </row>
    <row r="139" spans="4:16" x14ac:dyDescent="0.25">
      <c r="D139" s="95">
        <v>135</v>
      </c>
      <c r="E139" s="48">
        <v>212</v>
      </c>
      <c r="F139" s="10">
        <v>4</v>
      </c>
      <c r="G139" s="10">
        <v>1</v>
      </c>
      <c r="H139" s="5" t="str">
        <f t="shared" si="8"/>
        <v>det_212</v>
      </c>
      <c r="I139" s="5" t="str">
        <f t="shared" si="9"/>
        <v>W:\Performance Measurement\1. Freeway\1. raw data\2012\data files\det_212.txt</v>
      </c>
      <c r="J139" s="5" t="str">
        <f t="shared" si="10"/>
        <v>W:\Performance Measurement\1. Freeway\1. raw data\2012\data files\det_212.xlsx</v>
      </c>
      <c r="K139" s="5"/>
      <c r="M139" s="106" t="s">
        <v>66</v>
      </c>
      <c r="N139" s="10">
        <v>252</v>
      </c>
      <c r="O139" s="10">
        <v>6</v>
      </c>
      <c r="P139" s="10">
        <v>1</v>
      </c>
    </row>
    <row r="140" spans="4:16" x14ac:dyDescent="0.25">
      <c r="D140" s="95">
        <v>136</v>
      </c>
      <c r="E140" s="48">
        <v>214</v>
      </c>
      <c r="F140" s="10">
        <v>3</v>
      </c>
      <c r="G140" s="10">
        <v>1</v>
      </c>
      <c r="H140" s="5" t="str">
        <f t="shared" si="8"/>
        <v>det_214</v>
      </c>
      <c r="I140" s="5" t="str">
        <f t="shared" si="9"/>
        <v>W:\Performance Measurement\1. Freeway\1. raw data\2012\data files\det_214.txt</v>
      </c>
      <c r="J140" s="5" t="str">
        <f t="shared" si="10"/>
        <v>W:\Performance Measurement\1. Freeway\1. raw data\2012\data files\det_214.xlsx</v>
      </c>
      <c r="K140" s="5"/>
      <c r="M140" s="106" t="s">
        <v>66</v>
      </c>
      <c r="N140" s="10">
        <v>254</v>
      </c>
      <c r="O140" s="10">
        <v>3</v>
      </c>
      <c r="P140" s="10">
        <v>1</v>
      </c>
    </row>
    <row r="141" spans="4:16" x14ac:dyDescent="0.25">
      <c r="D141" s="95">
        <v>137</v>
      </c>
      <c r="E141" s="48">
        <v>217</v>
      </c>
      <c r="F141" s="10">
        <v>2</v>
      </c>
      <c r="G141" s="10">
        <v>1</v>
      </c>
      <c r="H141" s="5" t="str">
        <f t="shared" si="8"/>
        <v>det_217</v>
      </c>
      <c r="I141" s="5" t="str">
        <f t="shared" si="9"/>
        <v>W:\Performance Measurement\1. Freeway\1. raw data\2012\data files\det_217.txt</v>
      </c>
      <c r="J141" s="5" t="str">
        <f t="shared" si="10"/>
        <v>W:\Performance Measurement\1. Freeway\1. raw data\2012\data files\det_217.xlsx</v>
      </c>
      <c r="K141" s="5"/>
      <c r="M141" s="106" t="s">
        <v>66</v>
      </c>
      <c r="N141" s="10">
        <v>272</v>
      </c>
      <c r="O141" s="10">
        <v>3</v>
      </c>
      <c r="P141" s="10">
        <v>1</v>
      </c>
    </row>
    <row r="142" spans="4:16" x14ac:dyDescent="0.25">
      <c r="D142" s="95">
        <v>138</v>
      </c>
      <c r="E142" s="48">
        <v>220</v>
      </c>
      <c r="F142" s="10">
        <v>3</v>
      </c>
      <c r="G142" s="10">
        <v>1</v>
      </c>
      <c r="H142" s="5" t="str">
        <f t="shared" si="8"/>
        <v>det_220</v>
      </c>
      <c r="I142" s="5" t="str">
        <f t="shared" si="9"/>
        <v>W:\Performance Measurement\1. Freeway\1. raw data\2012\data files\det_220.txt</v>
      </c>
      <c r="J142" s="5" t="str">
        <f t="shared" si="10"/>
        <v>W:\Performance Measurement\1. Freeway\1. raw data\2012\data files\det_220.xlsx</v>
      </c>
      <c r="K142" s="5"/>
      <c r="M142" s="106" t="s">
        <v>66</v>
      </c>
      <c r="N142" s="10">
        <v>275</v>
      </c>
      <c r="O142" s="10">
        <v>5</v>
      </c>
      <c r="P142" s="10">
        <v>1</v>
      </c>
    </row>
    <row r="143" spans="4:16" x14ac:dyDescent="0.25">
      <c r="D143" s="95">
        <v>139</v>
      </c>
      <c r="E143" s="48">
        <v>223</v>
      </c>
      <c r="F143" s="10">
        <v>4</v>
      </c>
      <c r="G143" s="10">
        <v>1</v>
      </c>
      <c r="H143" s="5" t="str">
        <f t="shared" si="8"/>
        <v>det_223</v>
      </c>
      <c r="I143" s="5" t="str">
        <f t="shared" si="9"/>
        <v>W:\Performance Measurement\1. Freeway\1. raw data\2012\data files\det_223.txt</v>
      </c>
      <c r="J143" s="5" t="str">
        <f t="shared" si="10"/>
        <v>W:\Performance Measurement\1. Freeway\1. raw data\2012\data files\det_223.xlsx</v>
      </c>
      <c r="K143" s="5"/>
      <c r="M143" s="106" t="s">
        <v>66</v>
      </c>
      <c r="N143" s="10">
        <v>278</v>
      </c>
      <c r="O143" s="10">
        <v>4</v>
      </c>
      <c r="P143" s="10">
        <v>1</v>
      </c>
    </row>
    <row r="144" spans="4:16" x14ac:dyDescent="0.25">
      <c r="D144" s="95">
        <v>140</v>
      </c>
      <c r="E144" s="48">
        <v>225</v>
      </c>
      <c r="F144" s="10">
        <v>3</v>
      </c>
      <c r="G144" s="10">
        <v>1</v>
      </c>
      <c r="H144" s="5" t="str">
        <f t="shared" si="8"/>
        <v>det_225</v>
      </c>
      <c r="I144" s="5" t="str">
        <f t="shared" si="9"/>
        <v>W:\Performance Measurement\1. Freeway\1. raw data\2012\data files\det_225.txt</v>
      </c>
      <c r="J144" s="5" t="str">
        <f t="shared" si="10"/>
        <v>W:\Performance Measurement\1. Freeway\1. raw data\2012\data files\det_225.xlsx</v>
      </c>
      <c r="K144" s="5"/>
      <c r="M144" s="106" t="s">
        <v>66</v>
      </c>
      <c r="N144" s="10">
        <v>281</v>
      </c>
      <c r="O144" s="10">
        <v>4</v>
      </c>
      <c r="P144" s="10">
        <v>1</v>
      </c>
    </row>
    <row r="145" spans="4:16" x14ac:dyDescent="0.25">
      <c r="D145" s="95">
        <v>141</v>
      </c>
      <c r="E145" s="48">
        <v>229</v>
      </c>
      <c r="F145" s="10">
        <v>2</v>
      </c>
      <c r="G145" s="10">
        <v>1</v>
      </c>
      <c r="H145" s="5" t="str">
        <f t="shared" si="8"/>
        <v>det_229</v>
      </c>
      <c r="I145" s="5" t="str">
        <f t="shared" si="9"/>
        <v>W:\Performance Measurement\1. Freeway\1. raw data\2012\data files\det_229.txt</v>
      </c>
      <c r="J145" s="5" t="str">
        <f t="shared" si="10"/>
        <v>W:\Performance Measurement\1. Freeway\1. raw data\2012\data files\det_229.xlsx</v>
      </c>
      <c r="K145" s="5"/>
      <c r="M145" s="106" t="s">
        <v>66</v>
      </c>
      <c r="N145" s="10">
        <v>284</v>
      </c>
      <c r="O145" s="10">
        <v>3</v>
      </c>
      <c r="P145" s="10">
        <v>1</v>
      </c>
    </row>
    <row r="146" spans="4:16" x14ac:dyDescent="0.25">
      <c r="D146" s="95">
        <v>142</v>
      </c>
      <c r="E146" s="48">
        <v>230</v>
      </c>
      <c r="F146" s="11">
        <v>3</v>
      </c>
      <c r="G146" s="10">
        <v>1</v>
      </c>
      <c r="H146" s="5" t="str">
        <f t="shared" si="8"/>
        <v>det_230</v>
      </c>
      <c r="I146" s="5" t="str">
        <f t="shared" si="9"/>
        <v>W:\Performance Measurement\1. Freeway\1. raw data\2012\data files\det_230.txt</v>
      </c>
      <c r="J146" s="5" t="str">
        <f t="shared" si="10"/>
        <v>W:\Performance Measurement\1. Freeway\1. raw data\2012\data files\det_230.xlsx</v>
      </c>
      <c r="K146" s="5"/>
      <c r="M146" s="106" t="s">
        <v>66</v>
      </c>
      <c r="N146" s="10">
        <v>286</v>
      </c>
      <c r="O146" s="10">
        <v>3</v>
      </c>
      <c r="P146" s="10">
        <v>1</v>
      </c>
    </row>
    <row r="147" spans="4:16" x14ac:dyDescent="0.25">
      <c r="D147" s="95">
        <v>143</v>
      </c>
      <c r="E147" s="48">
        <v>233</v>
      </c>
      <c r="F147" s="11">
        <v>3</v>
      </c>
      <c r="G147" s="10">
        <v>1</v>
      </c>
      <c r="H147" s="5" t="str">
        <f t="shared" si="8"/>
        <v>det_233</v>
      </c>
      <c r="I147" s="5" t="str">
        <f t="shared" si="9"/>
        <v>W:\Performance Measurement\1. Freeway\1. raw data\2012\data files\det_233.txt</v>
      </c>
      <c r="J147" s="5" t="str">
        <f t="shared" si="10"/>
        <v>W:\Performance Measurement\1. Freeway\1. raw data\2012\data files\det_233.xlsx</v>
      </c>
      <c r="K147" s="5"/>
      <c r="M147" s="106" t="s">
        <v>66</v>
      </c>
      <c r="N147" s="10">
        <v>288</v>
      </c>
      <c r="O147" s="10">
        <v>3</v>
      </c>
      <c r="P147" s="10">
        <v>1</v>
      </c>
    </row>
    <row r="148" spans="4:16" x14ac:dyDescent="0.25">
      <c r="D148" s="95">
        <v>144</v>
      </c>
      <c r="E148" s="48">
        <v>235</v>
      </c>
      <c r="F148" s="10">
        <v>5</v>
      </c>
      <c r="G148" s="10">
        <v>1</v>
      </c>
      <c r="H148" s="5" t="str">
        <f t="shared" si="8"/>
        <v>det_235</v>
      </c>
      <c r="I148" s="5" t="str">
        <f t="shared" si="9"/>
        <v>W:\Performance Measurement\1. Freeway\1. raw data\2012\data files\det_235.txt</v>
      </c>
      <c r="J148" s="5" t="str">
        <f t="shared" si="10"/>
        <v>W:\Performance Measurement\1. Freeway\1. raw data\2012\data files\det_235.xlsx</v>
      </c>
      <c r="K148" s="5"/>
      <c r="M148" s="106" t="s">
        <v>66</v>
      </c>
      <c r="N148" s="10">
        <v>225</v>
      </c>
      <c r="O148" s="10">
        <v>3</v>
      </c>
      <c r="P148" s="10">
        <v>1</v>
      </c>
    </row>
    <row r="149" spans="4:16" x14ac:dyDescent="0.25">
      <c r="D149" s="95">
        <v>145</v>
      </c>
      <c r="E149" s="48">
        <v>237</v>
      </c>
      <c r="F149" s="11">
        <v>3</v>
      </c>
      <c r="G149" s="10">
        <v>1</v>
      </c>
      <c r="H149" s="5" t="str">
        <f t="shared" si="8"/>
        <v>det_237</v>
      </c>
      <c r="I149" s="5" t="str">
        <f t="shared" si="9"/>
        <v>W:\Performance Measurement\1. Freeway\1. raw data\2012\data files\det_237.txt</v>
      </c>
      <c r="J149" s="5" t="str">
        <f t="shared" si="10"/>
        <v>W:\Performance Measurement\1. Freeway\1. raw data\2012\data files\det_237.xlsx</v>
      </c>
      <c r="K149" s="5"/>
      <c r="M149" s="106" t="s">
        <v>66</v>
      </c>
      <c r="N149" s="10">
        <v>223</v>
      </c>
      <c r="O149" s="10">
        <v>4</v>
      </c>
      <c r="P149" s="10">
        <v>1</v>
      </c>
    </row>
    <row r="150" spans="4:16" x14ac:dyDescent="0.25">
      <c r="D150" s="95">
        <v>146</v>
      </c>
      <c r="E150" s="48">
        <v>239</v>
      </c>
      <c r="F150" s="10">
        <v>4</v>
      </c>
      <c r="G150" s="10">
        <v>1</v>
      </c>
      <c r="H150" s="5" t="str">
        <f t="shared" si="8"/>
        <v>det_239</v>
      </c>
      <c r="I150" s="5" t="str">
        <f t="shared" si="9"/>
        <v>W:\Performance Measurement\1. Freeway\1. raw data\2012\data files\det_239.txt</v>
      </c>
      <c r="J150" s="5" t="str">
        <f t="shared" si="10"/>
        <v>W:\Performance Measurement\1. Freeway\1. raw data\2012\data files\det_239.xlsx</v>
      </c>
      <c r="K150" s="5"/>
      <c r="M150" s="106" t="s">
        <v>66</v>
      </c>
      <c r="N150" s="10">
        <v>220</v>
      </c>
      <c r="O150" s="10">
        <v>3</v>
      </c>
      <c r="P150" s="10">
        <v>1</v>
      </c>
    </row>
    <row r="151" spans="4:16" x14ac:dyDescent="0.25">
      <c r="D151" s="95">
        <v>147</v>
      </c>
      <c r="E151" s="48">
        <v>241</v>
      </c>
      <c r="F151" s="11">
        <v>3</v>
      </c>
      <c r="G151" s="10">
        <v>1</v>
      </c>
      <c r="H151" s="5" t="str">
        <f t="shared" si="8"/>
        <v>det_241</v>
      </c>
      <c r="I151" s="5" t="str">
        <f t="shared" si="9"/>
        <v>W:\Performance Measurement\1. Freeway\1. raw data\2012\data files\det_241.txt</v>
      </c>
      <c r="J151" s="5" t="str">
        <f t="shared" si="10"/>
        <v>W:\Performance Measurement\1. Freeway\1. raw data\2012\data files\det_241.xlsx</v>
      </c>
      <c r="K151" s="5"/>
      <c r="M151" s="106" t="s">
        <v>66</v>
      </c>
      <c r="N151" s="10">
        <v>217</v>
      </c>
      <c r="O151" s="10">
        <v>2</v>
      </c>
      <c r="P151" s="10">
        <v>1</v>
      </c>
    </row>
    <row r="152" spans="4:16" x14ac:dyDescent="0.25">
      <c r="D152" s="95">
        <v>148</v>
      </c>
      <c r="E152" s="48">
        <v>243</v>
      </c>
      <c r="F152" s="10">
        <v>4</v>
      </c>
      <c r="G152" s="10">
        <v>1</v>
      </c>
      <c r="H152" s="5" t="str">
        <f t="shared" si="8"/>
        <v>det_243</v>
      </c>
      <c r="I152" s="5" t="str">
        <f t="shared" si="9"/>
        <v>W:\Performance Measurement\1. Freeway\1. raw data\2012\data files\det_243.txt</v>
      </c>
      <c r="J152" s="5" t="str">
        <f t="shared" si="10"/>
        <v>W:\Performance Measurement\1. Freeway\1. raw data\2012\data files\det_243.xlsx</v>
      </c>
      <c r="K152" s="5"/>
      <c r="M152" s="106" t="s">
        <v>67</v>
      </c>
      <c r="N152" s="10">
        <v>427</v>
      </c>
      <c r="O152" s="10">
        <v>3</v>
      </c>
      <c r="P152" s="10">
        <v>1</v>
      </c>
    </row>
    <row r="153" spans="4:16" x14ac:dyDescent="0.25">
      <c r="D153" s="95">
        <v>149</v>
      </c>
      <c r="E153" s="48">
        <v>245</v>
      </c>
      <c r="F153" s="11">
        <v>4</v>
      </c>
      <c r="G153" s="10">
        <v>1</v>
      </c>
      <c r="H153" s="5" t="str">
        <f t="shared" si="8"/>
        <v>det_245</v>
      </c>
      <c r="I153" s="5" t="str">
        <f t="shared" si="9"/>
        <v>W:\Performance Measurement\1. Freeway\1. raw data\2012\data files\det_245.txt</v>
      </c>
      <c r="J153" s="5" t="str">
        <f t="shared" si="10"/>
        <v>W:\Performance Measurement\1. Freeway\1. raw data\2012\data files\det_245.xlsx</v>
      </c>
      <c r="K153" s="5"/>
      <c r="M153" s="106" t="s">
        <v>67</v>
      </c>
      <c r="N153" s="10">
        <v>428</v>
      </c>
      <c r="O153" s="10">
        <v>4</v>
      </c>
      <c r="P153" s="10">
        <v>1</v>
      </c>
    </row>
    <row r="154" spans="4:16" x14ac:dyDescent="0.25">
      <c r="D154" s="95">
        <v>150</v>
      </c>
      <c r="E154" s="48">
        <v>246</v>
      </c>
      <c r="F154" s="10">
        <v>5</v>
      </c>
      <c r="G154" s="10">
        <v>1</v>
      </c>
      <c r="H154" s="5" t="str">
        <f t="shared" si="8"/>
        <v>det_246</v>
      </c>
      <c r="I154" s="5" t="str">
        <f t="shared" si="9"/>
        <v>W:\Performance Measurement\1. Freeway\1. raw data\2012\data files\det_246.txt</v>
      </c>
      <c r="J154" s="5" t="str">
        <f t="shared" si="10"/>
        <v>W:\Performance Measurement\1. Freeway\1. raw data\2012\data files\det_246.xlsx</v>
      </c>
      <c r="K154" s="5"/>
      <c r="M154" s="106" t="s">
        <v>67</v>
      </c>
      <c r="N154" s="10">
        <v>432</v>
      </c>
      <c r="O154" s="10">
        <v>3</v>
      </c>
      <c r="P154" s="10">
        <v>1</v>
      </c>
    </row>
    <row r="155" spans="4:16" x14ac:dyDescent="0.25">
      <c r="D155" s="95">
        <v>151</v>
      </c>
      <c r="E155" s="48">
        <v>248</v>
      </c>
      <c r="F155" s="11">
        <v>4</v>
      </c>
      <c r="G155" s="10">
        <v>1</v>
      </c>
      <c r="H155" s="5" t="str">
        <f t="shared" si="8"/>
        <v>det_248</v>
      </c>
      <c r="I155" s="5" t="str">
        <f t="shared" si="9"/>
        <v>W:\Performance Measurement\1. Freeway\1. raw data\2012\data files\det_248.txt</v>
      </c>
      <c r="J155" s="5" t="str">
        <f t="shared" si="10"/>
        <v>W:\Performance Measurement\1. Freeway\1. raw data\2012\data files\det_248.xlsx</v>
      </c>
      <c r="K155" s="5"/>
      <c r="M155" s="106" t="s">
        <v>67</v>
      </c>
      <c r="N155" s="10">
        <v>435</v>
      </c>
      <c r="O155" s="10">
        <v>3</v>
      </c>
      <c r="P155" s="10">
        <v>1</v>
      </c>
    </row>
    <row r="156" spans="4:16" x14ac:dyDescent="0.25">
      <c r="D156" s="95">
        <v>152</v>
      </c>
      <c r="E156" s="48">
        <v>250</v>
      </c>
      <c r="F156" s="10">
        <v>5</v>
      </c>
      <c r="G156" s="10">
        <v>1</v>
      </c>
      <c r="H156" s="5" t="str">
        <f t="shared" si="8"/>
        <v>det_250</v>
      </c>
      <c r="I156" s="5" t="str">
        <f t="shared" si="9"/>
        <v>W:\Performance Measurement\1. Freeway\1. raw data\2012\data files\det_250.txt</v>
      </c>
      <c r="J156" s="5" t="str">
        <f t="shared" si="10"/>
        <v>W:\Performance Measurement\1. Freeway\1. raw data\2012\data files\det_250.xlsx</v>
      </c>
      <c r="K156" s="5"/>
      <c r="M156" s="106" t="s">
        <v>67</v>
      </c>
      <c r="N156" s="10">
        <v>438</v>
      </c>
      <c r="O156" s="10">
        <v>3</v>
      </c>
      <c r="P156" s="10">
        <v>1</v>
      </c>
    </row>
    <row r="157" spans="4:16" x14ac:dyDescent="0.25">
      <c r="D157" s="95">
        <v>153</v>
      </c>
      <c r="E157" s="48">
        <v>252</v>
      </c>
      <c r="F157" s="11">
        <v>4</v>
      </c>
      <c r="G157" s="10">
        <v>1</v>
      </c>
      <c r="H157" s="5" t="str">
        <f t="shared" si="8"/>
        <v>det_252</v>
      </c>
      <c r="I157" s="5" t="str">
        <f t="shared" si="9"/>
        <v>W:\Performance Measurement\1. Freeway\1. raw data\2012\data files\det_252.txt</v>
      </c>
      <c r="J157" s="5" t="str">
        <f t="shared" si="10"/>
        <v>W:\Performance Measurement\1. Freeway\1. raw data\2012\data files\det_252.xlsx</v>
      </c>
      <c r="K157" s="5"/>
      <c r="M157" s="106" t="s">
        <v>67</v>
      </c>
      <c r="N157" s="10">
        <v>439</v>
      </c>
      <c r="O157" s="10">
        <v>4</v>
      </c>
      <c r="P157" s="10">
        <v>1</v>
      </c>
    </row>
    <row r="158" spans="4:16" x14ac:dyDescent="0.25">
      <c r="D158" s="95">
        <v>154</v>
      </c>
      <c r="E158" s="48">
        <v>254</v>
      </c>
      <c r="F158" s="11">
        <v>5</v>
      </c>
      <c r="G158" s="10">
        <v>1</v>
      </c>
      <c r="H158" s="5" t="str">
        <f t="shared" si="8"/>
        <v>det_254</v>
      </c>
      <c r="I158" s="5" t="str">
        <f t="shared" si="9"/>
        <v>W:\Performance Measurement\1. Freeway\1. raw data\2012\data files\det_254.txt</v>
      </c>
      <c r="J158" s="5" t="str">
        <f t="shared" si="10"/>
        <v>W:\Performance Measurement\1. Freeway\1. raw data\2012\data files\det_254.xlsx</v>
      </c>
      <c r="K158" s="5"/>
      <c r="M158" s="106" t="s">
        <v>67</v>
      </c>
      <c r="N158" s="10">
        <v>494</v>
      </c>
      <c r="O158" s="10">
        <v>4</v>
      </c>
      <c r="P158" s="10">
        <v>1</v>
      </c>
    </row>
    <row r="159" spans="4:16" x14ac:dyDescent="0.25">
      <c r="D159" s="95">
        <v>155</v>
      </c>
      <c r="E159" s="48">
        <v>255</v>
      </c>
      <c r="F159" s="10">
        <v>3</v>
      </c>
      <c r="G159" s="10">
        <v>1</v>
      </c>
      <c r="H159" s="5" t="str">
        <f t="shared" si="8"/>
        <v>det_255</v>
      </c>
      <c r="I159" s="5" t="str">
        <f t="shared" si="9"/>
        <v>W:\Performance Measurement\1. Freeway\1. raw data\2012\data files\det_255.txt</v>
      </c>
      <c r="J159" s="5" t="str">
        <f t="shared" si="10"/>
        <v>W:\Performance Measurement\1. Freeway\1. raw data\2012\data files\det_255.xlsx</v>
      </c>
      <c r="K159" s="5"/>
      <c r="M159" s="106" t="s">
        <v>67</v>
      </c>
      <c r="N159" s="10">
        <v>497</v>
      </c>
      <c r="O159" s="10">
        <v>3</v>
      </c>
      <c r="P159" s="10">
        <v>1</v>
      </c>
    </row>
    <row r="160" spans="4:16" x14ac:dyDescent="0.25">
      <c r="D160" s="95">
        <v>156</v>
      </c>
      <c r="E160" s="48">
        <v>256</v>
      </c>
      <c r="F160" s="10">
        <v>3</v>
      </c>
      <c r="G160" s="10">
        <v>1</v>
      </c>
      <c r="H160" s="5" t="str">
        <f t="shared" si="8"/>
        <v>det_256</v>
      </c>
      <c r="I160" s="5" t="str">
        <f t="shared" si="9"/>
        <v>W:\Performance Measurement\1. Freeway\1. raw data\2012\data files\det_256.txt</v>
      </c>
      <c r="J160" s="5" t="str">
        <f t="shared" si="10"/>
        <v>W:\Performance Measurement\1. Freeway\1. raw data\2012\data files\det_256.xlsx</v>
      </c>
      <c r="K160" s="5"/>
      <c r="M160" s="106" t="s">
        <v>67</v>
      </c>
      <c r="N160" s="10">
        <v>500</v>
      </c>
      <c r="O160" s="10">
        <v>3</v>
      </c>
      <c r="P160" s="10">
        <v>1</v>
      </c>
    </row>
    <row r="161" spans="4:16" x14ac:dyDescent="0.25">
      <c r="D161" s="95">
        <v>157</v>
      </c>
      <c r="E161" s="48">
        <v>258</v>
      </c>
      <c r="F161" s="10">
        <v>5</v>
      </c>
      <c r="G161" s="10">
        <v>1</v>
      </c>
      <c r="H161" s="5" t="str">
        <f t="shared" si="8"/>
        <v>det_258</v>
      </c>
      <c r="I161" s="5" t="str">
        <f t="shared" si="9"/>
        <v>W:\Performance Measurement\1. Freeway\1. raw data\2012\data files\det_258.txt</v>
      </c>
      <c r="J161" s="5" t="str">
        <f t="shared" si="10"/>
        <v>W:\Performance Measurement\1. Freeway\1. raw data\2012\data files\det_258.xlsx</v>
      </c>
      <c r="K161" s="5"/>
      <c r="M161" s="104" t="s">
        <v>67</v>
      </c>
      <c r="N161" s="42">
        <v>502</v>
      </c>
      <c r="O161" s="42">
        <v>3</v>
      </c>
      <c r="P161" s="42">
        <v>1</v>
      </c>
    </row>
    <row r="162" spans="4:16" x14ac:dyDescent="0.25">
      <c r="D162" s="95">
        <v>158</v>
      </c>
      <c r="E162" s="48">
        <v>261</v>
      </c>
      <c r="F162" s="10">
        <v>4</v>
      </c>
      <c r="G162" s="10">
        <v>1</v>
      </c>
      <c r="H162" s="5" t="str">
        <f t="shared" si="8"/>
        <v>det_261</v>
      </c>
      <c r="I162" s="5" t="str">
        <f t="shared" si="9"/>
        <v>W:\Performance Measurement\1. Freeway\1. raw data\2012\data files\det_261.txt</v>
      </c>
      <c r="J162" s="5" t="str">
        <f t="shared" si="10"/>
        <v>W:\Performance Measurement\1. Freeway\1. raw data\2012\data files\det_261.xlsx</v>
      </c>
      <c r="K162" s="5"/>
      <c r="M162" s="106" t="s">
        <v>67</v>
      </c>
      <c r="N162" s="10">
        <v>504</v>
      </c>
      <c r="O162" s="10">
        <v>3</v>
      </c>
      <c r="P162" s="10">
        <v>1</v>
      </c>
    </row>
    <row r="163" spans="4:16" x14ac:dyDescent="0.25">
      <c r="D163" s="95">
        <v>159</v>
      </c>
      <c r="E163" s="48">
        <v>263</v>
      </c>
      <c r="F163" s="10">
        <v>4</v>
      </c>
      <c r="G163" s="10">
        <v>1</v>
      </c>
      <c r="H163" s="5" t="str">
        <f t="shared" si="8"/>
        <v>det_263</v>
      </c>
      <c r="I163" s="5" t="str">
        <f t="shared" si="9"/>
        <v>W:\Performance Measurement\1. Freeway\1. raw data\2012\data files\det_263.txt</v>
      </c>
      <c r="J163" s="5" t="str">
        <f t="shared" si="10"/>
        <v>W:\Performance Measurement\1. Freeway\1. raw data\2012\data files\det_263.xlsx</v>
      </c>
      <c r="K163" s="5"/>
      <c r="M163" s="106" t="s">
        <v>68</v>
      </c>
      <c r="N163" s="10">
        <v>441</v>
      </c>
      <c r="O163" s="10">
        <v>3</v>
      </c>
      <c r="P163" s="10">
        <v>1</v>
      </c>
    </row>
    <row r="164" spans="4:16" x14ac:dyDescent="0.25">
      <c r="D164" s="95">
        <v>160</v>
      </c>
      <c r="E164" s="48">
        <v>264</v>
      </c>
      <c r="F164" s="10">
        <v>5</v>
      </c>
      <c r="G164" s="10">
        <v>1</v>
      </c>
      <c r="H164" s="5" t="str">
        <f t="shared" si="8"/>
        <v>det_264</v>
      </c>
      <c r="I164" s="5" t="str">
        <f t="shared" si="9"/>
        <v>W:\Performance Measurement\1. Freeway\1. raw data\2012\data files\det_264.txt</v>
      </c>
      <c r="J164" s="5" t="str">
        <f t="shared" si="10"/>
        <v>W:\Performance Measurement\1. Freeway\1. raw data\2012\data files\det_264.xlsx</v>
      </c>
      <c r="K164" s="5"/>
      <c r="M164" s="106" t="s">
        <v>68</v>
      </c>
      <c r="N164" s="10">
        <v>444</v>
      </c>
      <c r="O164" s="10">
        <v>5</v>
      </c>
      <c r="P164" s="10">
        <v>1</v>
      </c>
    </row>
    <row r="165" spans="4:16" x14ac:dyDescent="0.25">
      <c r="D165" s="95">
        <v>161</v>
      </c>
      <c r="E165" s="48">
        <v>267</v>
      </c>
      <c r="F165" s="10">
        <v>4</v>
      </c>
      <c r="G165" s="10">
        <v>1</v>
      </c>
      <c r="H165" s="5" t="str">
        <f t="shared" si="8"/>
        <v>det_267</v>
      </c>
      <c r="I165" s="5" t="str">
        <f t="shared" si="9"/>
        <v>W:\Performance Measurement\1. Freeway\1. raw data\2012\data files\det_267.txt</v>
      </c>
      <c r="J165" s="5" t="str">
        <f t="shared" si="10"/>
        <v>W:\Performance Measurement\1. Freeway\1. raw data\2012\data files\det_267.xlsx</v>
      </c>
      <c r="K165" s="5"/>
      <c r="M165" s="106" t="s">
        <v>68</v>
      </c>
      <c r="N165" s="10">
        <v>447</v>
      </c>
      <c r="O165" s="10">
        <v>5</v>
      </c>
      <c r="P165" s="10">
        <v>1</v>
      </c>
    </row>
    <row r="166" spans="4:16" x14ac:dyDescent="0.25">
      <c r="D166" s="95">
        <v>162</v>
      </c>
      <c r="E166" s="48">
        <v>270</v>
      </c>
      <c r="F166" s="10">
        <v>3</v>
      </c>
      <c r="G166" s="10">
        <v>1</v>
      </c>
      <c r="H166" s="5" t="str">
        <f t="shared" si="8"/>
        <v>det_270</v>
      </c>
      <c r="I166" s="5" t="str">
        <f t="shared" si="9"/>
        <v>W:\Performance Measurement\1. Freeway\1. raw data\2012\data files\det_270.txt</v>
      </c>
      <c r="J166" s="5" t="str">
        <f t="shared" si="10"/>
        <v>W:\Performance Measurement\1. Freeway\1. raw data\2012\data files\det_270.xlsx</v>
      </c>
      <c r="K166" s="5"/>
      <c r="M166" s="106" t="s">
        <v>68</v>
      </c>
      <c r="N166" s="10">
        <v>450</v>
      </c>
      <c r="O166" s="10">
        <v>5</v>
      </c>
      <c r="P166" s="10">
        <v>1</v>
      </c>
    </row>
    <row r="167" spans="4:16" x14ac:dyDescent="0.25">
      <c r="D167" s="95">
        <v>163</v>
      </c>
      <c r="E167" s="48">
        <v>271</v>
      </c>
      <c r="F167" s="10">
        <v>3</v>
      </c>
      <c r="G167" s="10">
        <v>0</v>
      </c>
      <c r="H167" s="5" t="str">
        <f t="shared" si="8"/>
        <v>det_271</v>
      </c>
      <c r="I167" s="5" t="str">
        <f t="shared" si="9"/>
        <v>W:\Performance Measurement\1. Freeway\1. raw data\2012\data files\det_271.txt</v>
      </c>
      <c r="J167" s="5" t="str">
        <f t="shared" si="10"/>
        <v>W:\Performance Measurement\1. Freeway\1. raw data\2012\data files\det_271.xlsx</v>
      </c>
      <c r="K167" s="5"/>
      <c r="M167" s="106" t="s">
        <v>68</v>
      </c>
      <c r="N167" s="10">
        <v>453</v>
      </c>
      <c r="O167" s="10">
        <v>5</v>
      </c>
      <c r="P167" s="10">
        <v>1</v>
      </c>
    </row>
    <row r="168" spans="4:16" x14ac:dyDescent="0.25">
      <c r="D168" s="95">
        <v>164</v>
      </c>
      <c r="E168" s="48">
        <v>272</v>
      </c>
      <c r="F168" s="11">
        <v>2</v>
      </c>
      <c r="G168" s="10">
        <v>1</v>
      </c>
      <c r="H168" s="5" t="str">
        <f t="shared" si="8"/>
        <v>det_272</v>
      </c>
      <c r="I168" s="5" t="str">
        <f t="shared" si="9"/>
        <v>W:\Performance Measurement\1. Freeway\1. raw data\2012\data files\det_272.txt</v>
      </c>
      <c r="J168" s="5" t="str">
        <f t="shared" si="10"/>
        <v>W:\Performance Measurement\1. Freeway\1. raw data\2012\data files\det_272.xlsx</v>
      </c>
      <c r="K168" s="5"/>
      <c r="M168" s="106" t="s">
        <v>68</v>
      </c>
      <c r="N168" s="10">
        <v>456</v>
      </c>
      <c r="O168" s="10">
        <v>5</v>
      </c>
      <c r="P168" s="10">
        <v>1</v>
      </c>
    </row>
    <row r="169" spans="4:16" x14ac:dyDescent="0.25">
      <c r="D169" s="95">
        <v>165</v>
      </c>
      <c r="E169" s="48">
        <v>275</v>
      </c>
      <c r="F169" s="11">
        <v>4</v>
      </c>
      <c r="G169" s="10">
        <v>1</v>
      </c>
      <c r="H169" s="5" t="str">
        <f t="shared" si="8"/>
        <v>det_275</v>
      </c>
      <c r="I169" s="5" t="str">
        <f t="shared" si="9"/>
        <v>W:\Performance Measurement\1. Freeway\1. raw data\2012\data files\det_275.txt</v>
      </c>
      <c r="J169" s="5" t="str">
        <f t="shared" si="10"/>
        <v>W:\Performance Measurement\1. Freeway\1. raw data\2012\data files\det_275.xlsx</v>
      </c>
      <c r="K169" s="5"/>
      <c r="M169" s="106" t="s">
        <v>68</v>
      </c>
      <c r="N169" s="10">
        <v>459</v>
      </c>
      <c r="O169" s="10">
        <v>5</v>
      </c>
      <c r="P169" s="10">
        <v>1</v>
      </c>
    </row>
    <row r="170" spans="4:16" x14ac:dyDescent="0.25">
      <c r="D170" s="95">
        <v>166</v>
      </c>
      <c r="E170" s="48">
        <v>278</v>
      </c>
      <c r="F170" s="10">
        <v>4</v>
      </c>
      <c r="G170" s="10">
        <v>1</v>
      </c>
      <c r="H170" s="5" t="str">
        <f t="shared" si="8"/>
        <v>det_278</v>
      </c>
      <c r="I170" s="5" t="str">
        <f t="shared" si="9"/>
        <v>W:\Performance Measurement\1. Freeway\1. raw data\2012\data files\det_278.txt</v>
      </c>
      <c r="J170" s="5" t="str">
        <f t="shared" si="10"/>
        <v>W:\Performance Measurement\1. Freeway\1. raw data\2012\data files\det_278.xlsx</v>
      </c>
      <c r="K170" s="5"/>
      <c r="M170" s="106" t="s">
        <v>68</v>
      </c>
      <c r="N170" s="10">
        <v>462</v>
      </c>
      <c r="O170" s="10">
        <v>5</v>
      </c>
      <c r="P170" s="10">
        <v>1</v>
      </c>
    </row>
    <row r="171" spans="4:16" x14ac:dyDescent="0.25">
      <c r="D171" s="95">
        <v>167</v>
      </c>
      <c r="E171" s="48">
        <v>281</v>
      </c>
      <c r="F171" s="10">
        <v>4</v>
      </c>
      <c r="G171" s="10">
        <v>1</v>
      </c>
      <c r="H171" s="5" t="str">
        <f t="shared" si="8"/>
        <v>det_281</v>
      </c>
      <c r="I171" s="5" t="str">
        <f t="shared" si="9"/>
        <v>W:\Performance Measurement\1. Freeway\1. raw data\2012\data files\det_281.txt</v>
      </c>
      <c r="J171" s="5" t="str">
        <f t="shared" si="10"/>
        <v>W:\Performance Measurement\1. Freeway\1. raw data\2012\data files\det_281.xlsx</v>
      </c>
      <c r="K171" s="5"/>
      <c r="M171" s="106" t="s">
        <v>68</v>
      </c>
      <c r="N171" s="10">
        <v>467</v>
      </c>
      <c r="O171" s="10">
        <v>5</v>
      </c>
      <c r="P171" s="10">
        <v>1</v>
      </c>
    </row>
    <row r="172" spans="4:16" x14ac:dyDescent="0.25">
      <c r="D172" s="95">
        <v>168</v>
      </c>
      <c r="E172" s="48">
        <v>284</v>
      </c>
      <c r="F172" s="10">
        <v>3</v>
      </c>
      <c r="G172" s="10">
        <v>1</v>
      </c>
      <c r="H172" s="5" t="str">
        <f t="shared" si="8"/>
        <v>det_284</v>
      </c>
      <c r="I172" s="5" t="str">
        <f t="shared" si="9"/>
        <v>W:\Performance Measurement\1. Freeway\1. raw data\2012\data files\det_284.txt</v>
      </c>
      <c r="J172" s="5" t="str">
        <f t="shared" si="10"/>
        <v>W:\Performance Measurement\1. Freeway\1. raw data\2012\data files\det_284.xlsx</v>
      </c>
      <c r="K172" s="5"/>
      <c r="M172" s="106" t="s">
        <v>68</v>
      </c>
      <c r="N172" s="10">
        <v>470</v>
      </c>
      <c r="O172" s="10">
        <v>5</v>
      </c>
      <c r="P172" s="10">
        <v>1</v>
      </c>
    </row>
    <row r="173" spans="4:16" x14ac:dyDescent="0.25">
      <c r="D173" s="95">
        <v>169</v>
      </c>
      <c r="E173" s="48">
        <v>286</v>
      </c>
      <c r="F173" s="10">
        <v>3</v>
      </c>
      <c r="G173" s="10">
        <v>1</v>
      </c>
      <c r="H173" s="5" t="str">
        <f t="shared" si="8"/>
        <v>det_286</v>
      </c>
      <c r="I173" s="5" t="str">
        <f t="shared" si="9"/>
        <v>W:\Performance Measurement\1. Freeway\1. raw data\2012\data files\det_286.txt</v>
      </c>
      <c r="J173" s="5" t="str">
        <f t="shared" si="10"/>
        <v>W:\Performance Measurement\1. Freeway\1. raw data\2012\data files\det_286.xlsx</v>
      </c>
      <c r="K173" s="5"/>
      <c r="M173" s="106" t="s">
        <v>68</v>
      </c>
      <c r="N173" s="10">
        <v>473</v>
      </c>
      <c r="O173" s="10">
        <v>5</v>
      </c>
      <c r="P173" s="10">
        <v>1</v>
      </c>
    </row>
    <row r="174" spans="4:16" x14ac:dyDescent="0.25">
      <c r="D174" s="95">
        <v>170</v>
      </c>
      <c r="E174" s="48">
        <v>288</v>
      </c>
      <c r="F174" s="10">
        <v>3</v>
      </c>
      <c r="G174" s="10">
        <v>1</v>
      </c>
      <c r="H174" s="5" t="str">
        <f t="shared" si="8"/>
        <v>det_288</v>
      </c>
      <c r="I174" s="5" t="str">
        <f t="shared" si="9"/>
        <v>W:\Performance Measurement\1. Freeway\1. raw data\2012\data files\det_288.txt</v>
      </c>
      <c r="J174" s="5" t="str">
        <f t="shared" si="10"/>
        <v>W:\Performance Measurement\1. Freeway\1. raw data\2012\data files\det_288.xlsx</v>
      </c>
      <c r="K174" s="5"/>
      <c r="M174" s="106" t="s">
        <v>68</v>
      </c>
      <c r="N174" s="10">
        <v>476</v>
      </c>
      <c r="O174" s="10">
        <v>5</v>
      </c>
      <c r="P174" s="10">
        <v>1</v>
      </c>
    </row>
    <row r="175" spans="4:16" x14ac:dyDescent="0.25">
      <c r="D175" s="95">
        <v>171</v>
      </c>
      <c r="E175" s="48">
        <v>292</v>
      </c>
      <c r="F175" s="10">
        <v>4</v>
      </c>
      <c r="G175" s="10">
        <v>1</v>
      </c>
      <c r="H175" s="5" t="str">
        <f t="shared" si="8"/>
        <v>det_292</v>
      </c>
      <c r="I175" s="5" t="str">
        <f t="shared" si="9"/>
        <v>W:\Performance Measurement\1. Freeway\1. raw data\2012\data files\det_292.txt</v>
      </c>
      <c r="J175" s="5" t="str">
        <f t="shared" si="10"/>
        <v>W:\Performance Measurement\1. Freeway\1. raw data\2012\data files\det_292.xlsx</v>
      </c>
      <c r="K175" s="5"/>
      <c r="M175" s="106" t="s">
        <v>68</v>
      </c>
      <c r="N175" s="10">
        <v>479</v>
      </c>
      <c r="O175" s="10">
        <v>5</v>
      </c>
      <c r="P175" s="10">
        <v>1</v>
      </c>
    </row>
    <row r="176" spans="4:16" x14ac:dyDescent="0.25">
      <c r="D176" s="95">
        <v>172</v>
      </c>
      <c r="E176" s="48">
        <v>294</v>
      </c>
      <c r="F176" s="10">
        <v>4</v>
      </c>
      <c r="G176" s="10">
        <v>1</v>
      </c>
      <c r="H176" s="5" t="str">
        <f t="shared" si="8"/>
        <v>det_294</v>
      </c>
      <c r="I176" s="5" t="str">
        <f t="shared" si="9"/>
        <v>W:\Performance Measurement\1. Freeway\1. raw data\2012\data files\det_294.txt</v>
      </c>
      <c r="J176" s="5" t="str">
        <f t="shared" si="10"/>
        <v>W:\Performance Measurement\1. Freeway\1. raw data\2012\data files\det_294.xlsx</v>
      </c>
      <c r="K176" s="5"/>
      <c r="M176" s="106" t="s">
        <v>68</v>
      </c>
      <c r="N176" s="10">
        <v>482</v>
      </c>
      <c r="O176" s="10">
        <v>5</v>
      </c>
      <c r="P176" s="10">
        <v>1</v>
      </c>
    </row>
    <row r="177" spans="4:16" x14ac:dyDescent="0.25">
      <c r="D177" s="95">
        <v>173</v>
      </c>
      <c r="E177" s="48">
        <v>297</v>
      </c>
      <c r="F177" s="10">
        <v>5</v>
      </c>
      <c r="G177" s="10">
        <v>1</v>
      </c>
      <c r="H177" s="5" t="str">
        <f t="shared" si="8"/>
        <v>det_297</v>
      </c>
      <c r="I177" s="5" t="str">
        <f t="shared" si="9"/>
        <v>W:\Performance Measurement\1. Freeway\1. raw data\2012\data files\det_297.txt</v>
      </c>
      <c r="J177" s="5" t="str">
        <f t="shared" si="10"/>
        <v>W:\Performance Measurement\1. Freeway\1. raw data\2012\data files\det_297.xlsx</v>
      </c>
      <c r="K177" s="5"/>
      <c r="M177" s="106" t="s">
        <v>68</v>
      </c>
      <c r="N177" s="10">
        <v>485</v>
      </c>
      <c r="O177" s="10">
        <v>5</v>
      </c>
      <c r="P177" s="10">
        <v>1</v>
      </c>
    </row>
    <row r="178" spans="4:16" x14ac:dyDescent="0.25">
      <c r="D178" s="95">
        <v>174</v>
      </c>
      <c r="E178" s="48">
        <v>299</v>
      </c>
      <c r="F178" s="10">
        <v>4</v>
      </c>
      <c r="G178" s="10">
        <v>1</v>
      </c>
      <c r="H178" s="5" t="str">
        <f t="shared" si="8"/>
        <v>det_299</v>
      </c>
      <c r="I178" s="5" t="str">
        <f t="shared" si="9"/>
        <v>W:\Performance Measurement\1. Freeway\1. raw data\2012\data files\det_299.txt</v>
      </c>
      <c r="J178" s="5" t="str">
        <f t="shared" si="10"/>
        <v>W:\Performance Measurement\1. Freeway\1. raw data\2012\data files\det_299.xlsx</v>
      </c>
      <c r="K178" s="5"/>
      <c r="M178" s="106" t="s">
        <v>68</v>
      </c>
      <c r="N178" s="10">
        <v>488</v>
      </c>
      <c r="O178" s="10">
        <v>3</v>
      </c>
      <c r="P178" s="10">
        <v>1</v>
      </c>
    </row>
    <row r="179" spans="4:16" x14ac:dyDescent="0.25">
      <c r="D179" s="95">
        <v>175</v>
      </c>
      <c r="E179" s="48">
        <v>300</v>
      </c>
      <c r="F179" s="10">
        <v>3</v>
      </c>
      <c r="G179" s="10">
        <v>1</v>
      </c>
      <c r="H179" s="5" t="str">
        <f t="shared" si="8"/>
        <v>det_300</v>
      </c>
      <c r="I179" s="5" t="str">
        <f t="shared" si="9"/>
        <v>W:\Performance Measurement\1. Freeway\1. raw data\2012\data files\det_300.txt</v>
      </c>
      <c r="J179" s="5" t="str">
        <f t="shared" si="10"/>
        <v>W:\Performance Measurement\1. Freeway\1. raw data\2012\data files\det_300.xlsx</v>
      </c>
      <c r="K179" s="5"/>
      <c r="M179" s="106" t="s">
        <v>68</v>
      </c>
      <c r="N179" s="10">
        <v>490</v>
      </c>
      <c r="O179" s="10">
        <v>3</v>
      </c>
      <c r="P179" s="10">
        <v>1</v>
      </c>
    </row>
    <row r="180" spans="4:16" x14ac:dyDescent="0.25">
      <c r="D180" s="95">
        <v>176</v>
      </c>
      <c r="E180" s="48">
        <v>303</v>
      </c>
      <c r="F180" s="10">
        <v>3</v>
      </c>
      <c r="G180" s="10">
        <v>1</v>
      </c>
      <c r="H180" s="5" t="str">
        <f t="shared" si="8"/>
        <v>det_303</v>
      </c>
      <c r="I180" s="5" t="str">
        <f t="shared" si="9"/>
        <v>W:\Performance Measurement\1. Freeway\1. raw data\2012\data files\det_303.txt</v>
      </c>
      <c r="J180" s="5" t="str">
        <f t="shared" si="10"/>
        <v>W:\Performance Measurement\1. Freeway\1. raw data\2012\data files\det_303.xlsx</v>
      </c>
      <c r="K180" s="5"/>
      <c r="M180" s="106" t="s">
        <v>69</v>
      </c>
      <c r="N180" s="10">
        <v>465</v>
      </c>
      <c r="O180" s="10">
        <v>5</v>
      </c>
      <c r="P180" s="10">
        <v>1</v>
      </c>
    </row>
    <row r="181" spans="4:16" x14ac:dyDescent="0.25">
      <c r="D181" s="95">
        <v>177</v>
      </c>
      <c r="E181" s="48">
        <v>306</v>
      </c>
      <c r="F181" s="10">
        <v>3</v>
      </c>
      <c r="G181" s="10">
        <v>1</v>
      </c>
      <c r="H181" s="5" t="str">
        <f t="shared" si="8"/>
        <v>det_306</v>
      </c>
      <c r="I181" s="5" t="str">
        <f t="shared" si="9"/>
        <v>W:\Performance Measurement\1. Freeway\1. raw data\2012\data files\det_306.txt</v>
      </c>
      <c r="J181" s="5" t="str">
        <f t="shared" si="10"/>
        <v>W:\Performance Measurement\1. Freeway\1. raw data\2012\data files\det_306.xlsx</v>
      </c>
      <c r="K181" s="5"/>
      <c r="M181" s="106" t="s">
        <v>69</v>
      </c>
      <c r="N181" s="10">
        <v>520</v>
      </c>
      <c r="O181" s="10">
        <v>5</v>
      </c>
      <c r="P181" s="10">
        <v>1</v>
      </c>
    </row>
    <row r="182" spans="4:16" x14ac:dyDescent="0.25">
      <c r="D182" s="95">
        <v>178</v>
      </c>
      <c r="E182" s="48">
        <v>309</v>
      </c>
      <c r="F182" s="10">
        <v>3</v>
      </c>
      <c r="G182" s="10">
        <v>1</v>
      </c>
      <c r="H182" s="5" t="str">
        <f t="shared" si="8"/>
        <v>det_309</v>
      </c>
      <c r="I182" s="5" t="str">
        <f t="shared" si="9"/>
        <v>W:\Performance Measurement\1. Freeway\1. raw data\2012\data files\det_309.txt</v>
      </c>
      <c r="J182" s="5" t="str">
        <f t="shared" si="10"/>
        <v>W:\Performance Measurement\1. Freeway\1. raw data\2012\data files\det_309.xlsx</v>
      </c>
      <c r="K182" s="5"/>
      <c r="M182" s="106" t="s">
        <v>69</v>
      </c>
      <c r="N182" s="10">
        <v>521</v>
      </c>
      <c r="O182" s="10">
        <v>5</v>
      </c>
      <c r="P182" s="10">
        <v>1</v>
      </c>
    </row>
    <row r="183" spans="4:16" x14ac:dyDescent="0.25">
      <c r="D183" s="95">
        <v>179</v>
      </c>
      <c r="E183" s="48">
        <v>313</v>
      </c>
      <c r="F183" s="10">
        <v>3</v>
      </c>
      <c r="G183" s="10">
        <v>1</v>
      </c>
      <c r="H183" s="5" t="str">
        <f t="shared" si="8"/>
        <v>det_313</v>
      </c>
      <c r="I183" s="5" t="str">
        <f t="shared" si="9"/>
        <v>W:\Performance Measurement\1. Freeway\1. raw data\2012\data files\det_313.txt</v>
      </c>
      <c r="J183" s="5" t="str">
        <f t="shared" si="10"/>
        <v>W:\Performance Measurement\1. Freeway\1. raw data\2012\data files\det_313.xlsx</v>
      </c>
      <c r="K183" s="5"/>
      <c r="M183" s="106" t="s">
        <v>69</v>
      </c>
      <c r="N183" s="10">
        <v>522</v>
      </c>
      <c r="O183" s="10">
        <v>5</v>
      </c>
      <c r="P183" s="10">
        <v>1</v>
      </c>
    </row>
    <row r="184" spans="4:16" x14ac:dyDescent="0.25">
      <c r="D184" s="95">
        <v>180</v>
      </c>
      <c r="E184" s="48">
        <v>316</v>
      </c>
      <c r="F184" s="10">
        <v>4</v>
      </c>
      <c r="G184" s="10">
        <v>1</v>
      </c>
      <c r="H184" s="5" t="str">
        <f t="shared" si="8"/>
        <v>det_316</v>
      </c>
      <c r="I184" s="5" t="str">
        <f t="shared" si="9"/>
        <v>W:\Performance Measurement\1. Freeway\1. raw data\2012\data files\det_316.txt</v>
      </c>
      <c r="J184" s="5" t="str">
        <f t="shared" si="10"/>
        <v>W:\Performance Measurement\1. Freeway\1. raw data\2012\data files\det_316.xlsx</v>
      </c>
      <c r="K184" s="5"/>
      <c r="M184" s="106" t="s">
        <v>69</v>
      </c>
      <c r="N184" s="10">
        <v>523</v>
      </c>
      <c r="O184" s="10">
        <v>5</v>
      </c>
      <c r="P184" s="10">
        <v>1</v>
      </c>
    </row>
    <row r="185" spans="4:16" x14ac:dyDescent="0.25">
      <c r="D185" s="95">
        <v>181</v>
      </c>
      <c r="E185" s="48">
        <v>318</v>
      </c>
      <c r="F185" s="10">
        <v>4</v>
      </c>
      <c r="G185" s="10">
        <v>1</v>
      </c>
      <c r="H185" s="5" t="str">
        <f t="shared" si="8"/>
        <v>det_318</v>
      </c>
      <c r="I185" s="5" t="str">
        <f t="shared" si="9"/>
        <v>W:\Performance Measurement\1. Freeway\1. raw data\2012\data files\det_318.txt</v>
      </c>
      <c r="J185" s="5" t="str">
        <f t="shared" si="10"/>
        <v>W:\Performance Measurement\1. Freeway\1. raw data\2012\data files\det_318.xlsx</v>
      </c>
      <c r="K185" s="5"/>
      <c r="M185" s="106" t="s">
        <v>69</v>
      </c>
      <c r="N185" s="10">
        <v>524</v>
      </c>
      <c r="O185" s="10">
        <v>5</v>
      </c>
      <c r="P185" s="10">
        <v>1</v>
      </c>
    </row>
    <row r="186" spans="4:16" x14ac:dyDescent="0.25">
      <c r="D186" s="95">
        <v>182</v>
      </c>
      <c r="E186" s="48">
        <v>321</v>
      </c>
      <c r="F186" s="10">
        <v>5</v>
      </c>
      <c r="G186" s="10">
        <v>1</v>
      </c>
      <c r="H186" s="5" t="str">
        <f t="shared" si="8"/>
        <v>det_321</v>
      </c>
      <c r="I186" s="5" t="str">
        <f t="shared" si="9"/>
        <v>W:\Performance Measurement\1. Freeway\1. raw data\2012\data files\det_321.txt</v>
      </c>
      <c r="J186" s="5" t="str">
        <f t="shared" si="10"/>
        <v>W:\Performance Measurement\1. Freeway\1. raw data\2012\data files\det_321.xlsx</v>
      </c>
      <c r="K186" s="5"/>
      <c r="M186" s="106" t="s">
        <v>69</v>
      </c>
      <c r="N186" s="10">
        <v>525</v>
      </c>
      <c r="O186" s="10">
        <v>4</v>
      </c>
      <c r="P186" s="10">
        <v>1</v>
      </c>
    </row>
    <row r="187" spans="4:16" x14ac:dyDescent="0.25">
      <c r="D187" s="95">
        <v>183</v>
      </c>
      <c r="E187" s="48">
        <v>323</v>
      </c>
      <c r="F187" s="10">
        <v>4</v>
      </c>
      <c r="G187" s="10">
        <v>1</v>
      </c>
      <c r="H187" s="5" t="str">
        <f t="shared" si="8"/>
        <v>det_323</v>
      </c>
      <c r="I187" s="5" t="str">
        <f t="shared" si="9"/>
        <v>W:\Performance Measurement\1. Freeway\1. raw data\2012\data files\det_323.txt</v>
      </c>
      <c r="J187" s="5" t="str">
        <f t="shared" si="10"/>
        <v>W:\Performance Measurement\1. Freeway\1. raw data\2012\data files\det_323.xlsx</v>
      </c>
      <c r="K187" s="5"/>
      <c r="M187" s="106" t="s">
        <v>69</v>
      </c>
      <c r="N187" s="10">
        <v>526</v>
      </c>
      <c r="O187" s="10">
        <v>3</v>
      </c>
      <c r="P187" s="10">
        <v>1</v>
      </c>
    </row>
    <row r="188" spans="4:16" x14ac:dyDescent="0.25">
      <c r="D188" s="95">
        <v>184</v>
      </c>
      <c r="E188" s="48">
        <v>325</v>
      </c>
      <c r="F188" s="10">
        <v>3</v>
      </c>
      <c r="G188" s="10">
        <v>1</v>
      </c>
      <c r="H188" s="5" t="str">
        <f t="shared" si="8"/>
        <v>det_325</v>
      </c>
      <c r="I188" s="5" t="str">
        <f t="shared" si="9"/>
        <v>W:\Performance Measurement\1. Freeway\1. raw data\2012\data files\det_325.txt</v>
      </c>
      <c r="J188" s="5" t="str">
        <f t="shared" si="10"/>
        <v>W:\Performance Measurement\1. Freeway\1. raw data\2012\data files\det_325.xlsx</v>
      </c>
      <c r="K188" s="5"/>
      <c r="M188" s="106" t="s">
        <v>69</v>
      </c>
      <c r="N188" s="10">
        <v>532</v>
      </c>
      <c r="O188" s="10">
        <v>4</v>
      </c>
      <c r="P188" s="10">
        <v>1</v>
      </c>
    </row>
    <row r="189" spans="4:16" x14ac:dyDescent="0.25">
      <c r="D189" s="95">
        <v>185</v>
      </c>
      <c r="E189" s="48">
        <v>328</v>
      </c>
      <c r="F189" s="10">
        <v>3</v>
      </c>
      <c r="G189" s="10">
        <v>1</v>
      </c>
      <c r="H189" s="5" t="str">
        <f t="shared" si="8"/>
        <v>det_328</v>
      </c>
      <c r="I189" s="5" t="str">
        <f t="shared" si="9"/>
        <v>W:\Performance Measurement\1. Freeway\1. raw data\2012\data files\det_328.txt</v>
      </c>
      <c r="J189" s="5" t="str">
        <f t="shared" si="10"/>
        <v>W:\Performance Measurement\1. Freeway\1. raw data\2012\data files\det_328.xlsx</v>
      </c>
      <c r="K189" s="5"/>
      <c r="M189" s="106" t="s">
        <v>69</v>
      </c>
      <c r="N189" s="10">
        <v>533</v>
      </c>
      <c r="O189" s="10">
        <v>6</v>
      </c>
      <c r="P189" s="10">
        <v>1</v>
      </c>
    </row>
    <row r="190" spans="4:16" x14ac:dyDescent="0.25">
      <c r="D190" s="95">
        <v>186</v>
      </c>
      <c r="E190" s="48">
        <v>331</v>
      </c>
      <c r="F190" s="10">
        <v>3</v>
      </c>
      <c r="G190" s="10">
        <v>1</v>
      </c>
      <c r="H190" s="5" t="str">
        <f t="shared" si="8"/>
        <v>det_331</v>
      </c>
      <c r="I190" s="5" t="str">
        <f t="shared" si="9"/>
        <v>W:\Performance Measurement\1. Freeway\1. raw data\2012\data files\det_331.txt</v>
      </c>
      <c r="J190" s="5" t="str">
        <f t="shared" si="10"/>
        <v>W:\Performance Measurement\1. Freeway\1. raw data\2012\data files\det_331.xlsx</v>
      </c>
      <c r="K190" s="5"/>
      <c r="M190" s="106" t="s">
        <v>69</v>
      </c>
      <c r="N190" s="10">
        <v>534</v>
      </c>
      <c r="O190" s="10">
        <v>5</v>
      </c>
      <c r="P190" s="10">
        <v>1</v>
      </c>
    </row>
    <row r="191" spans="4:16" x14ac:dyDescent="0.25">
      <c r="D191" s="95">
        <v>187</v>
      </c>
      <c r="E191" s="48">
        <v>334</v>
      </c>
      <c r="F191" s="10">
        <v>3</v>
      </c>
      <c r="G191" s="10">
        <v>1</v>
      </c>
      <c r="H191" s="5" t="str">
        <f t="shared" si="8"/>
        <v>det_334</v>
      </c>
      <c r="I191" s="5" t="str">
        <f t="shared" si="9"/>
        <v>W:\Performance Measurement\1. Freeway\1. raw data\2012\data files\det_334.txt</v>
      </c>
      <c r="J191" s="5" t="str">
        <f t="shared" si="10"/>
        <v>W:\Performance Measurement\1. Freeway\1. raw data\2012\data files\det_334.xlsx</v>
      </c>
      <c r="K191" s="5"/>
      <c r="M191" s="106" t="s">
        <v>69</v>
      </c>
      <c r="N191" s="10">
        <v>535</v>
      </c>
      <c r="O191" s="10">
        <v>5</v>
      </c>
      <c r="P191" s="10">
        <v>1</v>
      </c>
    </row>
    <row r="192" spans="4:16" x14ac:dyDescent="0.25">
      <c r="D192" s="95">
        <v>188</v>
      </c>
      <c r="E192" s="48">
        <v>337</v>
      </c>
      <c r="F192" s="10">
        <v>3</v>
      </c>
      <c r="G192" s="10">
        <v>1</v>
      </c>
      <c r="H192" s="5" t="str">
        <f t="shared" si="8"/>
        <v>det_337</v>
      </c>
      <c r="I192" s="5" t="str">
        <f t="shared" si="9"/>
        <v>W:\Performance Measurement\1. Freeway\1. raw data\2012\data files\det_337.txt</v>
      </c>
      <c r="J192" s="5" t="str">
        <f t="shared" si="10"/>
        <v>W:\Performance Measurement\1. Freeway\1. raw data\2012\data files\det_337.xlsx</v>
      </c>
      <c r="K192" s="5"/>
      <c r="M192" s="106" t="s">
        <v>69</v>
      </c>
      <c r="N192" s="10">
        <v>536</v>
      </c>
      <c r="O192" s="10">
        <v>5</v>
      </c>
      <c r="P192" s="10">
        <v>1</v>
      </c>
    </row>
    <row r="193" spans="4:16" x14ac:dyDescent="0.25">
      <c r="D193" s="95">
        <v>189</v>
      </c>
      <c r="E193" s="48">
        <v>340</v>
      </c>
      <c r="F193" s="10">
        <v>3</v>
      </c>
      <c r="G193" s="10">
        <v>1</v>
      </c>
      <c r="H193" s="5" t="str">
        <f t="shared" si="8"/>
        <v>det_340</v>
      </c>
      <c r="I193" s="5" t="str">
        <f t="shared" si="9"/>
        <v>W:\Performance Measurement\1. Freeway\1. raw data\2012\data files\det_340.txt</v>
      </c>
      <c r="J193" s="5" t="str">
        <f t="shared" si="10"/>
        <v>W:\Performance Measurement\1. Freeway\1. raw data\2012\data files\det_340.xlsx</v>
      </c>
      <c r="K193" s="5"/>
      <c r="M193" s="106" t="s">
        <v>69</v>
      </c>
      <c r="N193" s="10">
        <v>537</v>
      </c>
      <c r="O193" s="10">
        <v>5</v>
      </c>
      <c r="P193" s="10">
        <v>1</v>
      </c>
    </row>
    <row r="194" spans="4:16" x14ac:dyDescent="0.25">
      <c r="D194" s="95">
        <v>190</v>
      </c>
      <c r="E194" s="48">
        <v>343</v>
      </c>
      <c r="F194" s="10">
        <v>3</v>
      </c>
      <c r="G194" s="10">
        <v>1</v>
      </c>
      <c r="H194" s="5" t="str">
        <f t="shared" si="8"/>
        <v>det_343</v>
      </c>
      <c r="I194" s="5" t="str">
        <f t="shared" si="9"/>
        <v>W:\Performance Measurement\1. Freeway\1. raw data\2012\data files\det_343.txt</v>
      </c>
      <c r="J194" s="5" t="str">
        <f t="shared" si="10"/>
        <v>W:\Performance Measurement\1. Freeway\1. raw data\2012\data files\det_343.xlsx</v>
      </c>
      <c r="K194" s="5"/>
      <c r="M194" s="106" t="s">
        <v>69</v>
      </c>
      <c r="N194" s="10">
        <v>538</v>
      </c>
      <c r="O194" s="10">
        <v>5</v>
      </c>
      <c r="P194" s="10">
        <v>1</v>
      </c>
    </row>
    <row r="195" spans="4:16" x14ac:dyDescent="0.25">
      <c r="D195" s="95">
        <v>191</v>
      </c>
      <c r="E195" s="48">
        <v>346</v>
      </c>
      <c r="F195" s="10">
        <v>3</v>
      </c>
      <c r="G195" s="10">
        <v>1</v>
      </c>
      <c r="H195" s="5" t="str">
        <f t="shared" si="8"/>
        <v>det_346</v>
      </c>
      <c r="I195" s="5" t="str">
        <f t="shared" si="9"/>
        <v>W:\Performance Measurement\1. Freeway\1. raw data\2012\data files\det_346.txt</v>
      </c>
      <c r="J195" s="5" t="str">
        <f t="shared" si="10"/>
        <v>W:\Performance Measurement\1. Freeway\1. raw data\2012\data files\det_346.xlsx</v>
      </c>
      <c r="K195" s="5"/>
      <c r="M195" s="106" t="s">
        <v>70</v>
      </c>
      <c r="N195" s="10">
        <v>178</v>
      </c>
      <c r="O195" s="10">
        <v>3</v>
      </c>
      <c r="P195" s="10">
        <v>0</v>
      </c>
    </row>
    <row r="196" spans="4:16" x14ac:dyDescent="0.25">
      <c r="D196" s="95">
        <v>192</v>
      </c>
      <c r="E196" s="48">
        <v>349</v>
      </c>
      <c r="F196" s="10">
        <v>3</v>
      </c>
      <c r="G196" s="10">
        <v>1</v>
      </c>
      <c r="H196" s="5" t="str">
        <f t="shared" si="8"/>
        <v>det_349</v>
      </c>
      <c r="I196" s="5" t="str">
        <f t="shared" si="9"/>
        <v>W:\Performance Measurement\1. Freeway\1. raw data\2012\data files\det_349.txt</v>
      </c>
      <c r="J196" s="5" t="str">
        <f t="shared" si="10"/>
        <v>W:\Performance Measurement\1. Freeway\1. raw data\2012\data files\det_349.xlsx</v>
      </c>
      <c r="K196" s="5"/>
      <c r="M196" s="106" t="s">
        <v>70</v>
      </c>
      <c r="N196" s="10">
        <v>179</v>
      </c>
      <c r="O196" s="10">
        <v>2</v>
      </c>
      <c r="P196" s="10">
        <v>0</v>
      </c>
    </row>
    <row r="197" spans="4:16" x14ac:dyDescent="0.25">
      <c r="D197" s="95">
        <v>193</v>
      </c>
      <c r="E197" s="48">
        <v>352</v>
      </c>
      <c r="F197" s="10">
        <v>3</v>
      </c>
      <c r="G197" s="10">
        <v>1</v>
      </c>
      <c r="H197" s="5" t="str">
        <f t="shared" ref="H197:H260" si="11">"det_"&amp;E197&amp;""</f>
        <v>det_352</v>
      </c>
      <c r="I197" s="5" t="str">
        <f t="shared" ref="I197:I260" si="12">$B$5&amp;"\"&amp;H197&amp;".txt"</f>
        <v>W:\Performance Measurement\1. Freeway\1. raw data\2012\data files\det_352.txt</v>
      </c>
      <c r="J197" s="5" t="str">
        <f t="shared" ref="J197:J260" si="13">$B$5&amp;"\"&amp;H197&amp;".xlsx"</f>
        <v>W:\Performance Measurement\1. Freeway\1. raw data\2012\data files\det_352.xlsx</v>
      </c>
      <c r="K197" s="5"/>
      <c r="M197" s="106" t="s">
        <v>70</v>
      </c>
      <c r="N197" s="10">
        <v>182</v>
      </c>
      <c r="O197" s="10">
        <v>3</v>
      </c>
      <c r="P197" s="10">
        <v>0</v>
      </c>
    </row>
    <row r="198" spans="4:16" x14ac:dyDescent="0.25">
      <c r="D198" s="95">
        <v>194</v>
      </c>
      <c r="E198" s="48">
        <v>355</v>
      </c>
      <c r="F198" s="10">
        <v>3</v>
      </c>
      <c r="G198" s="10">
        <v>1</v>
      </c>
      <c r="H198" s="5" t="str">
        <f t="shared" si="11"/>
        <v>det_355</v>
      </c>
      <c r="I198" s="5" t="str">
        <f t="shared" si="12"/>
        <v>W:\Performance Measurement\1. Freeway\1. raw data\2012\data files\det_355.txt</v>
      </c>
      <c r="J198" s="5" t="str">
        <f t="shared" si="13"/>
        <v>W:\Performance Measurement\1. Freeway\1. raw data\2012\data files\det_355.xlsx</v>
      </c>
      <c r="K198" s="5"/>
      <c r="M198" s="106" t="s">
        <v>70</v>
      </c>
      <c r="N198" s="10">
        <v>184</v>
      </c>
      <c r="O198" s="10">
        <v>2</v>
      </c>
      <c r="P198" s="10">
        <v>0</v>
      </c>
    </row>
    <row r="199" spans="4:16" x14ac:dyDescent="0.25">
      <c r="D199" s="95">
        <v>195</v>
      </c>
      <c r="E199" s="48">
        <v>357</v>
      </c>
      <c r="F199" s="10">
        <v>3</v>
      </c>
      <c r="G199" s="10">
        <v>1</v>
      </c>
      <c r="H199" s="5" t="str">
        <f t="shared" si="11"/>
        <v>det_357</v>
      </c>
      <c r="I199" s="5" t="str">
        <f t="shared" si="12"/>
        <v>W:\Performance Measurement\1. Freeway\1. raw data\2012\data files\det_357.txt</v>
      </c>
      <c r="J199" s="5" t="str">
        <f t="shared" si="13"/>
        <v>W:\Performance Measurement\1. Freeway\1. raw data\2012\data files\det_357.xlsx</v>
      </c>
      <c r="K199" s="5"/>
      <c r="M199" s="106" t="s">
        <v>70</v>
      </c>
      <c r="N199" s="10">
        <v>187</v>
      </c>
      <c r="O199" s="10">
        <v>2</v>
      </c>
      <c r="P199" s="10">
        <v>0</v>
      </c>
    </row>
    <row r="200" spans="4:16" x14ac:dyDescent="0.25">
      <c r="D200" s="95">
        <v>196</v>
      </c>
      <c r="E200" s="48">
        <v>358</v>
      </c>
      <c r="F200" s="10">
        <v>3</v>
      </c>
      <c r="G200" s="10">
        <v>1</v>
      </c>
      <c r="H200" s="5" t="str">
        <f t="shared" si="11"/>
        <v>det_358</v>
      </c>
      <c r="I200" s="5" t="str">
        <f t="shared" si="12"/>
        <v>W:\Performance Measurement\1. Freeway\1. raw data\2012\data files\det_358.txt</v>
      </c>
      <c r="J200" s="5" t="str">
        <f t="shared" si="13"/>
        <v>W:\Performance Measurement\1. Freeway\1. raw data\2012\data files\det_358.xlsx</v>
      </c>
      <c r="K200" s="5"/>
      <c r="M200" s="106" t="s">
        <v>70</v>
      </c>
      <c r="N200" s="10">
        <v>176</v>
      </c>
      <c r="O200" s="10">
        <v>2</v>
      </c>
      <c r="P200" s="10">
        <v>0</v>
      </c>
    </row>
    <row r="201" spans="4:16" x14ac:dyDescent="0.25">
      <c r="D201" s="95">
        <v>197</v>
      </c>
      <c r="E201" s="48">
        <v>361</v>
      </c>
      <c r="F201" s="10">
        <v>3</v>
      </c>
      <c r="G201" s="10">
        <v>1</v>
      </c>
      <c r="H201" s="5" t="str">
        <f t="shared" si="11"/>
        <v>det_361</v>
      </c>
      <c r="I201" s="5" t="str">
        <f t="shared" si="12"/>
        <v>W:\Performance Measurement\1. Freeway\1. raw data\2012\data files\det_361.txt</v>
      </c>
      <c r="J201" s="5" t="str">
        <f t="shared" si="13"/>
        <v>W:\Performance Measurement\1. Freeway\1. raw data\2012\data files\det_361.xlsx</v>
      </c>
      <c r="K201" s="5"/>
      <c r="M201" s="106" t="s">
        <v>70</v>
      </c>
      <c r="N201" s="10">
        <v>171</v>
      </c>
      <c r="O201" s="10">
        <v>3</v>
      </c>
      <c r="P201" s="10">
        <v>0</v>
      </c>
    </row>
    <row r="202" spans="4:16" x14ac:dyDescent="0.25">
      <c r="D202" s="95">
        <v>198</v>
      </c>
      <c r="E202" s="48">
        <v>364</v>
      </c>
      <c r="F202" s="10">
        <v>3</v>
      </c>
      <c r="G202" s="10">
        <v>1</v>
      </c>
      <c r="H202" s="5" t="str">
        <f t="shared" si="11"/>
        <v>det_364</v>
      </c>
      <c r="I202" s="5" t="str">
        <f t="shared" si="12"/>
        <v>W:\Performance Measurement\1. Freeway\1. raw data\2012\data files\det_364.txt</v>
      </c>
      <c r="J202" s="5" t="str">
        <f t="shared" si="13"/>
        <v>W:\Performance Measurement\1. Freeway\1. raw data\2012\data files\det_364.xlsx</v>
      </c>
      <c r="K202" s="5"/>
      <c r="M202" s="106" t="s">
        <v>70</v>
      </c>
      <c r="N202" s="10">
        <v>169</v>
      </c>
      <c r="O202" s="10">
        <v>3</v>
      </c>
      <c r="P202" s="10">
        <v>0</v>
      </c>
    </row>
    <row r="203" spans="4:16" x14ac:dyDescent="0.25">
      <c r="D203" s="95">
        <v>199</v>
      </c>
      <c r="E203" s="48">
        <v>367</v>
      </c>
      <c r="F203" s="10">
        <v>3</v>
      </c>
      <c r="G203" s="10">
        <v>1</v>
      </c>
      <c r="H203" s="5" t="str">
        <f t="shared" si="11"/>
        <v>det_367</v>
      </c>
      <c r="I203" s="5" t="str">
        <f t="shared" si="12"/>
        <v>W:\Performance Measurement\1. Freeway\1. raw data\2012\data files\det_367.txt</v>
      </c>
      <c r="J203" s="5" t="str">
        <f t="shared" si="13"/>
        <v>W:\Performance Measurement\1. Freeway\1. raw data\2012\data files\det_367.xlsx</v>
      </c>
      <c r="K203" s="5"/>
      <c r="M203" s="106" t="s">
        <v>70</v>
      </c>
      <c r="N203" s="10">
        <v>167</v>
      </c>
      <c r="O203" s="10">
        <v>2</v>
      </c>
      <c r="P203" s="10">
        <v>0</v>
      </c>
    </row>
    <row r="204" spans="4:16" x14ac:dyDescent="0.25">
      <c r="D204" s="95">
        <v>200</v>
      </c>
      <c r="E204" s="48">
        <v>370</v>
      </c>
      <c r="F204" s="10">
        <v>3</v>
      </c>
      <c r="G204" s="10">
        <v>1</v>
      </c>
      <c r="H204" s="5" t="str">
        <f t="shared" si="11"/>
        <v>det_370</v>
      </c>
      <c r="I204" s="5" t="str">
        <f t="shared" si="12"/>
        <v>W:\Performance Measurement\1. Freeway\1. raw data\2012\data files\det_370.txt</v>
      </c>
      <c r="J204" s="5" t="str">
        <f t="shared" si="13"/>
        <v>W:\Performance Measurement\1. Freeway\1. raw data\2012\data files\det_370.xlsx</v>
      </c>
      <c r="K204" s="5"/>
      <c r="M204" s="106" t="s">
        <v>71</v>
      </c>
      <c r="N204" s="10">
        <v>539</v>
      </c>
      <c r="O204" s="10">
        <v>0</v>
      </c>
      <c r="P204" s="10">
        <v>0</v>
      </c>
    </row>
    <row r="205" spans="4:16" x14ac:dyDescent="0.25">
      <c r="D205" s="95">
        <v>201</v>
      </c>
      <c r="E205" s="48">
        <v>373</v>
      </c>
      <c r="F205" s="10">
        <v>3</v>
      </c>
      <c r="G205" s="10">
        <v>1</v>
      </c>
      <c r="H205" s="5" t="str">
        <f t="shared" si="11"/>
        <v>det_373</v>
      </c>
      <c r="I205" s="5" t="str">
        <f t="shared" si="12"/>
        <v>W:\Performance Measurement\1. Freeway\1. raw data\2012\data files\det_373.txt</v>
      </c>
      <c r="J205" s="5" t="str">
        <f t="shared" si="13"/>
        <v>W:\Performance Measurement\1. Freeway\1. raw data\2012\data files\det_373.xlsx</v>
      </c>
      <c r="K205" s="5"/>
      <c r="M205" s="106" t="s">
        <v>71</v>
      </c>
      <c r="N205" s="10">
        <v>540</v>
      </c>
      <c r="O205" s="10">
        <v>3</v>
      </c>
      <c r="P205" s="10">
        <v>1</v>
      </c>
    </row>
    <row r="206" spans="4:16" x14ac:dyDescent="0.25">
      <c r="D206" s="95">
        <v>202</v>
      </c>
      <c r="E206" s="48">
        <v>376</v>
      </c>
      <c r="F206" s="10">
        <v>3</v>
      </c>
      <c r="G206" s="10">
        <v>1</v>
      </c>
      <c r="H206" s="5" t="str">
        <f t="shared" si="11"/>
        <v>det_376</v>
      </c>
      <c r="I206" s="5" t="str">
        <f t="shared" si="12"/>
        <v>W:\Performance Measurement\1. Freeway\1. raw data\2012\data files\det_376.txt</v>
      </c>
      <c r="J206" s="5" t="str">
        <f t="shared" si="13"/>
        <v>W:\Performance Measurement\1. Freeway\1. raw data\2012\data files\det_376.xlsx</v>
      </c>
      <c r="K206" s="5"/>
      <c r="M206" s="106" t="s">
        <v>71</v>
      </c>
      <c r="N206" s="10">
        <v>541</v>
      </c>
      <c r="O206" s="10">
        <v>3</v>
      </c>
      <c r="P206" s="10">
        <v>1</v>
      </c>
    </row>
    <row r="207" spans="4:16" x14ac:dyDescent="0.25">
      <c r="D207" s="95">
        <v>203</v>
      </c>
      <c r="E207" s="48">
        <v>393</v>
      </c>
      <c r="F207" s="10">
        <v>3</v>
      </c>
      <c r="G207" s="10">
        <v>1</v>
      </c>
      <c r="H207" s="5" t="str">
        <f t="shared" si="11"/>
        <v>det_393</v>
      </c>
      <c r="I207" s="5" t="str">
        <f t="shared" si="12"/>
        <v>W:\Performance Measurement\1. Freeway\1. raw data\2012\data files\det_393.txt</v>
      </c>
      <c r="J207" s="5" t="str">
        <f t="shared" si="13"/>
        <v>W:\Performance Measurement\1. Freeway\1. raw data\2012\data files\det_393.xlsx</v>
      </c>
      <c r="K207" s="5"/>
      <c r="M207" s="106" t="s">
        <v>71</v>
      </c>
      <c r="N207" s="10">
        <v>542</v>
      </c>
      <c r="O207" s="10">
        <v>3</v>
      </c>
      <c r="P207" s="10">
        <v>1</v>
      </c>
    </row>
    <row r="208" spans="4:16" x14ac:dyDescent="0.25">
      <c r="D208" s="95">
        <v>204</v>
      </c>
      <c r="E208" s="48">
        <v>396</v>
      </c>
      <c r="F208" s="10">
        <v>3</v>
      </c>
      <c r="G208" s="10">
        <v>1</v>
      </c>
      <c r="H208" s="5" t="str">
        <f t="shared" si="11"/>
        <v>det_396</v>
      </c>
      <c r="I208" s="5" t="str">
        <f t="shared" si="12"/>
        <v>W:\Performance Measurement\1. Freeway\1. raw data\2012\data files\det_396.txt</v>
      </c>
      <c r="J208" s="5" t="str">
        <f t="shared" si="13"/>
        <v>W:\Performance Measurement\1. Freeway\1. raw data\2012\data files\det_396.xlsx</v>
      </c>
      <c r="K208" s="5"/>
      <c r="M208" s="106" t="s">
        <v>71</v>
      </c>
      <c r="N208" s="10">
        <v>543</v>
      </c>
      <c r="O208" s="10">
        <v>3</v>
      </c>
      <c r="P208" s="10">
        <v>1</v>
      </c>
    </row>
    <row r="209" spans="4:16" x14ac:dyDescent="0.25">
      <c r="D209" s="95">
        <v>205</v>
      </c>
      <c r="E209" s="48">
        <v>397</v>
      </c>
      <c r="F209" s="10">
        <v>4</v>
      </c>
      <c r="G209" s="10">
        <v>1</v>
      </c>
      <c r="H209" s="5" t="str">
        <f t="shared" si="11"/>
        <v>det_397</v>
      </c>
      <c r="I209" s="5" t="str">
        <f t="shared" si="12"/>
        <v>W:\Performance Measurement\1. Freeway\1. raw data\2012\data files\det_397.txt</v>
      </c>
      <c r="J209" s="5" t="str">
        <f t="shared" si="13"/>
        <v>W:\Performance Measurement\1. Freeway\1. raw data\2012\data files\det_397.xlsx</v>
      </c>
      <c r="K209" s="5"/>
      <c r="M209" s="106" t="s">
        <v>71</v>
      </c>
      <c r="N209" s="10">
        <v>514</v>
      </c>
      <c r="O209" s="10">
        <v>4</v>
      </c>
      <c r="P209" s="10">
        <v>1</v>
      </c>
    </row>
    <row r="210" spans="4:16" x14ac:dyDescent="0.25">
      <c r="D210" s="95">
        <v>206</v>
      </c>
      <c r="E210" s="48">
        <v>399</v>
      </c>
      <c r="F210" s="10">
        <v>4</v>
      </c>
      <c r="G210" s="10">
        <v>1</v>
      </c>
      <c r="H210" s="5" t="str">
        <f t="shared" si="11"/>
        <v>det_399</v>
      </c>
      <c r="I210" s="5" t="str">
        <f t="shared" si="12"/>
        <v>W:\Performance Measurement\1. Freeway\1. raw data\2012\data files\det_399.txt</v>
      </c>
      <c r="J210" s="5" t="str">
        <f t="shared" si="13"/>
        <v>W:\Performance Measurement\1. Freeway\1. raw data\2012\data files\det_399.xlsx</v>
      </c>
      <c r="K210" s="5"/>
      <c r="M210" s="106" t="s">
        <v>71</v>
      </c>
      <c r="N210" s="10">
        <v>518</v>
      </c>
      <c r="O210" s="10">
        <v>3</v>
      </c>
      <c r="P210" s="10">
        <v>1</v>
      </c>
    </row>
    <row r="211" spans="4:16" x14ac:dyDescent="0.25">
      <c r="D211" s="95">
        <v>207</v>
      </c>
      <c r="E211" s="48">
        <v>401</v>
      </c>
      <c r="F211" s="10">
        <v>4</v>
      </c>
      <c r="G211" s="10">
        <v>1</v>
      </c>
      <c r="H211" s="5" t="str">
        <f t="shared" si="11"/>
        <v>det_401</v>
      </c>
      <c r="I211" s="5" t="str">
        <f t="shared" si="12"/>
        <v>W:\Performance Measurement\1. Freeway\1. raw data\2012\data files\det_401.txt</v>
      </c>
      <c r="J211" s="5" t="str">
        <f t="shared" si="13"/>
        <v>W:\Performance Measurement\1. Freeway\1. raw data\2012\data files\det_401.xlsx</v>
      </c>
      <c r="K211" s="5"/>
      <c r="M211" s="106" t="s">
        <v>71</v>
      </c>
      <c r="N211" s="10">
        <v>510</v>
      </c>
      <c r="O211" s="10">
        <v>4</v>
      </c>
      <c r="P211" s="10">
        <v>1</v>
      </c>
    </row>
    <row r="212" spans="4:16" x14ac:dyDescent="0.25">
      <c r="D212" s="95">
        <v>208</v>
      </c>
      <c r="E212" s="48">
        <v>403</v>
      </c>
      <c r="F212" s="10">
        <v>3</v>
      </c>
      <c r="G212" s="10">
        <v>1</v>
      </c>
      <c r="H212" s="5" t="str">
        <f t="shared" si="11"/>
        <v>det_403</v>
      </c>
      <c r="I212" s="5" t="str">
        <f t="shared" si="12"/>
        <v>W:\Performance Measurement\1. Freeway\1. raw data\2012\data files\det_403.txt</v>
      </c>
      <c r="J212" s="5" t="str">
        <f t="shared" si="13"/>
        <v>W:\Performance Measurement\1. Freeway\1. raw data\2012\data files\det_403.xlsx</v>
      </c>
      <c r="K212" s="5"/>
      <c r="M212" s="106" t="s">
        <v>71</v>
      </c>
      <c r="N212" s="10">
        <v>513</v>
      </c>
      <c r="O212" s="10">
        <v>3</v>
      </c>
      <c r="P212" s="10">
        <v>1</v>
      </c>
    </row>
    <row r="213" spans="4:16" x14ac:dyDescent="0.25">
      <c r="D213" s="95">
        <v>209</v>
      </c>
      <c r="E213" s="48">
        <v>406</v>
      </c>
      <c r="F213" s="10">
        <v>3</v>
      </c>
      <c r="G213" s="10">
        <v>1</v>
      </c>
      <c r="H213" s="5" t="str">
        <f t="shared" si="11"/>
        <v>det_406</v>
      </c>
      <c r="I213" s="5" t="str">
        <f t="shared" si="12"/>
        <v>W:\Performance Measurement\1. Freeway\1. raw data\2012\data files\det_406.txt</v>
      </c>
      <c r="J213" s="5" t="str">
        <f t="shared" si="13"/>
        <v>W:\Performance Measurement\1. Freeway\1. raw data\2012\data files\det_406.xlsx</v>
      </c>
      <c r="K213" s="5"/>
      <c r="M213" s="106" t="s">
        <v>71</v>
      </c>
      <c r="N213" s="10">
        <v>544</v>
      </c>
      <c r="O213" s="10">
        <v>3</v>
      </c>
      <c r="P213" s="10">
        <v>1</v>
      </c>
    </row>
    <row r="214" spans="4:16" x14ac:dyDescent="0.25">
      <c r="D214" s="95">
        <v>210</v>
      </c>
      <c r="E214" s="48">
        <v>409</v>
      </c>
      <c r="F214" s="10">
        <v>5</v>
      </c>
      <c r="G214" s="10">
        <v>1</v>
      </c>
      <c r="H214" s="5" t="str">
        <f t="shared" si="11"/>
        <v>det_409</v>
      </c>
      <c r="I214" s="5" t="str">
        <f t="shared" si="12"/>
        <v>W:\Performance Measurement\1. Freeway\1. raw data\2012\data files\det_409.txt</v>
      </c>
      <c r="J214" s="5" t="str">
        <f t="shared" si="13"/>
        <v>W:\Performance Measurement\1. Freeway\1. raw data\2012\data files\det_409.xlsx</v>
      </c>
      <c r="K214" s="5"/>
      <c r="M214" s="106" t="s">
        <v>71</v>
      </c>
      <c r="N214" s="10">
        <v>545</v>
      </c>
      <c r="O214" s="10">
        <v>3</v>
      </c>
      <c r="P214" s="10">
        <v>1</v>
      </c>
    </row>
    <row r="215" spans="4:16" x14ac:dyDescent="0.25">
      <c r="D215" s="95">
        <v>211</v>
      </c>
      <c r="E215" s="48">
        <v>410</v>
      </c>
      <c r="F215" s="10">
        <v>4</v>
      </c>
      <c r="G215" s="10">
        <v>1</v>
      </c>
      <c r="H215" s="5" t="str">
        <f t="shared" si="11"/>
        <v>det_410</v>
      </c>
      <c r="I215" s="5" t="str">
        <f t="shared" si="12"/>
        <v>W:\Performance Measurement\1. Freeway\1. raw data\2012\data files\det_410.txt</v>
      </c>
      <c r="J215" s="5" t="str">
        <f t="shared" si="13"/>
        <v>W:\Performance Measurement\1. Freeway\1. raw data\2012\data files\det_410.xlsx</v>
      </c>
      <c r="K215" s="5"/>
      <c r="M215" s="106" t="s">
        <v>71</v>
      </c>
      <c r="N215" s="10">
        <v>546</v>
      </c>
      <c r="O215" s="10">
        <v>3</v>
      </c>
      <c r="P215" s="10">
        <v>1</v>
      </c>
    </row>
    <row r="216" spans="4:16" x14ac:dyDescent="0.25">
      <c r="D216" s="95">
        <v>212</v>
      </c>
      <c r="E216" s="48">
        <v>411</v>
      </c>
      <c r="F216" s="10">
        <v>3</v>
      </c>
      <c r="G216" s="10">
        <v>1</v>
      </c>
      <c r="H216" s="5" t="str">
        <f t="shared" si="11"/>
        <v>det_411</v>
      </c>
      <c r="I216" s="5" t="str">
        <f t="shared" si="12"/>
        <v>W:\Performance Measurement\1. Freeway\1. raw data\2012\data files\det_411.txt</v>
      </c>
      <c r="J216" s="5" t="str">
        <f t="shared" si="13"/>
        <v>W:\Performance Measurement\1. Freeway\1. raw data\2012\data files\det_411.xlsx</v>
      </c>
      <c r="K216" s="5"/>
      <c r="M216" s="106" t="s">
        <v>71</v>
      </c>
      <c r="N216" s="10">
        <v>547</v>
      </c>
      <c r="O216" s="10">
        <v>3</v>
      </c>
      <c r="P216" s="10">
        <v>1</v>
      </c>
    </row>
    <row r="217" spans="4:16" x14ac:dyDescent="0.25">
      <c r="D217" s="95">
        <v>213</v>
      </c>
      <c r="E217" s="48">
        <v>414</v>
      </c>
      <c r="F217" s="10">
        <v>3</v>
      </c>
      <c r="G217" s="10">
        <v>1</v>
      </c>
      <c r="H217" s="5" t="str">
        <f t="shared" si="11"/>
        <v>det_414</v>
      </c>
      <c r="I217" s="5" t="str">
        <f t="shared" si="12"/>
        <v>W:\Performance Measurement\1. Freeway\1. raw data\2012\data files\det_414.txt</v>
      </c>
      <c r="J217" s="5" t="str">
        <f t="shared" si="13"/>
        <v>W:\Performance Measurement\1. Freeway\1. raw data\2012\data files\det_414.xlsx</v>
      </c>
      <c r="K217" s="5"/>
      <c r="M217" s="106" t="s">
        <v>71</v>
      </c>
      <c r="N217" s="10">
        <v>548</v>
      </c>
      <c r="O217" s="10">
        <v>2</v>
      </c>
      <c r="P217" s="10">
        <v>0</v>
      </c>
    </row>
    <row r="218" spans="4:16" x14ac:dyDescent="0.25">
      <c r="D218" s="95">
        <v>214</v>
      </c>
      <c r="E218" s="48">
        <v>417</v>
      </c>
      <c r="F218" s="10">
        <v>3</v>
      </c>
      <c r="G218" s="10">
        <v>1</v>
      </c>
      <c r="H218" s="5" t="str">
        <f t="shared" si="11"/>
        <v>det_417</v>
      </c>
      <c r="I218" s="5" t="str">
        <f t="shared" si="12"/>
        <v>W:\Performance Measurement\1. Freeway\1. raw data\2012\data files\det_417.txt</v>
      </c>
      <c r="J218" s="5" t="str">
        <f t="shared" si="13"/>
        <v>W:\Performance Measurement\1. Freeway\1. raw data\2012\data files\det_417.xlsx</v>
      </c>
      <c r="K218" s="5"/>
      <c r="M218" s="106" t="s">
        <v>72</v>
      </c>
      <c r="N218" s="10">
        <v>264</v>
      </c>
      <c r="O218" s="10">
        <v>5</v>
      </c>
      <c r="P218" s="10">
        <v>1</v>
      </c>
    </row>
    <row r="219" spans="4:16" x14ac:dyDescent="0.25">
      <c r="D219" s="95">
        <v>215</v>
      </c>
      <c r="E219" s="48">
        <v>420</v>
      </c>
      <c r="F219" s="10">
        <v>4</v>
      </c>
      <c r="G219" s="10">
        <v>1</v>
      </c>
      <c r="H219" s="5" t="str">
        <f t="shared" si="11"/>
        <v>det_420</v>
      </c>
      <c r="I219" s="5" t="str">
        <f t="shared" si="12"/>
        <v>W:\Performance Measurement\1. Freeway\1. raw data\2012\data files\det_420.txt</v>
      </c>
      <c r="J219" s="5" t="str">
        <f t="shared" si="13"/>
        <v>W:\Performance Measurement\1. Freeway\1. raw data\2012\data files\det_420.xlsx</v>
      </c>
      <c r="K219" s="5"/>
      <c r="M219" s="106" t="s">
        <v>72</v>
      </c>
      <c r="N219" s="10">
        <v>267</v>
      </c>
      <c r="O219" s="10">
        <v>4</v>
      </c>
      <c r="P219" s="10">
        <v>1</v>
      </c>
    </row>
    <row r="220" spans="4:16" x14ac:dyDescent="0.25">
      <c r="D220" s="95">
        <v>216</v>
      </c>
      <c r="E220" s="48">
        <v>423</v>
      </c>
      <c r="F220" s="10">
        <v>3</v>
      </c>
      <c r="G220" s="10">
        <v>1</v>
      </c>
      <c r="H220" s="5" t="str">
        <f t="shared" si="11"/>
        <v>det_423</v>
      </c>
      <c r="I220" s="5" t="str">
        <f t="shared" si="12"/>
        <v>W:\Performance Measurement\1. Freeway\1. raw data\2012\data files\det_423.txt</v>
      </c>
      <c r="J220" s="5" t="str">
        <f t="shared" si="13"/>
        <v>W:\Performance Measurement\1. Freeway\1. raw data\2012\data files\det_423.xlsx</v>
      </c>
      <c r="K220" s="5"/>
      <c r="M220" s="106" t="s">
        <v>72</v>
      </c>
      <c r="N220" s="10">
        <v>270</v>
      </c>
      <c r="O220" s="10">
        <v>3</v>
      </c>
      <c r="P220" s="10">
        <v>1</v>
      </c>
    </row>
    <row r="221" spans="4:16" x14ac:dyDescent="0.25">
      <c r="D221" s="95">
        <v>217</v>
      </c>
      <c r="E221" s="48">
        <v>425</v>
      </c>
      <c r="F221" s="10">
        <v>3</v>
      </c>
      <c r="G221" s="10">
        <v>1</v>
      </c>
      <c r="H221" s="5" t="str">
        <f t="shared" si="11"/>
        <v>det_425</v>
      </c>
      <c r="I221" s="5" t="str">
        <f t="shared" si="12"/>
        <v>W:\Performance Measurement\1. Freeway\1. raw data\2012\data files\det_425.txt</v>
      </c>
      <c r="J221" s="5" t="str">
        <f t="shared" si="13"/>
        <v>W:\Performance Measurement\1. Freeway\1. raw data\2012\data files\det_425.xlsx</v>
      </c>
      <c r="K221" s="5"/>
      <c r="M221" s="106" t="s">
        <v>273</v>
      </c>
      <c r="N221" s="10">
        <v>271</v>
      </c>
      <c r="O221" s="10">
        <v>3</v>
      </c>
      <c r="P221" s="10">
        <v>0</v>
      </c>
    </row>
    <row r="222" spans="4:16" x14ac:dyDescent="0.25">
      <c r="D222" s="95">
        <v>218</v>
      </c>
      <c r="E222" s="48">
        <v>427</v>
      </c>
      <c r="F222" s="10">
        <v>3</v>
      </c>
      <c r="G222" s="10">
        <v>1</v>
      </c>
      <c r="H222" s="5" t="str">
        <f t="shared" si="11"/>
        <v>det_427</v>
      </c>
      <c r="I222" s="5" t="str">
        <f t="shared" si="12"/>
        <v>W:\Performance Measurement\1. Freeway\1. raw data\2012\data files\det_427.txt</v>
      </c>
      <c r="J222" s="5" t="str">
        <f t="shared" si="13"/>
        <v>W:\Performance Measurement\1. Freeway\1. raw data\2012\data files\det_427.xlsx</v>
      </c>
      <c r="K222" s="5"/>
      <c r="M222" s="106" t="s">
        <v>72</v>
      </c>
      <c r="N222" s="10">
        <v>256</v>
      </c>
      <c r="O222" s="10">
        <v>3</v>
      </c>
      <c r="P222" s="10">
        <v>1</v>
      </c>
    </row>
    <row r="223" spans="4:16" x14ac:dyDescent="0.25">
      <c r="D223" s="95">
        <v>219</v>
      </c>
      <c r="E223" s="48">
        <v>428</v>
      </c>
      <c r="F223" s="10">
        <v>4</v>
      </c>
      <c r="G223" s="10">
        <v>1</v>
      </c>
      <c r="H223" s="5" t="str">
        <f t="shared" si="11"/>
        <v>det_428</v>
      </c>
      <c r="I223" s="5" t="str">
        <f t="shared" si="12"/>
        <v>W:\Performance Measurement\1. Freeway\1. raw data\2012\data files\det_428.txt</v>
      </c>
      <c r="J223" s="5" t="str">
        <f t="shared" si="13"/>
        <v>W:\Performance Measurement\1. Freeway\1. raw data\2012\data files\det_428.xlsx</v>
      </c>
      <c r="K223" s="5"/>
      <c r="M223" s="106" t="s">
        <v>72</v>
      </c>
      <c r="N223" s="10">
        <v>258</v>
      </c>
      <c r="O223" s="10">
        <v>5</v>
      </c>
      <c r="P223" s="10">
        <v>1</v>
      </c>
    </row>
    <row r="224" spans="4:16" x14ac:dyDescent="0.25">
      <c r="D224" s="95">
        <v>220</v>
      </c>
      <c r="E224" s="48">
        <v>432</v>
      </c>
      <c r="F224" s="10">
        <v>3</v>
      </c>
      <c r="G224" s="10">
        <v>1</v>
      </c>
      <c r="H224" s="5" t="str">
        <f t="shared" si="11"/>
        <v>det_432</v>
      </c>
      <c r="I224" s="5" t="str">
        <f t="shared" si="12"/>
        <v>W:\Performance Measurement\1. Freeway\1. raw data\2012\data files\det_432.txt</v>
      </c>
      <c r="J224" s="5" t="str">
        <f t="shared" si="13"/>
        <v>W:\Performance Measurement\1. Freeway\1. raw data\2012\data files\det_432.xlsx</v>
      </c>
      <c r="K224" s="5"/>
      <c r="M224" s="106" t="s">
        <v>72</v>
      </c>
      <c r="N224" s="10">
        <v>261</v>
      </c>
      <c r="O224" s="10">
        <v>4</v>
      </c>
      <c r="P224" s="10">
        <v>1</v>
      </c>
    </row>
    <row r="225" spans="4:16" x14ac:dyDescent="0.25">
      <c r="D225" s="95">
        <v>221</v>
      </c>
      <c r="E225" s="48">
        <v>435</v>
      </c>
      <c r="F225" s="10">
        <v>3</v>
      </c>
      <c r="G225" s="10">
        <v>1</v>
      </c>
      <c r="H225" s="5" t="str">
        <f t="shared" si="11"/>
        <v>det_435</v>
      </c>
      <c r="I225" s="5" t="str">
        <f t="shared" si="12"/>
        <v>W:\Performance Measurement\1. Freeway\1. raw data\2012\data files\det_435.txt</v>
      </c>
      <c r="J225" s="5" t="str">
        <f t="shared" si="13"/>
        <v>W:\Performance Measurement\1. Freeway\1. raw data\2012\data files\det_435.xlsx</v>
      </c>
      <c r="K225" s="5"/>
      <c r="M225" s="106" t="s">
        <v>72</v>
      </c>
      <c r="N225" s="10">
        <v>263</v>
      </c>
      <c r="O225" s="10">
        <v>4</v>
      </c>
      <c r="P225" s="10">
        <v>1</v>
      </c>
    </row>
    <row r="226" spans="4:16" x14ac:dyDescent="0.25">
      <c r="D226" s="95">
        <v>222</v>
      </c>
      <c r="E226" s="48">
        <v>438</v>
      </c>
      <c r="F226" s="10">
        <v>3</v>
      </c>
      <c r="G226" s="10">
        <v>1</v>
      </c>
      <c r="H226" s="5" t="str">
        <f t="shared" si="11"/>
        <v>det_438</v>
      </c>
      <c r="I226" s="5" t="str">
        <f t="shared" si="12"/>
        <v>W:\Performance Measurement\1. Freeway\1. raw data\2012\data files\det_438.txt</v>
      </c>
      <c r="J226" s="5" t="str">
        <f t="shared" si="13"/>
        <v>W:\Performance Measurement\1. Freeway\1. raw data\2012\data files\det_438.xlsx</v>
      </c>
      <c r="K226" s="5"/>
      <c r="M226" s="106" t="s">
        <v>72</v>
      </c>
      <c r="N226" s="10">
        <v>507</v>
      </c>
      <c r="O226" s="10">
        <v>3</v>
      </c>
      <c r="P226" s="10">
        <v>1</v>
      </c>
    </row>
    <row r="227" spans="4:16" x14ac:dyDescent="0.25">
      <c r="D227" s="95">
        <v>223</v>
      </c>
      <c r="E227" s="48">
        <v>439</v>
      </c>
      <c r="F227" s="10">
        <v>4</v>
      </c>
      <c r="G227" s="10">
        <v>1</v>
      </c>
      <c r="H227" s="5" t="str">
        <f t="shared" si="11"/>
        <v>det_439</v>
      </c>
      <c r="I227" s="5" t="str">
        <f t="shared" si="12"/>
        <v>W:\Performance Measurement\1. Freeway\1. raw data\2012\data files\det_439.txt</v>
      </c>
      <c r="J227" s="5" t="str">
        <f t="shared" si="13"/>
        <v>W:\Performance Measurement\1. Freeway\1. raw data\2012\data files\det_439.xlsx</v>
      </c>
      <c r="K227" s="5"/>
      <c r="M227" s="106" t="s">
        <v>73</v>
      </c>
      <c r="N227" s="10">
        <v>549</v>
      </c>
      <c r="O227" s="10">
        <v>4</v>
      </c>
      <c r="P227" s="10">
        <v>1</v>
      </c>
    </row>
    <row r="228" spans="4:16" x14ac:dyDescent="0.25">
      <c r="D228" s="95">
        <v>224</v>
      </c>
      <c r="E228" s="48">
        <v>441</v>
      </c>
      <c r="F228" s="10">
        <v>3</v>
      </c>
      <c r="G228" s="10">
        <v>1</v>
      </c>
      <c r="H228" s="5" t="str">
        <f t="shared" si="11"/>
        <v>det_441</v>
      </c>
      <c r="I228" s="5" t="str">
        <f t="shared" si="12"/>
        <v>W:\Performance Measurement\1. Freeway\1. raw data\2012\data files\det_441.txt</v>
      </c>
      <c r="J228" s="5" t="str">
        <f t="shared" si="13"/>
        <v>W:\Performance Measurement\1. Freeway\1. raw data\2012\data files\det_441.xlsx</v>
      </c>
      <c r="K228" s="5"/>
      <c r="M228" s="106" t="s">
        <v>74</v>
      </c>
      <c r="N228" s="10">
        <v>550</v>
      </c>
      <c r="O228" s="10">
        <v>3</v>
      </c>
      <c r="P228" s="10">
        <v>1</v>
      </c>
    </row>
    <row r="229" spans="4:16" x14ac:dyDescent="0.25">
      <c r="D229" s="95">
        <v>225</v>
      </c>
      <c r="E229" s="48">
        <v>444</v>
      </c>
      <c r="F229" s="10">
        <v>5</v>
      </c>
      <c r="G229" s="10">
        <v>1</v>
      </c>
      <c r="H229" s="5" t="str">
        <f t="shared" si="11"/>
        <v>det_444</v>
      </c>
      <c r="I229" s="5" t="str">
        <f t="shared" si="12"/>
        <v>W:\Performance Measurement\1. Freeway\1. raw data\2012\data files\det_444.txt</v>
      </c>
      <c r="J229" s="5" t="str">
        <f t="shared" si="13"/>
        <v>W:\Performance Measurement\1. Freeway\1. raw data\2012\data files\det_444.xlsx</v>
      </c>
      <c r="K229" s="5"/>
      <c r="M229" s="106" t="s">
        <v>73</v>
      </c>
      <c r="N229" s="10">
        <v>551</v>
      </c>
      <c r="O229" s="10">
        <v>3</v>
      </c>
      <c r="P229" s="10">
        <v>1</v>
      </c>
    </row>
    <row r="230" spans="4:16" x14ac:dyDescent="0.25">
      <c r="D230" s="95">
        <v>226</v>
      </c>
      <c r="E230" s="48">
        <v>447</v>
      </c>
      <c r="F230" s="10">
        <v>5</v>
      </c>
      <c r="G230" s="10">
        <v>1</v>
      </c>
      <c r="H230" s="5" t="str">
        <f t="shared" si="11"/>
        <v>det_447</v>
      </c>
      <c r="I230" s="5" t="str">
        <f t="shared" si="12"/>
        <v>W:\Performance Measurement\1. Freeway\1. raw data\2012\data files\det_447.txt</v>
      </c>
      <c r="J230" s="5" t="str">
        <f t="shared" si="13"/>
        <v>W:\Performance Measurement\1. Freeway\1. raw data\2012\data files\det_447.xlsx</v>
      </c>
      <c r="K230" s="5"/>
      <c r="M230" s="106" t="s">
        <v>74</v>
      </c>
      <c r="N230" s="10">
        <v>552</v>
      </c>
      <c r="O230" s="10">
        <v>3</v>
      </c>
      <c r="P230" s="10">
        <v>1</v>
      </c>
    </row>
    <row r="231" spans="4:16" x14ac:dyDescent="0.25">
      <c r="D231" s="95">
        <v>227</v>
      </c>
      <c r="E231" s="48">
        <v>450</v>
      </c>
      <c r="F231" s="10">
        <v>5</v>
      </c>
      <c r="G231" s="10">
        <v>1</v>
      </c>
      <c r="H231" s="5" t="str">
        <f t="shared" si="11"/>
        <v>det_450</v>
      </c>
      <c r="I231" s="5" t="str">
        <f t="shared" si="12"/>
        <v>W:\Performance Measurement\1. Freeway\1. raw data\2012\data files\det_450.txt</v>
      </c>
      <c r="J231" s="5" t="str">
        <f t="shared" si="13"/>
        <v>W:\Performance Measurement\1. Freeway\1. raw data\2012\data files\det_450.xlsx</v>
      </c>
      <c r="K231" s="5"/>
      <c r="M231" s="106" t="s">
        <v>73</v>
      </c>
      <c r="N231" s="10">
        <v>553</v>
      </c>
      <c r="O231" s="10">
        <v>3</v>
      </c>
      <c r="P231" s="10">
        <v>1</v>
      </c>
    </row>
    <row r="232" spans="4:16" x14ac:dyDescent="0.25">
      <c r="D232" s="95">
        <v>228</v>
      </c>
      <c r="E232" s="48">
        <v>453</v>
      </c>
      <c r="F232" s="10">
        <v>5</v>
      </c>
      <c r="G232" s="10">
        <v>1</v>
      </c>
      <c r="H232" s="5" t="str">
        <f t="shared" si="11"/>
        <v>det_453</v>
      </c>
      <c r="I232" s="5" t="str">
        <f t="shared" si="12"/>
        <v>W:\Performance Measurement\1. Freeway\1. raw data\2012\data files\det_453.txt</v>
      </c>
      <c r="J232" s="5" t="str">
        <f t="shared" si="13"/>
        <v>W:\Performance Measurement\1. Freeway\1. raw data\2012\data files\det_453.xlsx</v>
      </c>
      <c r="K232" s="5"/>
      <c r="M232" s="106" t="s">
        <v>74</v>
      </c>
      <c r="N232" s="10">
        <v>554</v>
      </c>
      <c r="O232" s="10">
        <v>3</v>
      </c>
      <c r="P232" s="10">
        <v>1</v>
      </c>
    </row>
    <row r="233" spans="4:16" x14ac:dyDescent="0.25">
      <c r="D233" s="95">
        <v>229</v>
      </c>
      <c r="E233" s="48">
        <v>456</v>
      </c>
      <c r="F233" s="10">
        <v>5</v>
      </c>
      <c r="G233" s="10">
        <v>1</v>
      </c>
      <c r="H233" s="5" t="str">
        <f t="shared" si="11"/>
        <v>det_456</v>
      </c>
      <c r="I233" s="5" t="str">
        <f t="shared" si="12"/>
        <v>W:\Performance Measurement\1. Freeway\1. raw data\2012\data files\det_456.txt</v>
      </c>
      <c r="J233" s="5" t="str">
        <f t="shared" si="13"/>
        <v>W:\Performance Measurement\1. Freeway\1. raw data\2012\data files\det_456.xlsx</v>
      </c>
      <c r="K233" s="5"/>
      <c r="M233" s="106" t="s">
        <v>73</v>
      </c>
      <c r="N233" s="10">
        <v>555</v>
      </c>
      <c r="O233" s="10">
        <v>3</v>
      </c>
      <c r="P233" s="10">
        <v>1</v>
      </c>
    </row>
    <row r="234" spans="4:16" x14ac:dyDescent="0.25">
      <c r="D234" s="95">
        <v>230</v>
      </c>
      <c r="E234" s="48">
        <v>459</v>
      </c>
      <c r="F234" s="10">
        <v>5</v>
      </c>
      <c r="G234" s="10">
        <v>1</v>
      </c>
      <c r="H234" s="5" t="str">
        <f t="shared" si="11"/>
        <v>det_459</v>
      </c>
      <c r="I234" s="5" t="str">
        <f t="shared" si="12"/>
        <v>W:\Performance Measurement\1. Freeway\1. raw data\2012\data files\det_459.txt</v>
      </c>
      <c r="J234" s="5" t="str">
        <f t="shared" si="13"/>
        <v>W:\Performance Measurement\1. Freeway\1. raw data\2012\data files\det_459.xlsx</v>
      </c>
      <c r="K234" s="5"/>
      <c r="M234" s="106" t="s">
        <v>74</v>
      </c>
      <c r="N234" s="10">
        <v>556</v>
      </c>
      <c r="O234" s="10">
        <v>3</v>
      </c>
      <c r="P234" s="10">
        <v>1</v>
      </c>
    </row>
    <row r="235" spans="4:16" x14ac:dyDescent="0.25">
      <c r="D235" s="95">
        <v>231</v>
      </c>
      <c r="E235" s="48">
        <v>462</v>
      </c>
      <c r="F235" s="10">
        <v>5</v>
      </c>
      <c r="G235" s="10">
        <v>1</v>
      </c>
      <c r="H235" s="5" t="str">
        <f t="shared" si="11"/>
        <v>det_462</v>
      </c>
      <c r="I235" s="5" t="str">
        <f t="shared" si="12"/>
        <v>W:\Performance Measurement\1. Freeway\1. raw data\2012\data files\det_462.txt</v>
      </c>
      <c r="J235" s="5" t="str">
        <f t="shared" si="13"/>
        <v>W:\Performance Measurement\1. Freeway\1. raw data\2012\data files\det_462.xlsx</v>
      </c>
      <c r="K235" s="5"/>
      <c r="M235" s="106" t="s">
        <v>73</v>
      </c>
      <c r="N235" s="10">
        <v>557</v>
      </c>
      <c r="O235" s="10">
        <v>3</v>
      </c>
      <c r="P235" s="10">
        <v>1</v>
      </c>
    </row>
    <row r="236" spans="4:16" x14ac:dyDescent="0.25">
      <c r="D236" s="95">
        <v>232</v>
      </c>
      <c r="E236" s="48">
        <v>465</v>
      </c>
      <c r="F236" s="10">
        <v>5</v>
      </c>
      <c r="G236" s="10">
        <v>1</v>
      </c>
      <c r="H236" s="5" t="str">
        <f t="shared" si="11"/>
        <v>det_465</v>
      </c>
      <c r="I236" s="5" t="str">
        <f t="shared" si="12"/>
        <v>W:\Performance Measurement\1. Freeway\1. raw data\2012\data files\det_465.txt</v>
      </c>
      <c r="J236" s="5" t="str">
        <f t="shared" si="13"/>
        <v>W:\Performance Measurement\1. Freeway\1. raw data\2012\data files\det_465.xlsx</v>
      </c>
      <c r="K236" s="5"/>
      <c r="M236" s="106" t="s">
        <v>74</v>
      </c>
      <c r="N236" s="10">
        <v>570</v>
      </c>
      <c r="O236" s="10">
        <v>3</v>
      </c>
      <c r="P236" s="10">
        <v>1</v>
      </c>
    </row>
    <row r="237" spans="4:16" x14ac:dyDescent="0.25">
      <c r="D237" s="95">
        <v>233</v>
      </c>
      <c r="E237" s="48">
        <v>467</v>
      </c>
      <c r="F237" s="10">
        <v>5</v>
      </c>
      <c r="G237" s="10">
        <v>1</v>
      </c>
      <c r="H237" s="5" t="str">
        <f t="shared" si="11"/>
        <v>det_467</v>
      </c>
      <c r="I237" s="5" t="str">
        <f t="shared" si="12"/>
        <v>W:\Performance Measurement\1. Freeway\1. raw data\2012\data files\det_467.txt</v>
      </c>
      <c r="J237" s="5" t="str">
        <f t="shared" si="13"/>
        <v>W:\Performance Measurement\1. Freeway\1. raw data\2012\data files\det_467.xlsx</v>
      </c>
      <c r="K237" s="5"/>
      <c r="M237" s="106" t="s">
        <v>74</v>
      </c>
      <c r="N237" s="10">
        <v>571</v>
      </c>
      <c r="O237" s="10">
        <v>3</v>
      </c>
      <c r="P237" s="10">
        <v>1</v>
      </c>
    </row>
    <row r="238" spans="4:16" x14ac:dyDescent="0.25">
      <c r="D238" s="95">
        <v>234</v>
      </c>
      <c r="E238" s="48">
        <v>470</v>
      </c>
      <c r="F238" s="10">
        <v>5</v>
      </c>
      <c r="G238" s="10">
        <v>1</v>
      </c>
      <c r="H238" s="5" t="str">
        <f t="shared" si="11"/>
        <v>det_470</v>
      </c>
      <c r="I238" s="5" t="str">
        <f t="shared" si="12"/>
        <v>W:\Performance Measurement\1. Freeway\1. raw data\2012\data files\det_470.txt</v>
      </c>
      <c r="J238" s="5" t="str">
        <f t="shared" si="13"/>
        <v>W:\Performance Measurement\1. Freeway\1. raw data\2012\data files\det_470.xlsx</v>
      </c>
      <c r="K238" s="5"/>
      <c r="M238" s="106" t="s">
        <v>74</v>
      </c>
      <c r="N238" s="10">
        <v>572</v>
      </c>
      <c r="O238" s="10">
        <v>3</v>
      </c>
      <c r="P238" s="10">
        <v>1</v>
      </c>
    </row>
    <row r="239" spans="4:16" x14ac:dyDescent="0.25">
      <c r="D239" s="95">
        <v>235</v>
      </c>
      <c r="E239" s="48">
        <v>473</v>
      </c>
      <c r="F239" s="10">
        <v>5</v>
      </c>
      <c r="G239" s="10">
        <v>1</v>
      </c>
      <c r="H239" s="5" t="str">
        <f t="shared" si="11"/>
        <v>det_473</v>
      </c>
      <c r="I239" s="5" t="str">
        <f t="shared" si="12"/>
        <v>W:\Performance Measurement\1. Freeway\1. raw data\2012\data files\det_473.txt</v>
      </c>
      <c r="J239" s="5" t="str">
        <f t="shared" si="13"/>
        <v>W:\Performance Measurement\1. Freeway\1. raw data\2012\data files\det_473.xlsx</v>
      </c>
      <c r="K239" s="5"/>
      <c r="M239" s="106" t="s">
        <v>74</v>
      </c>
      <c r="N239" s="10">
        <v>573</v>
      </c>
      <c r="O239" s="10">
        <v>3</v>
      </c>
      <c r="P239" s="10">
        <v>1</v>
      </c>
    </row>
    <row r="240" spans="4:16" x14ac:dyDescent="0.25">
      <c r="D240" s="95">
        <v>236</v>
      </c>
      <c r="E240" s="48">
        <v>476</v>
      </c>
      <c r="F240" s="10">
        <v>5</v>
      </c>
      <c r="G240" s="10">
        <v>1</v>
      </c>
      <c r="H240" s="5" t="str">
        <f t="shared" si="11"/>
        <v>det_476</v>
      </c>
      <c r="I240" s="5" t="str">
        <f t="shared" si="12"/>
        <v>W:\Performance Measurement\1. Freeway\1. raw data\2012\data files\det_476.txt</v>
      </c>
      <c r="J240" s="5" t="str">
        <f t="shared" si="13"/>
        <v>W:\Performance Measurement\1. Freeway\1. raw data\2012\data files\det_476.xlsx</v>
      </c>
      <c r="K240" s="5"/>
      <c r="M240" s="106" t="s">
        <v>74</v>
      </c>
      <c r="N240" s="10">
        <v>574</v>
      </c>
      <c r="O240" s="10">
        <v>3</v>
      </c>
      <c r="P240" s="10">
        <v>1</v>
      </c>
    </row>
    <row r="241" spans="4:16" x14ac:dyDescent="0.25">
      <c r="D241" s="95">
        <v>237</v>
      </c>
      <c r="E241" s="48">
        <v>479</v>
      </c>
      <c r="F241" s="10">
        <v>5</v>
      </c>
      <c r="G241" s="10">
        <v>1</v>
      </c>
      <c r="H241" s="5" t="str">
        <f t="shared" si="11"/>
        <v>det_479</v>
      </c>
      <c r="I241" s="5" t="str">
        <f t="shared" si="12"/>
        <v>W:\Performance Measurement\1. Freeway\1. raw data\2012\data files\det_479.txt</v>
      </c>
      <c r="J241" s="5" t="str">
        <f t="shared" si="13"/>
        <v>W:\Performance Measurement\1. Freeway\1. raw data\2012\data files\det_479.xlsx</v>
      </c>
      <c r="K241" s="5"/>
      <c r="M241" s="106" t="s">
        <v>74</v>
      </c>
      <c r="N241" s="10">
        <v>575</v>
      </c>
      <c r="O241" s="10">
        <v>3</v>
      </c>
      <c r="P241" s="10">
        <v>1</v>
      </c>
    </row>
    <row r="242" spans="4:16" x14ac:dyDescent="0.25">
      <c r="D242" s="95">
        <v>238</v>
      </c>
      <c r="E242" s="48">
        <v>482</v>
      </c>
      <c r="F242" s="10">
        <v>5</v>
      </c>
      <c r="G242" s="10">
        <v>1</v>
      </c>
      <c r="H242" s="5" t="str">
        <f t="shared" si="11"/>
        <v>det_482</v>
      </c>
      <c r="I242" s="5" t="str">
        <f t="shared" si="12"/>
        <v>W:\Performance Measurement\1. Freeway\1. raw data\2012\data files\det_482.txt</v>
      </c>
      <c r="J242" s="5" t="str">
        <f t="shared" si="13"/>
        <v>W:\Performance Measurement\1. Freeway\1. raw data\2012\data files\det_482.xlsx</v>
      </c>
      <c r="K242" s="5"/>
      <c r="M242" s="106" t="s">
        <v>74</v>
      </c>
      <c r="N242" s="10">
        <v>576</v>
      </c>
      <c r="O242" s="10">
        <v>3</v>
      </c>
      <c r="P242" s="10">
        <v>1</v>
      </c>
    </row>
    <row r="243" spans="4:16" x14ac:dyDescent="0.25">
      <c r="D243" s="95">
        <v>239</v>
      </c>
      <c r="E243" s="48">
        <v>485</v>
      </c>
      <c r="F243" s="10">
        <v>5</v>
      </c>
      <c r="G243" s="10">
        <v>1</v>
      </c>
      <c r="H243" s="5" t="str">
        <f t="shared" si="11"/>
        <v>det_485</v>
      </c>
      <c r="I243" s="5" t="str">
        <f t="shared" si="12"/>
        <v>W:\Performance Measurement\1. Freeway\1. raw data\2012\data files\det_485.txt</v>
      </c>
      <c r="J243" s="5" t="str">
        <f t="shared" si="13"/>
        <v>W:\Performance Measurement\1. Freeway\1. raw data\2012\data files\det_485.xlsx</v>
      </c>
      <c r="K243" s="5"/>
      <c r="M243" s="106" t="s">
        <v>74</v>
      </c>
      <c r="N243" s="10">
        <v>577</v>
      </c>
      <c r="O243" s="10">
        <v>3</v>
      </c>
      <c r="P243" s="10">
        <v>1</v>
      </c>
    </row>
    <row r="244" spans="4:16" x14ac:dyDescent="0.25">
      <c r="D244" s="95">
        <v>240</v>
      </c>
      <c r="E244" s="48">
        <v>488</v>
      </c>
      <c r="F244" s="10">
        <v>3</v>
      </c>
      <c r="G244" s="10">
        <v>1</v>
      </c>
      <c r="H244" s="5" t="str">
        <f t="shared" si="11"/>
        <v>det_488</v>
      </c>
      <c r="I244" s="5" t="str">
        <f t="shared" si="12"/>
        <v>W:\Performance Measurement\1. Freeway\1. raw data\2012\data files\det_488.txt</v>
      </c>
      <c r="J244" s="5" t="str">
        <f t="shared" si="13"/>
        <v>W:\Performance Measurement\1. Freeway\1. raw data\2012\data files\det_488.xlsx</v>
      </c>
      <c r="K244" s="5"/>
      <c r="M244" s="106" t="s">
        <v>74</v>
      </c>
      <c r="N244" s="10">
        <v>578</v>
      </c>
      <c r="O244" s="10">
        <v>4</v>
      </c>
      <c r="P244" s="10">
        <v>1</v>
      </c>
    </row>
    <row r="245" spans="4:16" x14ac:dyDescent="0.25">
      <c r="D245" s="95">
        <v>241</v>
      </c>
      <c r="E245" s="48">
        <v>490</v>
      </c>
      <c r="F245" s="10">
        <v>3</v>
      </c>
      <c r="G245" s="10">
        <v>1</v>
      </c>
      <c r="H245" s="5" t="str">
        <f t="shared" si="11"/>
        <v>det_490</v>
      </c>
      <c r="I245" s="5" t="str">
        <f t="shared" si="12"/>
        <v>W:\Performance Measurement\1. Freeway\1. raw data\2012\data files\det_490.txt</v>
      </c>
      <c r="J245" s="5" t="str">
        <f t="shared" si="13"/>
        <v>W:\Performance Measurement\1. Freeway\1. raw data\2012\data files\det_490.xlsx</v>
      </c>
      <c r="K245" s="5"/>
      <c r="M245" s="106" t="s">
        <v>73</v>
      </c>
      <c r="N245" s="10">
        <v>255</v>
      </c>
      <c r="O245" s="10">
        <v>3</v>
      </c>
      <c r="P245" s="10">
        <v>1</v>
      </c>
    </row>
    <row r="246" spans="4:16" x14ac:dyDescent="0.25">
      <c r="D246" s="95">
        <v>242</v>
      </c>
      <c r="E246" s="48">
        <v>494</v>
      </c>
      <c r="F246" s="10">
        <v>4</v>
      </c>
      <c r="G246" s="10">
        <v>1</v>
      </c>
      <c r="H246" s="5" t="str">
        <f t="shared" si="11"/>
        <v>det_494</v>
      </c>
      <c r="I246" s="5" t="str">
        <f t="shared" si="12"/>
        <v>W:\Performance Measurement\1. Freeway\1. raw data\2012\data files\det_494.txt</v>
      </c>
      <c r="J246" s="5" t="str">
        <f t="shared" si="13"/>
        <v>W:\Performance Measurement\1. Freeway\1. raw data\2012\data files\det_494.xlsx</v>
      </c>
      <c r="K246" s="5"/>
      <c r="M246" s="106" t="s">
        <v>75</v>
      </c>
      <c r="N246" s="10">
        <v>558</v>
      </c>
      <c r="O246" s="10">
        <v>3</v>
      </c>
      <c r="P246" s="10">
        <v>1</v>
      </c>
    </row>
    <row r="247" spans="4:16" x14ac:dyDescent="0.25">
      <c r="D247" s="95">
        <v>243</v>
      </c>
      <c r="E247" s="48">
        <v>497</v>
      </c>
      <c r="F247" s="10">
        <v>3</v>
      </c>
      <c r="G247" s="10">
        <v>1</v>
      </c>
      <c r="H247" s="5" t="str">
        <f t="shared" si="11"/>
        <v>det_497</v>
      </c>
      <c r="I247" s="5" t="str">
        <f t="shared" si="12"/>
        <v>W:\Performance Measurement\1. Freeway\1. raw data\2012\data files\det_497.txt</v>
      </c>
      <c r="J247" s="5" t="str">
        <f t="shared" si="13"/>
        <v>W:\Performance Measurement\1. Freeway\1. raw data\2012\data files\det_497.xlsx</v>
      </c>
      <c r="K247" s="5"/>
      <c r="M247" s="106" t="s">
        <v>75</v>
      </c>
      <c r="N247" s="10">
        <v>559</v>
      </c>
      <c r="O247" s="10">
        <v>3</v>
      </c>
      <c r="P247" s="10">
        <v>1</v>
      </c>
    </row>
    <row r="248" spans="4:16" x14ac:dyDescent="0.25">
      <c r="D248" s="95">
        <v>244</v>
      </c>
      <c r="E248" s="48">
        <v>500</v>
      </c>
      <c r="F248" s="10">
        <v>3</v>
      </c>
      <c r="G248" s="10">
        <v>1</v>
      </c>
      <c r="H248" s="5" t="str">
        <f t="shared" si="11"/>
        <v>det_500</v>
      </c>
      <c r="I248" s="5" t="str">
        <f t="shared" si="12"/>
        <v>W:\Performance Measurement\1. Freeway\1. raw data\2012\data files\det_500.txt</v>
      </c>
      <c r="J248" s="5" t="str">
        <f t="shared" si="13"/>
        <v>W:\Performance Measurement\1. Freeway\1. raw data\2012\data files\det_500.xlsx</v>
      </c>
      <c r="K248" s="5"/>
      <c r="M248" s="106" t="s">
        <v>75</v>
      </c>
      <c r="N248" s="10">
        <v>560</v>
      </c>
      <c r="O248" s="10">
        <v>3</v>
      </c>
      <c r="P248" s="10">
        <v>1</v>
      </c>
    </row>
    <row r="249" spans="4:16" x14ac:dyDescent="0.25">
      <c r="D249" s="95">
        <v>245</v>
      </c>
      <c r="E249" s="48">
        <v>504</v>
      </c>
      <c r="F249" s="10">
        <v>3</v>
      </c>
      <c r="G249" s="11">
        <v>0</v>
      </c>
      <c r="H249" s="5" t="str">
        <f t="shared" si="11"/>
        <v>det_504</v>
      </c>
      <c r="I249" s="5" t="str">
        <f t="shared" si="12"/>
        <v>W:\Performance Measurement\1. Freeway\1. raw data\2012\data files\det_504.txt</v>
      </c>
      <c r="J249" s="5" t="str">
        <f t="shared" si="13"/>
        <v>W:\Performance Measurement\1. Freeway\1. raw data\2012\data files\det_504.xlsx</v>
      </c>
      <c r="K249" s="5"/>
      <c r="M249" s="106" t="s">
        <v>75</v>
      </c>
      <c r="N249" s="10">
        <v>561</v>
      </c>
      <c r="O249" s="10">
        <v>4</v>
      </c>
      <c r="P249" s="10">
        <v>1</v>
      </c>
    </row>
    <row r="250" spans="4:16" x14ac:dyDescent="0.25">
      <c r="D250" s="95">
        <v>246</v>
      </c>
      <c r="E250" s="48">
        <v>507</v>
      </c>
      <c r="F250" s="10">
        <v>3</v>
      </c>
      <c r="G250" s="10">
        <v>1</v>
      </c>
      <c r="H250" s="5" t="str">
        <f t="shared" si="11"/>
        <v>det_507</v>
      </c>
      <c r="I250" s="5" t="str">
        <f t="shared" si="12"/>
        <v>W:\Performance Measurement\1. Freeway\1. raw data\2012\data files\det_507.txt</v>
      </c>
      <c r="J250" s="5" t="str">
        <f t="shared" si="13"/>
        <v>W:\Performance Measurement\1. Freeway\1. raw data\2012\data files\det_507.xlsx</v>
      </c>
      <c r="M250" s="106" t="s">
        <v>75</v>
      </c>
      <c r="N250" s="10">
        <v>562</v>
      </c>
      <c r="O250" s="10">
        <v>3</v>
      </c>
      <c r="P250" s="10">
        <v>1</v>
      </c>
    </row>
    <row r="251" spans="4:16" x14ac:dyDescent="0.25">
      <c r="D251" s="95">
        <v>247</v>
      </c>
      <c r="E251" s="48">
        <v>510</v>
      </c>
      <c r="F251" s="10">
        <v>4</v>
      </c>
      <c r="G251" s="10">
        <v>1</v>
      </c>
      <c r="H251" s="5" t="str">
        <f t="shared" si="11"/>
        <v>det_510</v>
      </c>
      <c r="I251" s="5" t="str">
        <f t="shared" si="12"/>
        <v>W:\Performance Measurement\1. Freeway\1. raw data\2012\data files\det_510.txt</v>
      </c>
      <c r="J251" s="5" t="str">
        <f t="shared" si="13"/>
        <v>W:\Performance Measurement\1. Freeway\1. raw data\2012\data files\det_510.xlsx</v>
      </c>
      <c r="M251" s="106" t="s">
        <v>75</v>
      </c>
      <c r="N251" s="10">
        <v>563</v>
      </c>
      <c r="O251" s="10">
        <v>4</v>
      </c>
      <c r="P251" s="10">
        <v>1</v>
      </c>
    </row>
    <row r="252" spans="4:16" x14ac:dyDescent="0.25">
      <c r="D252" s="95">
        <v>248</v>
      </c>
      <c r="E252" s="48">
        <v>513</v>
      </c>
      <c r="F252" s="10">
        <v>3</v>
      </c>
      <c r="G252" s="11">
        <v>0</v>
      </c>
      <c r="H252" s="5" t="str">
        <f t="shared" si="11"/>
        <v>det_513</v>
      </c>
      <c r="I252" s="5" t="str">
        <f t="shared" si="12"/>
        <v>W:\Performance Measurement\1. Freeway\1. raw data\2012\data files\det_513.txt</v>
      </c>
      <c r="J252" s="5" t="str">
        <f t="shared" si="13"/>
        <v>W:\Performance Measurement\1. Freeway\1. raw data\2012\data files\det_513.xlsx</v>
      </c>
      <c r="M252" s="106" t="s">
        <v>75</v>
      </c>
      <c r="N252" s="10">
        <v>564</v>
      </c>
      <c r="O252" s="10">
        <v>3</v>
      </c>
      <c r="P252" s="10">
        <v>1</v>
      </c>
    </row>
    <row r="253" spans="4:16" x14ac:dyDescent="0.25">
      <c r="D253" s="95">
        <v>249</v>
      </c>
      <c r="E253" s="48">
        <v>514</v>
      </c>
      <c r="F253" s="10">
        <v>4</v>
      </c>
      <c r="G253" s="10">
        <v>1</v>
      </c>
      <c r="H253" s="5" t="str">
        <f t="shared" si="11"/>
        <v>det_514</v>
      </c>
      <c r="I253" s="5" t="str">
        <f t="shared" si="12"/>
        <v>W:\Performance Measurement\1. Freeway\1. raw data\2012\data files\det_514.txt</v>
      </c>
      <c r="J253" s="5" t="str">
        <f t="shared" si="13"/>
        <v>W:\Performance Measurement\1. Freeway\1. raw data\2012\data files\det_514.xlsx</v>
      </c>
      <c r="M253" s="106" t="s">
        <v>75</v>
      </c>
      <c r="N253" s="10">
        <v>565</v>
      </c>
      <c r="O253" s="10">
        <v>4</v>
      </c>
      <c r="P253" s="10">
        <v>1</v>
      </c>
    </row>
    <row r="254" spans="4:16" x14ac:dyDescent="0.25">
      <c r="D254" s="95">
        <v>250</v>
      </c>
      <c r="E254" s="48">
        <v>518</v>
      </c>
      <c r="F254" s="10">
        <v>3</v>
      </c>
      <c r="G254" s="10">
        <v>1</v>
      </c>
      <c r="H254" s="5" t="str">
        <f t="shared" si="11"/>
        <v>det_518</v>
      </c>
      <c r="I254" s="5" t="str">
        <f t="shared" si="12"/>
        <v>W:\Performance Measurement\1. Freeway\1. raw data\2012\data files\det_518.txt</v>
      </c>
      <c r="J254" s="5" t="str">
        <f t="shared" si="13"/>
        <v>W:\Performance Measurement\1. Freeway\1. raw data\2012\data files\det_518.xlsx</v>
      </c>
      <c r="M254" s="106" t="s">
        <v>75</v>
      </c>
      <c r="N254" s="10">
        <v>566</v>
      </c>
      <c r="O254" s="10">
        <v>3</v>
      </c>
      <c r="P254" s="10">
        <v>1</v>
      </c>
    </row>
    <row r="255" spans="4:16" x14ac:dyDescent="0.25">
      <c r="D255" s="95">
        <v>251</v>
      </c>
      <c r="E255" s="48">
        <v>520</v>
      </c>
      <c r="F255" s="10">
        <v>5</v>
      </c>
      <c r="G255" s="10">
        <v>1</v>
      </c>
      <c r="H255" s="5" t="str">
        <f t="shared" si="11"/>
        <v>det_520</v>
      </c>
      <c r="I255" s="5" t="str">
        <f t="shared" si="12"/>
        <v>W:\Performance Measurement\1. Freeway\1. raw data\2012\data files\det_520.txt</v>
      </c>
      <c r="J255" s="5" t="str">
        <f t="shared" si="13"/>
        <v>W:\Performance Measurement\1. Freeway\1. raw data\2012\data files\det_520.xlsx</v>
      </c>
      <c r="M255" s="106" t="s">
        <v>75</v>
      </c>
      <c r="N255" s="10">
        <v>567</v>
      </c>
      <c r="O255" s="10">
        <v>4</v>
      </c>
      <c r="P255" s="10">
        <v>1</v>
      </c>
    </row>
    <row r="256" spans="4:16" x14ac:dyDescent="0.25">
      <c r="D256" s="95">
        <v>252</v>
      </c>
      <c r="E256" s="48">
        <v>521</v>
      </c>
      <c r="F256" s="10">
        <v>5</v>
      </c>
      <c r="G256" s="10">
        <v>1</v>
      </c>
      <c r="H256" s="5" t="str">
        <f t="shared" si="11"/>
        <v>det_521</v>
      </c>
      <c r="I256" s="5" t="str">
        <f t="shared" si="12"/>
        <v>W:\Performance Measurement\1. Freeway\1. raw data\2012\data files\det_521.txt</v>
      </c>
      <c r="J256" s="5" t="str">
        <f t="shared" si="13"/>
        <v>W:\Performance Measurement\1. Freeway\1. raw data\2012\data files\det_521.xlsx</v>
      </c>
      <c r="M256" s="106" t="s">
        <v>75</v>
      </c>
      <c r="N256" s="10">
        <v>568</v>
      </c>
      <c r="O256" s="10">
        <v>3</v>
      </c>
      <c r="P256" s="10">
        <v>1</v>
      </c>
    </row>
    <row r="257" spans="4:16" x14ac:dyDescent="0.25">
      <c r="D257" s="95">
        <v>253</v>
      </c>
      <c r="E257" s="48">
        <v>522</v>
      </c>
      <c r="F257" s="10">
        <v>5</v>
      </c>
      <c r="G257" s="10">
        <v>1</v>
      </c>
      <c r="H257" s="5" t="str">
        <f t="shared" si="11"/>
        <v>det_522</v>
      </c>
      <c r="I257" s="5" t="str">
        <f t="shared" si="12"/>
        <v>W:\Performance Measurement\1. Freeway\1. raw data\2012\data files\det_522.txt</v>
      </c>
      <c r="J257" s="5" t="str">
        <f t="shared" si="13"/>
        <v>W:\Performance Measurement\1. Freeway\1. raw data\2012\data files\det_522.xlsx</v>
      </c>
      <c r="M257" s="106" t="s">
        <v>75</v>
      </c>
      <c r="N257" s="10">
        <v>569</v>
      </c>
      <c r="O257" s="10">
        <v>3</v>
      </c>
      <c r="P257" s="10">
        <v>1</v>
      </c>
    </row>
    <row r="258" spans="4:16" x14ac:dyDescent="0.25">
      <c r="D258" s="95">
        <v>254</v>
      </c>
      <c r="E258" s="48">
        <v>523</v>
      </c>
      <c r="F258" s="10">
        <v>5</v>
      </c>
      <c r="G258" s="10">
        <v>1</v>
      </c>
      <c r="H258" s="5" t="str">
        <f t="shared" si="11"/>
        <v>det_523</v>
      </c>
      <c r="I258" s="5" t="str">
        <f t="shared" si="12"/>
        <v>W:\Performance Measurement\1. Freeway\1. raw data\2012\data files\det_523.txt</v>
      </c>
      <c r="J258" s="5" t="str">
        <f t="shared" si="13"/>
        <v>W:\Performance Measurement\1. Freeway\1. raw data\2012\data files\det_523.xlsx</v>
      </c>
      <c r="M258" s="106" t="s">
        <v>76</v>
      </c>
      <c r="N258" s="10">
        <v>601</v>
      </c>
      <c r="O258" s="10">
        <v>3</v>
      </c>
      <c r="P258" s="10">
        <v>0</v>
      </c>
    </row>
    <row r="259" spans="4:16" x14ac:dyDescent="0.25">
      <c r="D259" s="95">
        <v>255</v>
      </c>
      <c r="E259" s="48">
        <v>524</v>
      </c>
      <c r="F259" s="10">
        <v>5</v>
      </c>
      <c r="G259" s="10">
        <v>1</v>
      </c>
      <c r="H259" s="5" t="str">
        <f t="shared" si="11"/>
        <v>det_524</v>
      </c>
      <c r="I259" s="5" t="str">
        <f t="shared" si="12"/>
        <v>W:\Performance Measurement\1. Freeway\1. raw data\2012\data files\det_524.txt</v>
      </c>
      <c r="J259" s="5" t="str">
        <f t="shared" si="13"/>
        <v>W:\Performance Measurement\1. Freeway\1. raw data\2012\data files\det_524.xlsx</v>
      </c>
      <c r="M259" s="106" t="s">
        <v>76</v>
      </c>
      <c r="N259" s="10">
        <v>602</v>
      </c>
      <c r="O259" s="10">
        <v>3</v>
      </c>
      <c r="P259" s="10">
        <v>1</v>
      </c>
    </row>
    <row r="260" spans="4:16" x14ac:dyDescent="0.25">
      <c r="D260" s="95">
        <v>256</v>
      </c>
      <c r="E260" s="48">
        <v>525</v>
      </c>
      <c r="F260" s="10">
        <v>4</v>
      </c>
      <c r="G260" s="10">
        <v>1</v>
      </c>
      <c r="H260" s="5" t="str">
        <f t="shared" si="11"/>
        <v>det_525</v>
      </c>
      <c r="I260" s="5" t="str">
        <f t="shared" si="12"/>
        <v>W:\Performance Measurement\1. Freeway\1. raw data\2012\data files\det_525.txt</v>
      </c>
      <c r="J260" s="5" t="str">
        <f t="shared" si="13"/>
        <v>W:\Performance Measurement\1. Freeway\1. raw data\2012\data files\det_525.xlsx</v>
      </c>
      <c r="M260" s="106" t="s">
        <v>76</v>
      </c>
      <c r="N260" s="10">
        <v>603</v>
      </c>
      <c r="O260" s="10">
        <v>3</v>
      </c>
      <c r="P260" s="10">
        <v>1</v>
      </c>
    </row>
    <row r="261" spans="4:16" x14ac:dyDescent="0.25">
      <c r="D261" s="95">
        <v>257</v>
      </c>
      <c r="E261" s="48">
        <v>526</v>
      </c>
      <c r="F261" s="10">
        <v>3</v>
      </c>
      <c r="G261" s="10">
        <v>1</v>
      </c>
      <c r="H261" s="5" t="str">
        <f t="shared" ref="H261:H287" si="14">"det_"&amp;E261&amp;""</f>
        <v>det_526</v>
      </c>
      <c r="I261" s="5" t="str">
        <f t="shared" ref="I261:I287" si="15">$B$5&amp;"\"&amp;H261&amp;".txt"</f>
        <v>W:\Performance Measurement\1. Freeway\1. raw data\2012\data files\det_526.txt</v>
      </c>
      <c r="J261" s="5" t="str">
        <f t="shared" ref="J261:J287" si="16">$B$5&amp;"\"&amp;H261&amp;".xlsx"</f>
        <v>W:\Performance Measurement\1. Freeway\1. raw data\2012\data files\det_526.xlsx</v>
      </c>
      <c r="M261" s="106" t="s">
        <v>76</v>
      </c>
      <c r="N261" s="10">
        <v>604</v>
      </c>
      <c r="O261" s="10">
        <v>3</v>
      </c>
      <c r="P261" s="10">
        <v>1</v>
      </c>
    </row>
    <row r="262" spans="4:16" x14ac:dyDescent="0.25">
      <c r="D262" s="95">
        <v>258</v>
      </c>
      <c r="E262" s="48">
        <v>527</v>
      </c>
      <c r="F262" s="10">
        <v>3</v>
      </c>
      <c r="G262" s="10">
        <v>1</v>
      </c>
      <c r="H262" s="5" t="str">
        <f t="shared" si="14"/>
        <v>det_527</v>
      </c>
      <c r="I262" s="5" t="str">
        <f t="shared" si="15"/>
        <v>W:\Performance Measurement\1. Freeway\1. raw data\2012\data files\det_527.txt</v>
      </c>
      <c r="J262" s="5" t="str">
        <f t="shared" si="16"/>
        <v>W:\Performance Measurement\1. Freeway\1. raw data\2012\data files\det_527.xlsx</v>
      </c>
      <c r="M262" s="106" t="s">
        <v>76</v>
      </c>
      <c r="N262" s="10">
        <v>605</v>
      </c>
      <c r="O262" s="10">
        <v>3</v>
      </c>
      <c r="P262" s="10">
        <v>1</v>
      </c>
    </row>
    <row r="263" spans="4:16" x14ac:dyDescent="0.25">
      <c r="D263" s="95">
        <v>259</v>
      </c>
      <c r="E263" s="48">
        <v>528</v>
      </c>
      <c r="F263" s="10">
        <v>5</v>
      </c>
      <c r="G263" s="10">
        <v>1</v>
      </c>
      <c r="H263" s="5" t="str">
        <f t="shared" si="14"/>
        <v>det_528</v>
      </c>
      <c r="I263" s="5" t="str">
        <f t="shared" si="15"/>
        <v>W:\Performance Measurement\1. Freeway\1. raw data\2012\data files\det_528.txt</v>
      </c>
      <c r="J263" s="5" t="str">
        <f t="shared" si="16"/>
        <v>W:\Performance Measurement\1. Freeway\1. raw data\2012\data files\det_528.xlsx</v>
      </c>
      <c r="M263" s="106" t="s">
        <v>76</v>
      </c>
      <c r="N263" s="10">
        <v>606</v>
      </c>
      <c r="O263" s="10">
        <v>3</v>
      </c>
      <c r="P263" s="10">
        <v>1</v>
      </c>
    </row>
    <row r="264" spans="4:16" x14ac:dyDescent="0.25">
      <c r="D264" s="95">
        <v>260</v>
      </c>
      <c r="E264" s="48">
        <v>529</v>
      </c>
      <c r="F264" s="10">
        <v>4</v>
      </c>
      <c r="G264" s="10">
        <v>1</v>
      </c>
      <c r="H264" s="5" t="str">
        <f t="shared" si="14"/>
        <v>det_529</v>
      </c>
      <c r="I264" s="5" t="str">
        <f t="shared" si="15"/>
        <v>W:\Performance Measurement\1. Freeway\1. raw data\2012\data files\det_529.txt</v>
      </c>
      <c r="J264" s="5" t="str">
        <f t="shared" si="16"/>
        <v>W:\Performance Measurement\1. Freeway\1. raw data\2012\data files\det_529.xlsx</v>
      </c>
      <c r="M264" s="106" t="s">
        <v>76</v>
      </c>
      <c r="N264" s="10">
        <v>594</v>
      </c>
      <c r="O264" s="10">
        <v>3</v>
      </c>
      <c r="P264" s="10">
        <v>1</v>
      </c>
    </row>
    <row r="265" spans="4:16" x14ac:dyDescent="0.25">
      <c r="D265" s="95">
        <v>261</v>
      </c>
      <c r="E265" s="48">
        <v>530</v>
      </c>
      <c r="F265" s="10">
        <v>3</v>
      </c>
      <c r="G265" s="10">
        <v>1</v>
      </c>
      <c r="H265" s="5" t="str">
        <f t="shared" si="14"/>
        <v>det_530</v>
      </c>
      <c r="I265" s="5" t="str">
        <f t="shared" si="15"/>
        <v>W:\Performance Measurement\1. Freeway\1. raw data\2012\data files\det_530.txt</v>
      </c>
      <c r="J265" s="5" t="str">
        <f t="shared" si="16"/>
        <v>W:\Performance Measurement\1. Freeway\1. raw data\2012\data files\det_530.xlsx</v>
      </c>
      <c r="M265" s="106" t="s">
        <v>76</v>
      </c>
      <c r="N265" s="10">
        <v>595</v>
      </c>
      <c r="O265" s="10">
        <v>3</v>
      </c>
      <c r="P265" s="10">
        <v>1</v>
      </c>
    </row>
    <row r="266" spans="4:16" x14ac:dyDescent="0.25">
      <c r="D266" s="95">
        <v>262</v>
      </c>
      <c r="E266" s="48">
        <v>531</v>
      </c>
      <c r="F266" s="10">
        <v>3</v>
      </c>
      <c r="G266" s="10">
        <v>1</v>
      </c>
      <c r="H266" s="5" t="str">
        <f t="shared" si="14"/>
        <v>det_531</v>
      </c>
      <c r="I266" s="5" t="str">
        <f t="shared" si="15"/>
        <v>W:\Performance Measurement\1. Freeway\1. raw data\2012\data files\det_531.txt</v>
      </c>
      <c r="J266" s="5" t="str">
        <f t="shared" si="16"/>
        <v>W:\Performance Measurement\1. Freeway\1. raw data\2012\data files\det_531.xlsx</v>
      </c>
      <c r="M266" s="106" t="s">
        <v>76</v>
      </c>
      <c r="N266" s="10">
        <v>596</v>
      </c>
      <c r="O266" s="10">
        <v>3</v>
      </c>
      <c r="P266" s="10">
        <v>1</v>
      </c>
    </row>
    <row r="267" spans="4:16" x14ac:dyDescent="0.25">
      <c r="D267" s="95">
        <v>263</v>
      </c>
      <c r="E267" s="48">
        <v>532</v>
      </c>
      <c r="F267" s="10">
        <v>4</v>
      </c>
      <c r="G267" s="10">
        <v>1</v>
      </c>
      <c r="H267" s="5" t="str">
        <f t="shared" si="14"/>
        <v>det_532</v>
      </c>
      <c r="I267" s="5" t="str">
        <f t="shared" si="15"/>
        <v>W:\Performance Measurement\1. Freeway\1. raw data\2012\data files\det_532.txt</v>
      </c>
      <c r="J267" s="5" t="str">
        <f t="shared" si="16"/>
        <v>W:\Performance Measurement\1. Freeway\1. raw data\2012\data files\det_532.xlsx</v>
      </c>
      <c r="M267" s="106" t="s">
        <v>76</v>
      </c>
      <c r="N267" s="10">
        <v>597</v>
      </c>
      <c r="O267" s="10">
        <v>3</v>
      </c>
      <c r="P267" s="10">
        <v>1</v>
      </c>
    </row>
    <row r="268" spans="4:16" x14ac:dyDescent="0.25">
      <c r="D268" s="95">
        <v>264</v>
      </c>
      <c r="E268" s="48">
        <v>533</v>
      </c>
      <c r="F268" s="10">
        <v>6</v>
      </c>
      <c r="G268" s="10">
        <v>1</v>
      </c>
      <c r="H268" s="5" t="str">
        <f t="shared" si="14"/>
        <v>det_533</v>
      </c>
      <c r="I268" s="5" t="str">
        <f t="shared" si="15"/>
        <v>W:\Performance Measurement\1. Freeway\1. raw data\2012\data files\det_533.txt</v>
      </c>
      <c r="J268" s="5" t="str">
        <f t="shared" si="16"/>
        <v>W:\Performance Measurement\1. Freeway\1. raw data\2012\data files\det_533.xlsx</v>
      </c>
      <c r="M268" s="106" t="s">
        <v>76</v>
      </c>
      <c r="N268" s="10">
        <v>598</v>
      </c>
      <c r="O268" s="10">
        <v>3</v>
      </c>
      <c r="P268" s="10">
        <v>1</v>
      </c>
    </row>
    <row r="269" spans="4:16" x14ac:dyDescent="0.25">
      <c r="D269" s="95">
        <v>265</v>
      </c>
      <c r="E269" s="48">
        <v>534</v>
      </c>
      <c r="F269" s="10">
        <v>5</v>
      </c>
      <c r="G269" s="10">
        <v>1</v>
      </c>
      <c r="H269" s="5" t="str">
        <f t="shared" si="14"/>
        <v>det_534</v>
      </c>
      <c r="I269" s="5" t="str">
        <f t="shared" si="15"/>
        <v>W:\Performance Measurement\1. Freeway\1. raw data\2012\data files\det_534.txt</v>
      </c>
      <c r="J269" s="5" t="str">
        <f t="shared" si="16"/>
        <v>W:\Performance Measurement\1. Freeway\1. raw data\2012\data files\det_534.xlsx</v>
      </c>
      <c r="M269" s="106" t="s">
        <v>76</v>
      </c>
      <c r="N269" s="10">
        <v>599</v>
      </c>
      <c r="O269" s="10">
        <v>3</v>
      </c>
      <c r="P269" s="10">
        <v>1</v>
      </c>
    </row>
    <row r="270" spans="4:16" x14ac:dyDescent="0.25">
      <c r="D270" s="95">
        <v>266</v>
      </c>
      <c r="E270" s="48">
        <v>535</v>
      </c>
      <c r="F270" s="10">
        <v>5</v>
      </c>
      <c r="G270" s="10">
        <v>1</v>
      </c>
      <c r="H270" s="5" t="str">
        <f t="shared" si="14"/>
        <v>det_535</v>
      </c>
      <c r="I270" s="5" t="str">
        <f t="shared" si="15"/>
        <v>W:\Performance Measurement\1. Freeway\1. raw data\2012\data files\det_535.txt</v>
      </c>
      <c r="J270" s="5" t="str">
        <f t="shared" si="16"/>
        <v>W:\Performance Measurement\1. Freeway\1. raw data\2012\data files\det_535.xlsx</v>
      </c>
      <c r="M270" s="106" t="s">
        <v>76</v>
      </c>
      <c r="N270" s="10">
        <v>600</v>
      </c>
      <c r="O270" s="10">
        <v>3</v>
      </c>
      <c r="P270" s="10">
        <v>1</v>
      </c>
    </row>
    <row r="271" spans="4:16" x14ac:dyDescent="0.25">
      <c r="D271" s="95">
        <v>267</v>
      </c>
      <c r="E271" s="48">
        <v>536</v>
      </c>
      <c r="F271" s="10">
        <v>5</v>
      </c>
      <c r="G271" s="10">
        <v>1</v>
      </c>
      <c r="H271" s="5" t="str">
        <f t="shared" si="14"/>
        <v>det_536</v>
      </c>
      <c r="I271" s="5" t="str">
        <f t="shared" si="15"/>
        <v>W:\Performance Measurement\1. Freeway\1. raw data\2012\data files\det_536.txt</v>
      </c>
      <c r="J271" s="5" t="str">
        <f t="shared" si="16"/>
        <v>W:\Performance Measurement\1. Freeway\1. raw data\2012\data files\det_536.xlsx</v>
      </c>
      <c r="M271" s="106" t="s">
        <v>77</v>
      </c>
      <c r="N271" s="10">
        <v>586</v>
      </c>
      <c r="O271" s="10">
        <v>2</v>
      </c>
      <c r="P271" s="10">
        <v>0</v>
      </c>
    </row>
    <row r="272" spans="4:16" x14ac:dyDescent="0.25">
      <c r="D272" s="95">
        <v>268</v>
      </c>
      <c r="E272" s="48">
        <v>537</v>
      </c>
      <c r="F272" s="10">
        <v>5</v>
      </c>
      <c r="G272" s="10">
        <v>1</v>
      </c>
      <c r="H272" s="5" t="str">
        <f t="shared" si="14"/>
        <v>det_537</v>
      </c>
      <c r="I272" s="5" t="str">
        <f t="shared" si="15"/>
        <v>W:\Performance Measurement\1. Freeway\1. raw data\2012\data files\det_537.txt</v>
      </c>
      <c r="J272" s="5" t="str">
        <f t="shared" si="16"/>
        <v>W:\Performance Measurement\1. Freeway\1. raw data\2012\data files\det_537.xlsx</v>
      </c>
      <c r="M272" s="106" t="s">
        <v>77</v>
      </c>
      <c r="N272" s="10">
        <v>587</v>
      </c>
      <c r="O272" s="10">
        <v>3</v>
      </c>
      <c r="P272" s="10">
        <v>0</v>
      </c>
    </row>
    <row r="273" spans="4:16" x14ac:dyDescent="0.25">
      <c r="D273" s="95">
        <v>269</v>
      </c>
      <c r="E273" s="48">
        <v>538</v>
      </c>
      <c r="F273" s="10">
        <v>5</v>
      </c>
      <c r="G273" s="10">
        <v>1</v>
      </c>
      <c r="H273" s="5" t="str">
        <f t="shared" si="14"/>
        <v>det_538</v>
      </c>
      <c r="I273" s="5" t="str">
        <f t="shared" si="15"/>
        <v>W:\Performance Measurement\1. Freeway\1. raw data\2012\data files\det_538.txt</v>
      </c>
      <c r="J273" s="5" t="str">
        <f t="shared" si="16"/>
        <v>W:\Performance Measurement\1. Freeway\1. raw data\2012\data files\det_538.xlsx</v>
      </c>
      <c r="M273" s="106" t="s">
        <v>77</v>
      </c>
      <c r="N273" s="10">
        <v>588</v>
      </c>
      <c r="O273" s="10">
        <v>3</v>
      </c>
      <c r="P273" s="10">
        <v>0</v>
      </c>
    </row>
    <row r="274" spans="4:16" x14ac:dyDescent="0.25">
      <c r="D274" s="95">
        <v>270</v>
      </c>
      <c r="E274" s="48">
        <v>539</v>
      </c>
      <c r="F274" s="10">
        <v>0</v>
      </c>
      <c r="G274" s="10">
        <v>0</v>
      </c>
      <c r="H274" s="5" t="str">
        <f t="shared" si="14"/>
        <v>det_539</v>
      </c>
      <c r="I274" s="5" t="str">
        <f t="shared" si="15"/>
        <v>W:\Performance Measurement\1. Freeway\1. raw data\2012\data files\det_539.txt</v>
      </c>
      <c r="J274" s="5" t="str">
        <f t="shared" si="16"/>
        <v>W:\Performance Measurement\1. Freeway\1. raw data\2012\data files\det_539.xlsx</v>
      </c>
      <c r="M274" s="106" t="s">
        <v>77</v>
      </c>
      <c r="N274" s="10">
        <v>589</v>
      </c>
      <c r="O274" s="10">
        <v>3</v>
      </c>
      <c r="P274" s="10">
        <v>0</v>
      </c>
    </row>
    <row r="275" spans="4:16" x14ac:dyDescent="0.25">
      <c r="D275" s="95">
        <v>271</v>
      </c>
      <c r="E275" s="48">
        <v>540</v>
      </c>
      <c r="F275" s="10">
        <v>3</v>
      </c>
      <c r="G275" s="10">
        <v>1</v>
      </c>
      <c r="H275" s="5" t="str">
        <f t="shared" si="14"/>
        <v>det_540</v>
      </c>
      <c r="I275" s="5" t="str">
        <f t="shared" si="15"/>
        <v>W:\Performance Measurement\1. Freeway\1. raw data\2012\data files\det_540.txt</v>
      </c>
      <c r="J275" s="5" t="str">
        <f t="shared" si="16"/>
        <v>W:\Performance Measurement\1. Freeway\1. raw data\2012\data files\det_540.xlsx</v>
      </c>
      <c r="M275" s="106" t="s">
        <v>77</v>
      </c>
      <c r="N275" s="10">
        <v>590</v>
      </c>
      <c r="O275" s="10">
        <v>3</v>
      </c>
      <c r="P275" s="10">
        <v>0</v>
      </c>
    </row>
    <row r="276" spans="4:16" x14ac:dyDescent="0.25">
      <c r="D276" s="95">
        <v>272</v>
      </c>
      <c r="E276" s="48">
        <v>541</v>
      </c>
      <c r="F276" s="10">
        <v>3</v>
      </c>
      <c r="G276" s="10">
        <v>1</v>
      </c>
      <c r="H276" s="5" t="str">
        <f t="shared" si="14"/>
        <v>det_541</v>
      </c>
      <c r="I276" s="5" t="str">
        <f t="shared" si="15"/>
        <v>W:\Performance Measurement\1. Freeway\1. raw data\2012\data files\det_541.txt</v>
      </c>
      <c r="J276" s="5" t="str">
        <f t="shared" si="16"/>
        <v>W:\Performance Measurement\1. Freeway\1. raw data\2012\data files\det_541.xlsx</v>
      </c>
      <c r="M276" s="106" t="s">
        <v>77</v>
      </c>
      <c r="N276" s="10">
        <v>591</v>
      </c>
      <c r="O276" s="10">
        <v>3</v>
      </c>
      <c r="P276" s="10">
        <v>0</v>
      </c>
    </row>
    <row r="277" spans="4:16" x14ac:dyDescent="0.25">
      <c r="D277" s="95">
        <v>273</v>
      </c>
      <c r="E277" s="48">
        <v>542</v>
      </c>
      <c r="F277" s="10">
        <v>3</v>
      </c>
      <c r="G277" s="10">
        <v>1</v>
      </c>
      <c r="H277" s="5" t="str">
        <f t="shared" si="14"/>
        <v>det_542</v>
      </c>
      <c r="I277" s="5" t="str">
        <f t="shared" si="15"/>
        <v>W:\Performance Measurement\1. Freeway\1. raw data\2012\data files\det_542.txt</v>
      </c>
      <c r="J277" s="5" t="str">
        <f t="shared" si="16"/>
        <v>W:\Performance Measurement\1. Freeway\1. raw data\2012\data files\det_542.xlsx</v>
      </c>
      <c r="M277" s="106" t="s">
        <v>77</v>
      </c>
      <c r="N277" s="10">
        <v>592</v>
      </c>
      <c r="O277" s="10">
        <v>3</v>
      </c>
      <c r="P277" s="10">
        <v>0</v>
      </c>
    </row>
    <row r="278" spans="4:16" x14ac:dyDescent="0.25">
      <c r="D278" s="95">
        <v>274</v>
      </c>
      <c r="E278" s="48">
        <v>543</v>
      </c>
      <c r="F278" s="10">
        <v>3</v>
      </c>
      <c r="G278" s="10">
        <v>1</v>
      </c>
      <c r="H278" s="5" t="str">
        <f t="shared" si="14"/>
        <v>det_543</v>
      </c>
      <c r="I278" s="5" t="str">
        <f t="shared" si="15"/>
        <v>W:\Performance Measurement\1. Freeway\1. raw data\2012\data files\det_543.txt</v>
      </c>
      <c r="J278" s="5" t="str">
        <f t="shared" si="16"/>
        <v>W:\Performance Measurement\1. Freeway\1. raw data\2012\data files\det_543.xlsx</v>
      </c>
      <c r="M278" s="106" t="s">
        <v>77</v>
      </c>
      <c r="N278" s="10">
        <v>593</v>
      </c>
      <c r="O278" s="10">
        <v>3</v>
      </c>
      <c r="P278" s="10">
        <v>0</v>
      </c>
    </row>
    <row r="279" spans="4:16" x14ac:dyDescent="0.25">
      <c r="D279" s="95">
        <v>275</v>
      </c>
      <c r="E279" s="48">
        <v>544</v>
      </c>
      <c r="F279" s="10">
        <v>3</v>
      </c>
      <c r="G279" s="10">
        <v>1</v>
      </c>
      <c r="H279" s="5" t="str">
        <f t="shared" si="14"/>
        <v>det_544</v>
      </c>
      <c r="I279" s="5" t="str">
        <f t="shared" si="15"/>
        <v>W:\Performance Measurement\1. Freeway\1. raw data\2012\data files\det_544.txt</v>
      </c>
      <c r="J279" s="5" t="str">
        <f t="shared" si="16"/>
        <v>W:\Performance Measurement\1. Freeway\1. raw data\2012\data files\det_544.xlsx</v>
      </c>
      <c r="M279" s="106" t="s">
        <v>77</v>
      </c>
      <c r="N279" s="10">
        <v>579</v>
      </c>
      <c r="O279" s="10">
        <v>3</v>
      </c>
      <c r="P279" s="10">
        <v>0</v>
      </c>
    </row>
    <row r="280" spans="4:16" x14ac:dyDescent="0.25">
      <c r="D280" s="95">
        <v>276</v>
      </c>
      <c r="E280" s="48">
        <v>545</v>
      </c>
      <c r="F280" s="10">
        <v>3</v>
      </c>
      <c r="G280" s="10">
        <v>1</v>
      </c>
      <c r="H280" s="5" t="str">
        <f t="shared" si="14"/>
        <v>det_545</v>
      </c>
      <c r="I280" s="5" t="str">
        <f t="shared" si="15"/>
        <v>W:\Performance Measurement\1. Freeway\1. raw data\2012\data files\det_545.txt</v>
      </c>
      <c r="J280" s="5" t="str">
        <f t="shared" si="16"/>
        <v>W:\Performance Measurement\1. Freeway\1. raw data\2012\data files\det_545.xlsx</v>
      </c>
      <c r="M280" s="106" t="s">
        <v>77</v>
      </c>
      <c r="N280" s="10">
        <v>580</v>
      </c>
      <c r="O280" s="10">
        <v>3</v>
      </c>
      <c r="P280" s="10">
        <v>0</v>
      </c>
    </row>
    <row r="281" spans="4:16" x14ac:dyDescent="0.25">
      <c r="D281" s="95">
        <v>277</v>
      </c>
      <c r="E281" s="48">
        <v>546</v>
      </c>
      <c r="F281" s="10">
        <v>3</v>
      </c>
      <c r="G281" s="10">
        <v>1</v>
      </c>
      <c r="H281" s="5" t="str">
        <f t="shared" si="14"/>
        <v>det_546</v>
      </c>
      <c r="I281" s="5" t="str">
        <f t="shared" si="15"/>
        <v>W:\Performance Measurement\1. Freeway\1. raw data\2012\data files\det_546.txt</v>
      </c>
      <c r="J281" s="5" t="str">
        <f t="shared" si="16"/>
        <v>W:\Performance Measurement\1. Freeway\1. raw data\2012\data files\det_546.xlsx</v>
      </c>
      <c r="M281" s="106" t="s">
        <v>77</v>
      </c>
      <c r="N281" s="10">
        <v>581</v>
      </c>
      <c r="O281" s="10">
        <v>3</v>
      </c>
      <c r="P281" s="10">
        <v>0</v>
      </c>
    </row>
    <row r="282" spans="4:16" x14ac:dyDescent="0.25">
      <c r="D282" s="95">
        <v>278</v>
      </c>
      <c r="E282" s="48">
        <v>547</v>
      </c>
      <c r="F282" s="10">
        <v>3</v>
      </c>
      <c r="G282" s="10">
        <v>1</v>
      </c>
      <c r="H282" s="5" t="str">
        <f t="shared" si="14"/>
        <v>det_547</v>
      </c>
      <c r="I282" s="5" t="str">
        <f t="shared" si="15"/>
        <v>W:\Performance Measurement\1. Freeway\1. raw data\2012\data files\det_547.txt</v>
      </c>
      <c r="J282" s="5" t="str">
        <f t="shared" si="16"/>
        <v>W:\Performance Measurement\1. Freeway\1. raw data\2012\data files\det_547.xlsx</v>
      </c>
      <c r="M282" s="106" t="s">
        <v>77</v>
      </c>
      <c r="N282" s="10">
        <v>582</v>
      </c>
      <c r="O282" s="10">
        <v>3</v>
      </c>
      <c r="P282" s="10">
        <v>0</v>
      </c>
    </row>
    <row r="283" spans="4:16" x14ac:dyDescent="0.25">
      <c r="D283" s="95">
        <v>279</v>
      </c>
      <c r="E283" s="48">
        <v>548</v>
      </c>
      <c r="F283" s="10">
        <v>2</v>
      </c>
      <c r="G283" s="10">
        <v>0</v>
      </c>
      <c r="H283" s="5" t="str">
        <f t="shared" si="14"/>
        <v>det_548</v>
      </c>
      <c r="I283" s="5" t="str">
        <f t="shared" si="15"/>
        <v>W:\Performance Measurement\1. Freeway\1. raw data\2012\data files\det_548.txt</v>
      </c>
      <c r="J283" s="5" t="str">
        <f t="shared" si="16"/>
        <v>W:\Performance Measurement\1. Freeway\1. raw data\2012\data files\det_548.xlsx</v>
      </c>
      <c r="M283" s="106" t="s">
        <v>77</v>
      </c>
      <c r="N283" s="10">
        <v>583</v>
      </c>
      <c r="O283" s="10">
        <v>3</v>
      </c>
      <c r="P283" s="10">
        <v>0</v>
      </c>
    </row>
    <row r="284" spans="4:16" x14ac:dyDescent="0.25">
      <c r="D284" s="95">
        <v>280</v>
      </c>
      <c r="E284" s="48">
        <v>549</v>
      </c>
      <c r="F284" s="10">
        <v>4</v>
      </c>
      <c r="G284" s="10">
        <v>1</v>
      </c>
      <c r="H284" s="5" t="str">
        <f t="shared" si="14"/>
        <v>det_549</v>
      </c>
      <c r="I284" s="5" t="str">
        <f t="shared" si="15"/>
        <v>W:\Performance Measurement\1. Freeway\1. raw data\2012\data files\det_549.txt</v>
      </c>
      <c r="J284" s="5" t="str">
        <f t="shared" si="16"/>
        <v>W:\Performance Measurement\1. Freeway\1. raw data\2012\data files\det_549.xlsx</v>
      </c>
      <c r="M284" s="106" t="s">
        <v>77</v>
      </c>
      <c r="N284" s="10">
        <v>584</v>
      </c>
      <c r="O284" s="10">
        <v>3</v>
      </c>
      <c r="P284" s="10">
        <v>0</v>
      </c>
    </row>
    <row r="285" spans="4:16" x14ac:dyDescent="0.25">
      <c r="D285" s="95">
        <v>281</v>
      </c>
      <c r="E285" s="48">
        <v>550</v>
      </c>
      <c r="F285" s="10">
        <v>3</v>
      </c>
      <c r="G285" s="10">
        <v>1</v>
      </c>
      <c r="H285" s="5" t="str">
        <f t="shared" si="14"/>
        <v>det_550</v>
      </c>
      <c r="I285" s="5" t="str">
        <f t="shared" si="15"/>
        <v>W:\Performance Measurement\1. Freeway\1. raw data\2012\data files\det_550.txt</v>
      </c>
      <c r="J285" s="5" t="str">
        <f t="shared" si="16"/>
        <v>W:\Performance Measurement\1. Freeway\1. raw data\2012\data files\det_550.xlsx</v>
      </c>
      <c r="M285" s="106" t="s">
        <v>77</v>
      </c>
      <c r="N285" s="10">
        <v>585</v>
      </c>
      <c r="O285" s="10">
        <v>2</v>
      </c>
      <c r="P285" s="10">
        <v>0</v>
      </c>
    </row>
    <row r="286" spans="4:16" x14ac:dyDescent="0.25">
      <c r="D286" s="95">
        <v>282</v>
      </c>
      <c r="E286" s="48">
        <v>551</v>
      </c>
      <c r="F286" s="10">
        <v>3</v>
      </c>
      <c r="G286" s="10">
        <v>1</v>
      </c>
      <c r="H286" s="5" t="str">
        <f t="shared" si="14"/>
        <v>det_551</v>
      </c>
      <c r="I286" s="5" t="str">
        <f t="shared" si="15"/>
        <v>W:\Performance Measurement\1. Freeway\1. raw data\2012\data files\det_551.txt</v>
      </c>
      <c r="J286" s="5" t="str">
        <f t="shared" si="16"/>
        <v>W:\Performance Measurement\1. Freeway\1. raw data\2012\data files\det_551.xlsx</v>
      </c>
      <c r="M286" s="106" t="s">
        <v>79</v>
      </c>
      <c r="N286" s="10">
        <v>527</v>
      </c>
      <c r="O286" s="10">
        <v>3</v>
      </c>
      <c r="P286" s="10">
        <v>1</v>
      </c>
    </row>
    <row r="287" spans="4:16" x14ac:dyDescent="0.25">
      <c r="D287" s="95">
        <v>283</v>
      </c>
      <c r="E287" s="48">
        <v>552</v>
      </c>
      <c r="F287" s="10">
        <v>3</v>
      </c>
      <c r="G287" s="10">
        <v>1</v>
      </c>
      <c r="H287" s="5" t="str">
        <f t="shared" si="14"/>
        <v>det_552</v>
      </c>
      <c r="I287" s="5" t="str">
        <f t="shared" si="15"/>
        <v>W:\Performance Measurement\1. Freeway\1. raw data\2012\data files\det_552.txt</v>
      </c>
      <c r="J287" s="5" t="str">
        <f t="shared" si="16"/>
        <v>W:\Performance Measurement\1. Freeway\1. raw data\2012\data files\det_552.xlsx</v>
      </c>
      <c r="M287" s="106" t="s">
        <v>79</v>
      </c>
      <c r="N287" s="10">
        <v>528</v>
      </c>
      <c r="O287" s="10">
        <v>5</v>
      </c>
      <c r="P287" s="10">
        <v>1</v>
      </c>
    </row>
    <row r="288" spans="4:16" x14ac:dyDescent="0.25">
      <c r="E288" s="48">
        <v>553</v>
      </c>
      <c r="F288" s="10">
        <v>3</v>
      </c>
      <c r="G288" s="10">
        <v>1</v>
      </c>
      <c r="H288" s="5"/>
      <c r="I288" s="5"/>
      <c r="J288" s="5"/>
      <c r="M288" s="106" t="s">
        <v>79</v>
      </c>
      <c r="N288" s="10">
        <v>529</v>
      </c>
      <c r="O288" s="10">
        <v>4</v>
      </c>
      <c r="P288" s="10">
        <v>1</v>
      </c>
    </row>
    <row r="289" spans="5:16" x14ac:dyDescent="0.25">
      <c r="E289" s="48">
        <v>554</v>
      </c>
      <c r="F289" s="10">
        <v>3</v>
      </c>
      <c r="G289" s="10">
        <v>1</v>
      </c>
      <c r="H289" s="5"/>
      <c r="I289" s="5"/>
      <c r="J289" s="5"/>
      <c r="M289" s="106" t="s">
        <v>79</v>
      </c>
      <c r="N289" s="10">
        <v>530</v>
      </c>
      <c r="O289" s="10">
        <v>3</v>
      </c>
      <c r="P289" s="10">
        <v>1</v>
      </c>
    </row>
    <row r="290" spans="5:16" x14ac:dyDescent="0.25">
      <c r="E290" s="48">
        <v>555</v>
      </c>
      <c r="F290" s="10">
        <v>3</v>
      </c>
      <c r="G290" s="10">
        <v>1</v>
      </c>
      <c r="H290" s="5"/>
      <c r="I290" s="5"/>
      <c r="J290" s="5"/>
      <c r="M290" s="106" t="s">
        <v>79</v>
      </c>
      <c r="N290" s="10">
        <v>531</v>
      </c>
      <c r="O290" s="10">
        <v>3</v>
      </c>
      <c r="P290" s="10">
        <v>1</v>
      </c>
    </row>
    <row r="291" spans="5:16" x14ac:dyDescent="0.25">
      <c r="E291" s="48">
        <v>556</v>
      </c>
      <c r="F291" s="10">
        <v>3</v>
      </c>
      <c r="G291" s="10">
        <v>1</v>
      </c>
    </row>
    <row r="292" spans="5:16" x14ac:dyDescent="0.25">
      <c r="E292" s="48">
        <v>557</v>
      </c>
      <c r="F292" s="10">
        <v>3</v>
      </c>
      <c r="G292" s="10">
        <v>1</v>
      </c>
    </row>
    <row r="293" spans="5:16" x14ac:dyDescent="0.25">
      <c r="E293" s="48">
        <v>558</v>
      </c>
      <c r="F293" s="10">
        <v>3</v>
      </c>
      <c r="G293" s="10">
        <v>1</v>
      </c>
    </row>
    <row r="294" spans="5:16" x14ac:dyDescent="0.25">
      <c r="E294" s="48">
        <v>559</v>
      </c>
      <c r="F294" s="10">
        <v>3</v>
      </c>
      <c r="G294" s="10">
        <v>1</v>
      </c>
    </row>
    <row r="295" spans="5:16" x14ac:dyDescent="0.25">
      <c r="E295" s="48">
        <v>560</v>
      </c>
      <c r="F295" s="10">
        <v>3</v>
      </c>
      <c r="G295" s="10">
        <v>1</v>
      </c>
    </row>
    <row r="296" spans="5:16" x14ac:dyDescent="0.25">
      <c r="E296" s="48">
        <v>561</v>
      </c>
      <c r="F296" s="10">
        <v>4</v>
      </c>
      <c r="G296" s="10">
        <v>1</v>
      </c>
    </row>
    <row r="297" spans="5:16" x14ac:dyDescent="0.25">
      <c r="E297" s="48">
        <v>562</v>
      </c>
      <c r="F297" s="10">
        <v>3</v>
      </c>
      <c r="G297" s="10">
        <v>1</v>
      </c>
    </row>
    <row r="298" spans="5:16" x14ac:dyDescent="0.25">
      <c r="E298" s="48">
        <v>563</v>
      </c>
      <c r="F298" s="10">
        <v>4</v>
      </c>
      <c r="G298" s="10">
        <v>1</v>
      </c>
    </row>
    <row r="299" spans="5:16" x14ac:dyDescent="0.25">
      <c r="E299" s="48">
        <v>564</v>
      </c>
      <c r="F299" s="10">
        <v>3</v>
      </c>
      <c r="G299" s="10">
        <v>1</v>
      </c>
    </row>
    <row r="300" spans="5:16" x14ac:dyDescent="0.25">
      <c r="E300" s="48">
        <v>565</v>
      </c>
      <c r="F300" s="10">
        <v>4</v>
      </c>
      <c r="G300" s="10">
        <v>1</v>
      </c>
    </row>
    <row r="301" spans="5:16" x14ac:dyDescent="0.25">
      <c r="E301" s="48">
        <v>566</v>
      </c>
      <c r="F301" s="10">
        <v>3</v>
      </c>
      <c r="G301" s="10">
        <v>1</v>
      </c>
    </row>
    <row r="302" spans="5:16" x14ac:dyDescent="0.25">
      <c r="E302" s="48">
        <v>567</v>
      </c>
      <c r="F302" s="10">
        <v>4</v>
      </c>
      <c r="G302" s="10">
        <v>1</v>
      </c>
    </row>
    <row r="303" spans="5:16" x14ac:dyDescent="0.25">
      <c r="E303" s="48">
        <v>568</v>
      </c>
      <c r="F303" s="10">
        <v>3</v>
      </c>
      <c r="G303" s="10">
        <v>1</v>
      </c>
    </row>
    <row r="304" spans="5:16" x14ac:dyDescent="0.25">
      <c r="E304" s="48">
        <v>569</v>
      </c>
      <c r="F304" s="10">
        <v>3</v>
      </c>
      <c r="G304" s="10">
        <v>1</v>
      </c>
    </row>
    <row r="305" spans="5:7" x14ac:dyDescent="0.25">
      <c r="E305" s="48">
        <v>570</v>
      </c>
      <c r="F305" s="10">
        <v>3</v>
      </c>
      <c r="G305" s="10">
        <v>1</v>
      </c>
    </row>
    <row r="306" spans="5:7" x14ac:dyDescent="0.25">
      <c r="E306" s="48">
        <v>571</v>
      </c>
      <c r="F306" s="10">
        <v>3</v>
      </c>
      <c r="G306" s="10">
        <v>1</v>
      </c>
    </row>
    <row r="307" spans="5:7" x14ac:dyDescent="0.25">
      <c r="E307" s="48">
        <v>572</v>
      </c>
      <c r="F307" s="10">
        <v>3</v>
      </c>
      <c r="G307" s="10">
        <v>1</v>
      </c>
    </row>
    <row r="308" spans="5:7" x14ac:dyDescent="0.25">
      <c r="E308" s="48">
        <v>573</v>
      </c>
      <c r="F308" s="10">
        <v>3</v>
      </c>
      <c r="G308" s="10">
        <v>1</v>
      </c>
    </row>
    <row r="309" spans="5:7" x14ac:dyDescent="0.25">
      <c r="E309" s="48">
        <v>574</v>
      </c>
      <c r="F309" s="10">
        <v>3</v>
      </c>
      <c r="G309" s="10">
        <v>1</v>
      </c>
    </row>
    <row r="310" spans="5:7" x14ac:dyDescent="0.25">
      <c r="E310" s="48">
        <v>575</v>
      </c>
      <c r="F310" s="10">
        <v>3</v>
      </c>
      <c r="G310" s="10">
        <v>1</v>
      </c>
    </row>
    <row r="311" spans="5:7" x14ac:dyDescent="0.25">
      <c r="E311" s="48">
        <v>576</v>
      </c>
      <c r="F311" s="10">
        <v>3</v>
      </c>
      <c r="G311" s="10">
        <v>1</v>
      </c>
    </row>
    <row r="312" spans="5:7" x14ac:dyDescent="0.25">
      <c r="E312" s="48">
        <v>577</v>
      </c>
      <c r="F312" s="10">
        <v>3</v>
      </c>
      <c r="G312" s="10">
        <v>1</v>
      </c>
    </row>
    <row r="313" spans="5:7" x14ac:dyDescent="0.25">
      <c r="E313" s="48">
        <v>578</v>
      </c>
      <c r="F313" s="10">
        <v>4</v>
      </c>
      <c r="G313" s="10">
        <v>1</v>
      </c>
    </row>
    <row r="314" spans="5:7" x14ac:dyDescent="0.25">
      <c r="E314" s="48">
        <v>579</v>
      </c>
      <c r="F314" s="10">
        <v>3</v>
      </c>
      <c r="G314" s="10">
        <v>0</v>
      </c>
    </row>
    <row r="315" spans="5:7" x14ac:dyDescent="0.25">
      <c r="E315" s="48">
        <v>580</v>
      </c>
      <c r="F315" s="10">
        <v>3</v>
      </c>
      <c r="G315" s="10">
        <v>0</v>
      </c>
    </row>
    <row r="316" spans="5:7" x14ac:dyDescent="0.25">
      <c r="E316" s="48">
        <v>581</v>
      </c>
      <c r="F316" s="10">
        <v>3</v>
      </c>
      <c r="G316" s="10">
        <v>0</v>
      </c>
    </row>
    <row r="317" spans="5:7" x14ac:dyDescent="0.25">
      <c r="E317" s="48">
        <v>582</v>
      </c>
      <c r="F317" s="10">
        <v>3</v>
      </c>
      <c r="G317" s="10">
        <v>0</v>
      </c>
    </row>
    <row r="318" spans="5:7" x14ac:dyDescent="0.25">
      <c r="E318" s="48">
        <v>583</v>
      </c>
      <c r="F318" s="10">
        <v>3</v>
      </c>
      <c r="G318" s="10">
        <v>0</v>
      </c>
    </row>
    <row r="319" spans="5:7" x14ac:dyDescent="0.25">
      <c r="E319" s="48">
        <v>584</v>
      </c>
      <c r="F319" s="10">
        <v>3</v>
      </c>
      <c r="G319" s="10">
        <v>0</v>
      </c>
    </row>
    <row r="320" spans="5:7" x14ac:dyDescent="0.25">
      <c r="E320" s="48">
        <v>585</v>
      </c>
      <c r="F320" s="10">
        <v>2</v>
      </c>
      <c r="G320" s="10">
        <v>0</v>
      </c>
    </row>
    <row r="321" spans="5:7" x14ac:dyDescent="0.25">
      <c r="E321" s="48">
        <v>586</v>
      </c>
      <c r="F321" s="10">
        <v>2</v>
      </c>
      <c r="G321" s="10">
        <v>0</v>
      </c>
    </row>
    <row r="322" spans="5:7" x14ac:dyDescent="0.25">
      <c r="E322" s="48">
        <v>587</v>
      </c>
      <c r="F322" s="10">
        <v>3</v>
      </c>
      <c r="G322" s="10">
        <v>0</v>
      </c>
    </row>
    <row r="323" spans="5:7" x14ac:dyDescent="0.25">
      <c r="E323" s="48">
        <v>588</v>
      </c>
      <c r="F323" s="10">
        <v>3</v>
      </c>
      <c r="G323" s="10">
        <v>0</v>
      </c>
    </row>
    <row r="324" spans="5:7" x14ac:dyDescent="0.25">
      <c r="E324" s="48">
        <v>589</v>
      </c>
      <c r="F324" s="10">
        <v>3</v>
      </c>
      <c r="G324" s="10">
        <v>0</v>
      </c>
    </row>
    <row r="325" spans="5:7" x14ac:dyDescent="0.25">
      <c r="E325" s="48">
        <v>590</v>
      </c>
      <c r="F325" s="10">
        <v>3</v>
      </c>
      <c r="G325" s="10">
        <v>0</v>
      </c>
    </row>
    <row r="326" spans="5:7" x14ac:dyDescent="0.25">
      <c r="E326" s="48">
        <v>591</v>
      </c>
      <c r="F326" s="10">
        <v>3</v>
      </c>
      <c r="G326" s="10">
        <v>0</v>
      </c>
    </row>
    <row r="327" spans="5:7" x14ac:dyDescent="0.25">
      <c r="E327" s="48">
        <v>592</v>
      </c>
      <c r="F327" s="10">
        <v>3</v>
      </c>
      <c r="G327" s="10">
        <v>0</v>
      </c>
    </row>
    <row r="328" spans="5:7" x14ac:dyDescent="0.25">
      <c r="E328" s="48">
        <v>593</v>
      </c>
      <c r="F328" s="10">
        <v>3</v>
      </c>
      <c r="G328" s="10">
        <v>0</v>
      </c>
    </row>
    <row r="329" spans="5:7" x14ac:dyDescent="0.25">
      <c r="E329" s="48">
        <v>594</v>
      </c>
      <c r="F329" s="10">
        <v>3</v>
      </c>
      <c r="G329" s="10">
        <v>1</v>
      </c>
    </row>
    <row r="330" spans="5:7" x14ac:dyDescent="0.25">
      <c r="E330" s="48">
        <v>595</v>
      </c>
      <c r="F330" s="10">
        <v>3</v>
      </c>
      <c r="G330" s="10">
        <v>1</v>
      </c>
    </row>
    <row r="331" spans="5:7" x14ac:dyDescent="0.25">
      <c r="E331" s="48">
        <v>596</v>
      </c>
      <c r="F331" s="10">
        <v>3</v>
      </c>
      <c r="G331" s="10">
        <v>1</v>
      </c>
    </row>
    <row r="332" spans="5:7" x14ac:dyDescent="0.25">
      <c r="E332" s="48">
        <v>597</v>
      </c>
      <c r="F332" s="10">
        <v>3</v>
      </c>
      <c r="G332" s="10">
        <v>1</v>
      </c>
    </row>
    <row r="333" spans="5:7" x14ac:dyDescent="0.25">
      <c r="E333" s="48">
        <v>598</v>
      </c>
      <c r="F333" s="10">
        <v>3</v>
      </c>
      <c r="G333" s="10">
        <v>1</v>
      </c>
    </row>
    <row r="334" spans="5:7" x14ac:dyDescent="0.25">
      <c r="E334" s="48">
        <v>599</v>
      </c>
      <c r="F334" s="10">
        <v>3</v>
      </c>
      <c r="G334" s="10">
        <v>1</v>
      </c>
    </row>
    <row r="335" spans="5:7" x14ac:dyDescent="0.25">
      <c r="E335" s="48">
        <v>600</v>
      </c>
      <c r="F335" s="10">
        <v>3</v>
      </c>
      <c r="G335" s="10">
        <v>1</v>
      </c>
    </row>
    <row r="336" spans="5:7" x14ac:dyDescent="0.25">
      <c r="E336" s="48">
        <v>601</v>
      </c>
      <c r="F336" s="10">
        <v>3</v>
      </c>
      <c r="G336" s="10">
        <v>0</v>
      </c>
    </row>
    <row r="337" spans="5:7" x14ac:dyDescent="0.25">
      <c r="E337" s="48">
        <v>602</v>
      </c>
      <c r="F337" s="10">
        <v>3</v>
      </c>
      <c r="G337" s="10">
        <v>1</v>
      </c>
    </row>
    <row r="338" spans="5:7" x14ac:dyDescent="0.25">
      <c r="E338" s="48">
        <v>603</v>
      </c>
      <c r="F338" s="10">
        <v>3</v>
      </c>
      <c r="G338" s="10">
        <v>1</v>
      </c>
    </row>
    <row r="339" spans="5:7" x14ac:dyDescent="0.25">
      <c r="E339" s="48">
        <v>604</v>
      </c>
      <c r="F339" s="10">
        <v>3</v>
      </c>
      <c r="G339" s="10">
        <v>1</v>
      </c>
    </row>
    <row r="340" spans="5:7" x14ac:dyDescent="0.25">
      <c r="E340" s="48">
        <v>605</v>
      </c>
      <c r="F340" s="10">
        <v>3</v>
      </c>
      <c r="G340" s="10">
        <v>1</v>
      </c>
    </row>
    <row r="341" spans="5:7" x14ac:dyDescent="0.25">
      <c r="E341" s="48">
        <v>606</v>
      </c>
      <c r="F341" s="10">
        <v>3</v>
      </c>
      <c r="G341" s="10">
        <v>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locked="0" defaultSize="0" print="0" autoFill="0" autoPict="0" macro="[0]!Step3">
                <anchor moveWithCells="1" sizeWithCells="1">
                  <from>
                    <xdr:col>1</xdr:col>
                    <xdr:colOff>0</xdr:colOff>
                    <xdr:row>2</xdr:row>
                    <xdr:rowOff>0</xdr:rowOff>
                  </from>
                  <to>
                    <xdr:col>2</xdr:col>
                    <xdr:colOff>638175</xdr:colOff>
                    <xdr:row>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P341"/>
  <sheetViews>
    <sheetView zoomScaleNormal="100" workbookViewId="0">
      <selection activeCell="B17" sqref="B17"/>
    </sheetView>
  </sheetViews>
  <sheetFormatPr defaultRowHeight="15" x14ac:dyDescent="0.25"/>
  <cols>
    <col min="1" max="1" width="4.140625" style="95" customWidth="1"/>
    <col min="2" max="2" width="10.7109375" style="95" customWidth="1"/>
    <col min="3" max="3" width="21.7109375" style="95" customWidth="1"/>
    <col min="4" max="4" width="8.7109375" style="95" customWidth="1"/>
    <col min="5" max="8" width="10.7109375" style="95" customWidth="1"/>
    <col min="9" max="10" width="24" style="95" customWidth="1"/>
    <col min="11" max="11" width="10.5703125" style="95" customWidth="1"/>
    <col min="12" max="12" width="41" style="95" customWidth="1"/>
    <col min="13" max="16384" width="9.140625" style="95"/>
  </cols>
  <sheetData>
    <row r="1" spans="2:16" ht="18.75" x14ac:dyDescent="0.3">
      <c r="B1" s="13" t="s">
        <v>21</v>
      </c>
      <c r="C1" s="13"/>
      <c r="D1" s="13"/>
      <c r="E1" s="13"/>
      <c r="H1" s="13"/>
      <c r="I1" s="12" t="s">
        <v>20</v>
      </c>
    </row>
    <row r="2" spans="2:16" x14ac:dyDescent="0.25">
      <c r="E2" s="6"/>
      <c r="F2" s="6"/>
      <c r="G2" s="6"/>
      <c r="H2" s="6"/>
      <c r="I2" s="6"/>
      <c r="J2" s="6"/>
      <c r="K2" s="6"/>
    </row>
    <row r="3" spans="2:16" x14ac:dyDescent="0.25">
      <c r="E3" s="6"/>
      <c r="F3" s="6"/>
      <c r="G3" s="6"/>
      <c r="M3" s="95" t="s">
        <v>279</v>
      </c>
    </row>
    <row r="4" spans="2:16" x14ac:dyDescent="0.25">
      <c r="D4" s="95" t="s">
        <v>19</v>
      </c>
      <c r="E4" s="95" t="s">
        <v>18</v>
      </c>
      <c r="F4" s="95" t="s">
        <v>38</v>
      </c>
      <c r="G4" s="95" t="s">
        <v>39</v>
      </c>
      <c r="H4" s="95" t="s">
        <v>17</v>
      </c>
      <c r="I4" s="95" t="s">
        <v>16</v>
      </c>
      <c r="J4" s="95" t="s">
        <v>15</v>
      </c>
      <c r="M4" s="95" t="s">
        <v>275</v>
      </c>
      <c r="N4" s="95" t="s">
        <v>18</v>
      </c>
      <c r="O4" s="95" t="s">
        <v>38</v>
      </c>
      <c r="P4" s="95" t="s">
        <v>39</v>
      </c>
    </row>
    <row r="5" spans="2:16" x14ac:dyDescent="0.25">
      <c r="B5" s="2" t="s">
        <v>277</v>
      </c>
      <c r="C5" s="95" t="s">
        <v>14</v>
      </c>
      <c r="D5" s="95">
        <v>1</v>
      </c>
      <c r="E5" s="10">
        <v>2</v>
      </c>
      <c r="F5" s="10">
        <v>5</v>
      </c>
      <c r="G5" s="10">
        <v>1</v>
      </c>
      <c r="H5" s="5" t="str">
        <f t="shared" ref="H5:H68" si="0">"det_"&amp;E5&amp;""</f>
        <v>det_2</v>
      </c>
      <c r="I5" s="5" t="str">
        <f t="shared" ref="I5:I68" si="1">$B$5&amp;"\"&amp;H5&amp;".txt"</f>
        <v>W:\Performance Measurement\1. Freeway\1. raw data\2013\data files\det_2.txt</v>
      </c>
      <c r="J5" s="5" t="str">
        <f t="shared" ref="J5:J68" si="2">$B$5&amp;"\"&amp;H5&amp;".xlsx"</f>
        <v>W:\Performance Measurement\1. Freeway\1. raw data\2013\data files\det_2.xlsx</v>
      </c>
      <c r="K5" s="5"/>
      <c r="M5" s="107" t="s">
        <v>58</v>
      </c>
      <c r="N5" s="10">
        <v>2</v>
      </c>
      <c r="O5" s="10">
        <v>5</v>
      </c>
      <c r="P5" s="10">
        <v>1</v>
      </c>
    </row>
    <row r="6" spans="2:16" x14ac:dyDescent="0.25">
      <c r="B6" s="2" t="s">
        <v>47</v>
      </c>
      <c r="C6" s="95" t="s">
        <v>13</v>
      </c>
      <c r="D6" s="95">
        <v>2</v>
      </c>
      <c r="E6" s="10">
        <v>8</v>
      </c>
      <c r="F6" s="10">
        <v>4</v>
      </c>
      <c r="G6" s="10">
        <v>1</v>
      </c>
      <c r="H6" s="5" t="str">
        <f t="shared" si="0"/>
        <v>det_8</v>
      </c>
      <c r="I6" s="5" t="str">
        <f t="shared" si="1"/>
        <v>W:\Performance Measurement\1. Freeway\1. raw data\2013\data files\det_8.txt</v>
      </c>
      <c r="J6" s="5" t="str">
        <f t="shared" si="2"/>
        <v>W:\Performance Measurement\1. Freeway\1. raw data\2013\data files\det_8.xlsx</v>
      </c>
      <c r="K6" s="5"/>
      <c r="M6" s="107" t="s">
        <v>58</v>
      </c>
      <c r="N6" s="10">
        <v>8</v>
      </c>
      <c r="O6" s="10">
        <v>4</v>
      </c>
      <c r="P6" s="10">
        <v>1</v>
      </c>
    </row>
    <row r="7" spans="2:16" x14ac:dyDescent="0.25">
      <c r="B7" s="2" t="s">
        <v>278</v>
      </c>
      <c r="C7" s="95" t="s">
        <v>11</v>
      </c>
      <c r="D7" s="95">
        <v>3</v>
      </c>
      <c r="E7" s="10">
        <v>14</v>
      </c>
      <c r="F7" s="10">
        <v>4</v>
      </c>
      <c r="G7" s="10">
        <v>1</v>
      </c>
      <c r="H7" s="5" t="str">
        <f t="shared" si="0"/>
        <v>det_14</v>
      </c>
      <c r="I7" s="5" t="str">
        <f t="shared" si="1"/>
        <v>W:\Performance Measurement\1. Freeway\1. raw data\2013\data files\det_14.txt</v>
      </c>
      <c r="J7" s="5" t="str">
        <f t="shared" si="2"/>
        <v>W:\Performance Measurement\1. Freeway\1. raw data\2013\data files\det_14.xlsx</v>
      </c>
      <c r="K7" s="5"/>
      <c r="M7" s="107" t="s">
        <v>58</v>
      </c>
      <c r="N7" s="10">
        <v>14</v>
      </c>
      <c r="O7" s="10">
        <v>4</v>
      </c>
      <c r="P7" s="10">
        <v>1</v>
      </c>
    </row>
    <row r="8" spans="2:16" x14ac:dyDescent="0.25">
      <c r="B8" s="2" t="s">
        <v>260</v>
      </c>
      <c r="C8" s="1" t="s">
        <v>10</v>
      </c>
      <c r="D8" s="95">
        <v>4</v>
      </c>
      <c r="E8" s="10">
        <v>20</v>
      </c>
      <c r="F8" s="10">
        <v>4</v>
      </c>
      <c r="G8" s="10">
        <v>1</v>
      </c>
      <c r="H8" s="5" t="str">
        <f t="shared" si="0"/>
        <v>det_20</v>
      </c>
      <c r="I8" s="5" t="str">
        <f t="shared" si="1"/>
        <v>W:\Performance Measurement\1. Freeway\1. raw data\2013\data files\det_20.txt</v>
      </c>
      <c r="J8" s="5" t="str">
        <f t="shared" si="2"/>
        <v>W:\Performance Measurement\1. Freeway\1. raw data\2013\data files\det_20.xlsx</v>
      </c>
      <c r="K8" s="5"/>
      <c r="M8" s="107" t="s">
        <v>58</v>
      </c>
      <c r="N8" s="10">
        <v>20</v>
      </c>
      <c r="O8" s="10">
        <v>4</v>
      </c>
      <c r="P8" s="10">
        <v>1</v>
      </c>
    </row>
    <row r="9" spans="2:16" x14ac:dyDescent="0.25">
      <c r="D9" s="95">
        <v>5</v>
      </c>
      <c r="E9" s="10">
        <v>25</v>
      </c>
      <c r="F9" s="10">
        <v>4</v>
      </c>
      <c r="G9" s="10">
        <v>1</v>
      </c>
      <c r="H9" s="5" t="str">
        <f t="shared" si="0"/>
        <v>det_25</v>
      </c>
      <c r="I9" s="5" t="str">
        <f t="shared" si="1"/>
        <v>W:\Performance Measurement\1. Freeway\1. raw data\2013\data files\det_25.txt</v>
      </c>
      <c r="J9" s="5" t="str">
        <f t="shared" si="2"/>
        <v>W:\Performance Measurement\1. Freeway\1. raw data\2013\data files\det_25.xlsx</v>
      </c>
      <c r="K9" s="5"/>
      <c r="M9" s="107" t="s">
        <v>58</v>
      </c>
      <c r="N9" s="10">
        <v>25</v>
      </c>
      <c r="O9" s="10">
        <v>4</v>
      </c>
      <c r="P9" s="10">
        <v>1</v>
      </c>
    </row>
    <row r="10" spans="2:16" x14ac:dyDescent="0.25">
      <c r="B10" s="3">
        <v>2013</v>
      </c>
      <c r="C10" s="95" t="s">
        <v>9</v>
      </c>
      <c r="D10" s="95">
        <v>6</v>
      </c>
      <c r="E10" s="10">
        <v>30</v>
      </c>
      <c r="F10" s="10">
        <v>4</v>
      </c>
      <c r="G10" s="10">
        <v>1</v>
      </c>
      <c r="H10" s="5" t="str">
        <f t="shared" si="0"/>
        <v>det_30</v>
      </c>
      <c r="I10" s="5" t="str">
        <f t="shared" si="1"/>
        <v>W:\Performance Measurement\1. Freeway\1. raw data\2013\data files\det_30.txt</v>
      </c>
      <c r="J10" s="5" t="str">
        <f t="shared" si="2"/>
        <v>W:\Performance Measurement\1. Freeway\1. raw data\2013\data files\det_30.xlsx</v>
      </c>
      <c r="K10" s="5"/>
      <c r="M10" s="107" t="s">
        <v>58</v>
      </c>
      <c r="N10" s="10">
        <v>30</v>
      </c>
      <c r="O10" s="10">
        <v>4</v>
      </c>
      <c r="P10" s="10">
        <v>1</v>
      </c>
    </row>
    <row r="11" spans="2:16" x14ac:dyDescent="0.25">
      <c r="B11" s="3">
        <v>365</v>
      </c>
      <c r="C11" s="95" t="s">
        <v>0</v>
      </c>
      <c r="D11" s="95">
        <v>7</v>
      </c>
      <c r="E11" s="10">
        <v>68</v>
      </c>
      <c r="F11" s="10">
        <v>4</v>
      </c>
      <c r="G11" s="10">
        <v>1</v>
      </c>
      <c r="H11" s="5" t="str">
        <f t="shared" si="0"/>
        <v>det_68</v>
      </c>
      <c r="I11" s="5" t="str">
        <f t="shared" si="1"/>
        <v>W:\Performance Measurement\1. Freeway\1. raw data\2013\data files\det_68.txt</v>
      </c>
      <c r="J11" s="5" t="str">
        <f t="shared" si="2"/>
        <v>W:\Performance Measurement\1. Freeway\1. raw data\2013\data files\det_68.xlsx</v>
      </c>
      <c r="K11" s="5"/>
      <c r="M11" s="107" t="s">
        <v>58</v>
      </c>
      <c r="N11" s="10">
        <v>68</v>
      </c>
      <c r="O11" s="10">
        <v>4</v>
      </c>
      <c r="P11" s="10">
        <v>1</v>
      </c>
    </row>
    <row r="12" spans="2:16" x14ac:dyDescent="0.25">
      <c r="B12" s="3">
        <v>249</v>
      </c>
      <c r="C12" s="95" t="s">
        <v>1</v>
      </c>
      <c r="D12" s="95">
        <v>8</v>
      </c>
      <c r="E12" s="10">
        <v>133</v>
      </c>
      <c r="F12" s="10">
        <v>5</v>
      </c>
      <c r="G12" s="10">
        <v>1</v>
      </c>
      <c r="H12" s="5" t="str">
        <f t="shared" si="0"/>
        <v>det_133</v>
      </c>
      <c r="I12" s="5" t="str">
        <f t="shared" si="1"/>
        <v>W:\Performance Measurement\1. Freeway\1. raw data\2013\data files\det_133.txt</v>
      </c>
      <c r="J12" s="5" t="str">
        <f t="shared" si="2"/>
        <v>W:\Performance Measurement\1. Freeway\1. raw data\2013\data files\det_133.xlsx</v>
      </c>
      <c r="K12" s="5"/>
      <c r="M12" s="107" t="s">
        <v>58</v>
      </c>
      <c r="N12" s="10">
        <v>133</v>
      </c>
      <c r="O12" s="10">
        <v>5</v>
      </c>
      <c r="P12" s="10">
        <v>1</v>
      </c>
    </row>
    <row r="13" spans="2:16" x14ac:dyDescent="0.25">
      <c r="D13" s="95">
        <v>9</v>
      </c>
      <c r="E13" s="10">
        <v>73</v>
      </c>
      <c r="F13" s="10">
        <v>5</v>
      </c>
      <c r="G13" s="10">
        <v>1</v>
      </c>
      <c r="H13" s="5" t="str">
        <f t="shared" si="0"/>
        <v>det_73</v>
      </c>
      <c r="I13" s="5" t="str">
        <f t="shared" si="1"/>
        <v>W:\Performance Measurement\1. Freeway\1. raw data\2013\data files\det_73.txt</v>
      </c>
      <c r="J13" s="5" t="str">
        <f t="shared" si="2"/>
        <v>W:\Performance Measurement\1. Freeway\1. raw data\2013\data files\det_73.xlsx</v>
      </c>
      <c r="K13" s="5"/>
      <c r="M13" s="107" t="s">
        <v>58</v>
      </c>
      <c r="N13" s="10">
        <v>73</v>
      </c>
      <c r="O13" s="10">
        <v>5</v>
      </c>
      <c r="P13" s="10">
        <v>1</v>
      </c>
    </row>
    <row r="14" spans="2:16" x14ac:dyDescent="0.25">
      <c r="B14" s="3">
        <v>1</v>
      </c>
      <c r="C14" s="1" t="s">
        <v>8</v>
      </c>
      <c r="D14" s="95">
        <v>10</v>
      </c>
      <c r="E14" s="10">
        <v>35</v>
      </c>
      <c r="F14" s="10">
        <v>4</v>
      </c>
      <c r="G14" s="10">
        <v>1</v>
      </c>
      <c r="H14" s="5" t="str">
        <f t="shared" si="0"/>
        <v>det_35</v>
      </c>
      <c r="I14" s="5" t="str">
        <f t="shared" si="1"/>
        <v>W:\Performance Measurement\1. Freeway\1. raw data\2013\data files\det_35.txt</v>
      </c>
      <c r="J14" s="5" t="str">
        <f t="shared" si="2"/>
        <v>W:\Performance Measurement\1. Freeway\1. raw data\2013\data files\det_35.xlsx</v>
      </c>
      <c r="K14" s="5"/>
      <c r="M14" s="107" t="s">
        <v>58</v>
      </c>
      <c r="N14" s="10">
        <v>35</v>
      </c>
      <c r="O14" s="10">
        <v>4</v>
      </c>
      <c r="P14" s="10">
        <v>1</v>
      </c>
    </row>
    <row r="15" spans="2:16" x14ac:dyDescent="0.25">
      <c r="D15" s="95">
        <v>11</v>
      </c>
      <c r="E15" s="10">
        <v>29</v>
      </c>
      <c r="F15" s="10">
        <v>4</v>
      </c>
      <c r="G15" s="10">
        <v>1</v>
      </c>
      <c r="H15" s="5" t="str">
        <f t="shared" si="0"/>
        <v>det_29</v>
      </c>
      <c r="I15" s="5" t="str">
        <f t="shared" si="1"/>
        <v>W:\Performance Measurement\1. Freeway\1. raw data\2013\data files\det_29.txt</v>
      </c>
      <c r="J15" s="5" t="str">
        <f t="shared" si="2"/>
        <v>W:\Performance Measurement\1. Freeway\1. raw data\2013\data files\det_29.xlsx</v>
      </c>
      <c r="K15" s="5"/>
      <c r="M15" s="107" t="s">
        <v>58</v>
      </c>
      <c r="N15" s="10">
        <v>29</v>
      </c>
      <c r="O15" s="10">
        <v>4</v>
      </c>
      <c r="P15" s="10">
        <v>1</v>
      </c>
    </row>
    <row r="16" spans="2:16" x14ac:dyDescent="0.25">
      <c r="B16" s="3">
        <v>275</v>
      </c>
      <c r="C16" s="95" t="s">
        <v>7</v>
      </c>
      <c r="D16" s="95">
        <v>12</v>
      </c>
      <c r="E16" s="10">
        <v>24</v>
      </c>
      <c r="F16" s="10">
        <v>4</v>
      </c>
      <c r="G16" s="10">
        <v>1</v>
      </c>
      <c r="H16" s="5" t="str">
        <f t="shared" si="0"/>
        <v>det_24</v>
      </c>
      <c r="I16" s="5" t="str">
        <f t="shared" si="1"/>
        <v>W:\Performance Measurement\1. Freeway\1. raw data\2013\data files\det_24.txt</v>
      </c>
      <c r="J16" s="5" t="str">
        <f t="shared" si="2"/>
        <v>W:\Performance Measurement\1. Freeway\1. raw data\2013\data files\det_24.xlsx</v>
      </c>
      <c r="K16" s="5"/>
      <c r="M16" s="107" t="s">
        <v>58</v>
      </c>
      <c r="N16" s="10">
        <v>24</v>
      </c>
      <c r="O16" s="10">
        <v>4</v>
      </c>
      <c r="P16" s="10">
        <v>1</v>
      </c>
    </row>
    <row r="17" spans="1:16" x14ac:dyDescent="0.25">
      <c r="B17" s="3">
        <v>281</v>
      </c>
      <c r="C17" s="95" t="s">
        <v>6</v>
      </c>
      <c r="D17" s="95">
        <v>13</v>
      </c>
      <c r="E17" s="10">
        <v>17</v>
      </c>
      <c r="F17" s="10">
        <v>4</v>
      </c>
      <c r="G17" s="10">
        <v>1</v>
      </c>
      <c r="H17" s="5" t="str">
        <f t="shared" si="0"/>
        <v>det_17</v>
      </c>
      <c r="I17" s="5" t="str">
        <f t="shared" si="1"/>
        <v>W:\Performance Measurement\1. Freeway\1. raw data\2013\data files\det_17.txt</v>
      </c>
      <c r="J17" s="5" t="str">
        <f t="shared" si="2"/>
        <v>W:\Performance Measurement\1. Freeway\1. raw data\2013\data files\det_17.xlsx</v>
      </c>
      <c r="K17" s="5"/>
      <c r="M17" s="107" t="s">
        <v>58</v>
      </c>
      <c r="N17" s="10">
        <v>17</v>
      </c>
      <c r="O17" s="10">
        <v>4</v>
      </c>
      <c r="P17" s="10">
        <v>1</v>
      </c>
    </row>
    <row r="18" spans="1:16" x14ac:dyDescent="0.25">
      <c r="C18" s="1"/>
      <c r="D18" s="95">
        <v>14</v>
      </c>
      <c r="E18" s="10">
        <v>11</v>
      </c>
      <c r="F18" s="10">
        <v>4</v>
      </c>
      <c r="G18" s="10">
        <v>1</v>
      </c>
      <c r="H18" s="5" t="str">
        <f t="shared" si="0"/>
        <v>det_11</v>
      </c>
      <c r="I18" s="5" t="str">
        <f t="shared" si="1"/>
        <v>W:\Performance Measurement\1. Freeway\1. raw data\2013\data files\det_11.txt</v>
      </c>
      <c r="J18" s="5" t="str">
        <f t="shared" si="2"/>
        <v>W:\Performance Measurement\1. Freeway\1. raw data\2013\data files\det_11.xlsx</v>
      </c>
      <c r="K18" s="5"/>
      <c r="M18" s="107" t="s">
        <v>58</v>
      </c>
      <c r="N18" s="10">
        <v>11</v>
      </c>
      <c r="O18" s="10">
        <v>4</v>
      </c>
      <c r="P18" s="10">
        <v>1</v>
      </c>
    </row>
    <row r="19" spans="1:16" x14ac:dyDescent="0.25">
      <c r="B19" s="7" t="str">
        <f>"E1:X"&amp;B$11*36/B14+1</f>
        <v>E1:X13141</v>
      </c>
      <c r="C19" s="1" t="s">
        <v>5</v>
      </c>
      <c r="D19" s="95">
        <v>15</v>
      </c>
      <c r="E19" s="10">
        <v>4</v>
      </c>
      <c r="F19" s="10">
        <v>4</v>
      </c>
      <c r="G19" s="10">
        <v>1</v>
      </c>
      <c r="H19" s="5" t="str">
        <f t="shared" si="0"/>
        <v>det_4</v>
      </c>
      <c r="I19" s="5" t="str">
        <f t="shared" si="1"/>
        <v>W:\Performance Measurement\1. Freeway\1. raw data\2013\data files\det_4.txt</v>
      </c>
      <c r="J19" s="5" t="str">
        <f t="shared" si="2"/>
        <v>W:\Performance Measurement\1. Freeway\1. raw data\2013\data files\det_4.xlsx</v>
      </c>
      <c r="K19" s="5"/>
      <c r="M19" s="107" t="s">
        <v>58</v>
      </c>
      <c r="N19" s="10">
        <v>4</v>
      </c>
      <c r="O19" s="10">
        <v>4</v>
      </c>
      <c r="P19" s="10">
        <v>1</v>
      </c>
    </row>
    <row r="20" spans="1:16" x14ac:dyDescent="0.25">
      <c r="B20" s="7" t="str">
        <f>"E1:X"&amp;B$11*72/B14+1</f>
        <v>E1:X26281</v>
      </c>
      <c r="C20" s="1" t="s">
        <v>4</v>
      </c>
      <c r="D20" s="95">
        <v>16</v>
      </c>
      <c r="E20" s="10">
        <v>1</v>
      </c>
      <c r="F20" s="10">
        <v>4</v>
      </c>
      <c r="G20" s="10">
        <v>1</v>
      </c>
      <c r="H20" s="5" t="str">
        <f t="shared" si="0"/>
        <v>det_1</v>
      </c>
      <c r="I20" s="5" t="str">
        <f t="shared" si="1"/>
        <v>W:\Performance Measurement\1. Freeway\1. raw data\2013\data files\det_1.txt</v>
      </c>
      <c r="J20" s="5" t="str">
        <f t="shared" si="2"/>
        <v>W:\Performance Measurement\1. Freeway\1. raw data\2013\data files\det_1.xlsx</v>
      </c>
      <c r="K20" s="5"/>
      <c r="M20" s="107" t="s">
        <v>58</v>
      </c>
      <c r="N20" s="10">
        <v>1</v>
      </c>
      <c r="O20" s="10">
        <v>4</v>
      </c>
      <c r="P20" s="10">
        <v>1</v>
      </c>
    </row>
    <row r="21" spans="1:16" x14ac:dyDescent="0.25">
      <c r="B21" s="7" t="str">
        <f>"E1:X"&amp;B$11*48/B14+1</f>
        <v>E1:X17521</v>
      </c>
      <c r="C21" s="1" t="s">
        <v>3</v>
      </c>
      <c r="D21" s="95">
        <v>17</v>
      </c>
      <c r="E21" s="10">
        <v>75</v>
      </c>
      <c r="F21" s="10">
        <v>5</v>
      </c>
      <c r="G21" s="10">
        <v>1</v>
      </c>
      <c r="H21" s="5" t="str">
        <f t="shared" si="0"/>
        <v>det_75</v>
      </c>
      <c r="I21" s="5" t="str">
        <f t="shared" si="1"/>
        <v>W:\Performance Measurement\1. Freeway\1. raw data\2013\data files\det_75.txt</v>
      </c>
      <c r="J21" s="5" t="str">
        <f t="shared" si="2"/>
        <v>W:\Performance Measurement\1. Freeway\1. raw data\2013\data files\det_75.xlsx</v>
      </c>
      <c r="K21" s="5"/>
      <c r="M21" s="107" t="s">
        <v>59</v>
      </c>
      <c r="N21" s="10">
        <v>75</v>
      </c>
      <c r="O21" s="10">
        <v>5</v>
      </c>
      <c r="P21" s="10">
        <v>1</v>
      </c>
    </row>
    <row r="22" spans="1:16" x14ac:dyDescent="0.25">
      <c r="B22" s="7" t="str">
        <f>"E1:X"&amp;B$11*132/B14+1</f>
        <v>E1:X48181</v>
      </c>
      <c r="C22" s="1" t="s">
        <v>2</v>
      </c>
      <c r="D22" s="95">
        <v>18</v>
      </c>
      <c r="E22" s="10">
        <v>80</v>
      </c>
      <c r="F22" s="10">
        <v>4</v>
      </c>
      <c r="G22" s="10">
        <v>1</v>
      </c>
      <c r="H22" s="5" t="str">
        <f t="shared" si="0"/>
        <v>det_80</v>
      </c>
      <c r="I22" s="5" t="str">
        <f t="shared" si="1"/>
        <v>W:\Performance Measurement\1. Freeway\1. raw data\2013\data files\det_80.txt</v>
      </c>
      <c r="J22" s="5" t="str">
        <f t="shared" si="2"/>
        <v>W:\Performance Measurement\1. Freeway\1. raw data\2013\data files\det_80.xlsx</v>
      </c>
      <c r="K22" s="5"/>
      <c r="M22" s="107" t="s">
        <v>59</v>
      </c>
      <c r="N22" s="10">
        <v>80</v>
      </c>
      <c r="O22" s="10">
        <v>4</v>
      </c>
      <c r="P22" s="10">
        <v>1</v>
      </c>
    </row>
    <row r="23" spans="1:16" x14ac:dyDescent="0.25">
      <c r="D23" s="95">
        <v>19</v>
      </c>
      <c r="E23" s="10">
        <v>85</v>
      </c>
      <c r="F23" s="10">
        <v>4</v>
      </c>
      <c r="G23" s="10">
        <v>1</v>
      </c>
      <c r="H23" s="5" t="str">
        <f t="shared" si="0"/>
        <v>det_85</v>
      </c>
      <c r="I23" s="5" t="str">
        <f t="shared" si="1"/>
        <v>W:\Performance Measurement\1. Freeway\1. raw data\2013\data files\det_85.txt</v>
      </c>
      <c r="J23" s="5" t="str">
        <f t="shared" si="2"/>
        <v>W:\Performance Measurement\1. Freeway\1. raw data\2013\data files\det_85.xlsx</v>
      </c>
      <c r="K23" s="5"/>
      <c r="M23" s="107" t="s">
        <v>59</v>
      </c>
      <c r="N23" s="10">
        <v>85</v>
      </c>
      <c r="O23" s="10">
        <v>4</v>
      </c>
      <c r="P23" s="10">
        <v>1</v>
      </c>
    </row>
    <row r="24" spans="1:16" x14ac:dyDescent="0.25">
      <c r="B24" s="4" t="str">
        <f>B6&amp;"\"&amp;B7</f>
        <v>W:\Performance Measurement\1. Freeway\2. processed data_quality control\a. template files\blank2013.xlsx</v>
      </c>
      <c r="D24" s="95">
        <v>20</v>
      </c>
      <c r="E24" s="10">
        <v>87</v>
      </c>
      <c r="F24" s="10">
        <v>3</v>
      </c>
      <c r="G24" s="10">
        <v>1</v>
      </c>
      <c r="H24" s="5" t="str">
        <f t="shared" si="0"/>
        <v>det_87</v>
      </c>
      <c r="I24" s="5" t="str">
        <f t="shared" si="1"/>
        <v>W:\Performance Measurement\1. Freeway\1. raw data\2013\data files\det_87.txt</v>
      </c>
      <c r="J24" s="5" t="str">
        <f t="shared" si="2"/>
        <v>W:\Performance Measurement\1. Freeway\1. raw data\2013\data files\det_87.xlsx</v>
      </c>
      <c r="K24" s="5"/>
      <c r="M24" s="107" t="s">
        <v>59</v>
      </c>
      <c r="N24" s="10">
        <v>87</v>
      </c>
      <c r="O24" s="10">
        <v>3</v>
      </c>
      <c r="P24" s="10">
        <v>1</v>
      </c>
    </row>
    <row r="25" spans="1:16" x14ac:dyDescent="0.25">
      <c r="B25" s="4" t="str">
        <f>B6&amp;"\"&amp;B8</f>
        <v>W:\Performance Measurement\1. Freeway\2. processed data_quality control\a. template files\Template.xlsx</v>
      </c>
      <c r="C25" s="1"/>
      <c r="D25" s="95">
        <v>21</v>
      </c>
      <c r="E25" s="10">
        <v>139</v>
      </c>
      <c r="F25" s="10">
        <v>5</v>
      </c>
      <c r="G25" s="10">
        <v>1</v>
      </c>
      <c r="H25" s="5" t="str">
        <f t="shared" si="0"/>
        <v>det_139</v>
      </c>
      <c r="I25" s="5" t="str">
        <f t="shared" si="1"/>
        <v>W:\Performance Measurement\1. Freeway\1. raw data\2013\data files\det_139.txt</v>
      </c>
      <c r="J25" s="5" t="str">
        <f t="shared" si="2"/>
        <v>W:\Performance Measurement\1. Freeway\1. raw data\2013\data files\det_139.xlsx</v>
      </c>
      <c r="K25" s="5"/>
      <c r="M25" s="107" t="s">
        <v>59</v>
      </c>
      <c r="N25" s="10">
        <v>139</v>
      </c>
      <c r="O25" s="10">
        <v>5</v>
      </c>
      <c r="P25" s="10">
        <v>1</v>
      </c>
    </row>
    <row r="26" spans="1:16" x14ac:dyDescent="0.25">
      <c r="B26" s="4"/>
      <c r="D26" s="95">
        <v>22</v>
      </c>
      <c r="E26" s="10">
        <v>84</v>
      </c>
      <c r="F26" s="10">
        <v>4</v>
      </c>
      <c r="G26" s="10">
        <v>1</v>
      </c>
      <c r="H26" s="5" t="str">
        <f t="shared" si="0"/>
        <v>det_84</v>
      </c>
      <c r="I26" s="5" t="str">
        <f t="shared" si="1"/>
        <v>W:\Performance Measurement\1. Freeway\1. raw data\2013\data files\det_84.txt</v>
      </c>
      <c r="J26" s="5" t="str">
        <f t="shared" si="2"/>
        <v>W:\Performance Measurement\1. Freeway\1. raw data\2013\data files\det_84.xlsx</v>
      </c>
      <c r="K26" s="5"/>
      <c r="M26" s="107" t="s">
        <v>59</v>
      </c>
      <c r="N26" s="10">
        <v>84</v>
      </c>
      <c r="O26" s="10">
        <v>4</v>
      </c>
      <c r="P26" s="10">
        <v>1</v>
      </c>
    </row>
    <row r="27" spans="1:16" x14ac:dyDescent="0.25">
      <c r="D27" s="95">
        <v>23</v>
      </c>
      <c r="E27" s="10">
        <v>78</v>
      </c>
      <c r="F27" s="10">
        <v>4</v>
      </c>
      <c r="G27" s="10">
        <v>1</v>
      </c>
      <c r="H27" s="5" t="str">
        <f t="shared" si="0"/>
        <v>det_78</v>
      </c>
      <c r="I27" s="5" t="str">
        <f t="shared" si="1"/>
        <v>W:\Performance Measurement\1. Freeway\1. raw data\2013\data files\det_78.txt</v>
      </c>
      <c r="J27" s="5" t="str">
        <f t="shared" si="2"/>
        <v>W:\Performance Measurement\1. Freeway\1. raw data\2013\data files\det_78.xlsx</v>
      </c>
      <c r="K27" s="5"/>
      <c r="M27" s="107" t="s">
        <v>59</v>
      </c>
      <c r="N27" s="10">
        <v>78</v>
      </c>
      <c r="O27" s="10">
        <v>4</v>
      </c>
      <c r="P27" s="10">
        <v>1</v>
      </c>
    </row>
    <row r="28" spans="1:16" x14ac:dyDescent="0.25">
      <c r="D28" s="95">
        <v>24</v>
      </c>
      <c r="E28" s="10">
        <v>137</v>
      </c>
      <c r="F28" s="10">
        <v>3</v>
      </c>
      <c r="G28" s="10">
        <v>1</v>
      </c>
      <c r="H28" s="5" t="str">
        <f t="shared" si="0"/>
        <v>det_137</v>
      </c>
      <c r="I28" s="5" t="str">
        <f t="shared" si="1"/>
        <v>W:\Performance Measurement\1. Freeway\1. raw data\2013\data files\det_137.txt</v>
      </c>
      <c r="J28" s="5" t="str">
        <f t="shared" si="2"/>
        <v>W:\Performance Measurement\1. Freeway\1. raw data\2013\data files\det_137.xlsx</v>
      </c>
      <c r="K28" s="5"/>
      <c r="M28" s="107" t="s">
        <v>59</v>
      </c>
      <c r="N28" s="10">
        <v>137</v>
      </c>
      <c r="O28" s="10">
        <v>3</v>
      </c>
      <c r="P28" s="10">
        <v>1</v>
      </c>
    </row>
    <row r="29" spans="1:16" x14ac:dyDescent="0.25">
      <c r="A29" s="1"/>
      <c r="C29" s="1"/>
      <c r="D29" s="95">
        <v>25</v>
      </c>
      <c r="E29" s="10">
        <v>89</v>
      </c>
      <c r="F29" s="10">
        <v>4</v>
      </c>
      <c r="G29" s="10">
        <v>1</v>
      </c>
      <c r="H29" s="5" t="str">
        <f t="shared" si="0"/>
        <v>det_89</v>
      </c>
      <c r="I29" s="5" t="str">
        <f t="shared" si="1"/>
        <v>W:\Performance Measurement\1. Freeway\1. raw data\2013\data files\det_89.txt</v>
      </c>
      <c r="J29" s="5" t="str">
        <f t="shared" si="2"/>
        <v>W:\Performance Measurement\1. Freeway\1. raw data\2013\data files\det_89.xlsx</v>
      </c>
      <c r="K29" s="5"/>
      <c r="M29" s="107" t="s">
        <v>60</v>
      </c>
      <c r="N29" s="10">
        <v>89</v>
      </c>
      <c r="O29" s="10">
        <v>4</v>
      </c>
      <c r="P29" s="10">
        <v>1</v>
      </c>
    </row>
    <row r="30" spans="1:16" x14ac:dyDescent="0.25">
      <c r="A30" s="1"/>
      <c r="C30" s="1"/>
      <c r="D30" s="95">
        <v>26</v>
      </c>
      <c r="E30" s="10">
        <v>149</v>
      </c>
      <c r="F30" s="10">
        <v>3</v>
      </c>
      <c r="G30" s="10">
        <v>1</v>
      </c>
      <c r="H30" s="5" t="str">
        <f t="shared" si="0"/>
        <v>det_149</v>
      </c>
      <c r="I30" s="5" t="str">
        <f t="shared" si="1"/>
        <v>W:\Performance Measurement\1. Freeway\1. raw data\2013\data files\det_149.txt</v>
      </c>
      <c r="J30" s="5" t="str">
        <f t="shared" si="2"/>
        <v>W:\Performance Measurement\1. Freeway\1. raw data\2013\data files\det_149.xlsx</v>
      </c>
      <c r="K30" s="5"/>
      <c r="M30" s="107" t="s">
        <v>60</v>
      </c>
      <c r="N30" s="10">
        <v>149</v>
      </c>
      <c r="O30" s="10">
        <v>3</v>
      </c>
      <c r="P30" s="10">
        <v>1</v>
      </c>
    </row>
    <row r="31" spans="1:16" x14ac:dyDescent="0.25">
      <c r="A31" s="1"/>
      <c r="C31" s="1"/>
      <c r="D31" s="95">
        <v>27</v>
      </c>
      <c r="E31" s="10">
        <v>93</v>
      </c>
      <c r="F31" s="10">
        <v>3</v>
      </c>
      <c r="G31" s="10">
        <v>1</v>
      </c>
      <c r="H31" s="5" t="str">
        <f t="shared" si="0"/>
        <v>det_93</v>
      </c>
      <c r="I31" s="5" t="str">
        <f t="shared" si="1"/>
        <v>W:\Performance Measurement\1. Freeway\1. raw data\2013\data files\det_93.txt</v>
      </c>
      <c r="J31" s="5" t="str">
        <f t="shared" si="2"/>
        <v>W:\Performance Measurement\1. Freeway\1. raw data\2013\data files\det_93.xlsx</v>
      </c>
      <c r="K31" s="5"/>
      <c r="M31" s="107" t="s">
        <v>60</v>
      </c>
      <c r="N31" s="10">
        <v>93</v>
      </c>
      <c r="O31" s="10">
        <v>3</v>
      </c>
      <c r="P31" s="10">
        <v>1</v>
      </c>
    </row>
    <row r="32" spans="1:16" x14ac:dyDescent="0.25">
      <c r="A32" s="1"/>
      <c r="C32" s="1"/>
      <c r="D32" s="95">
        <v>28</v>
      </c>
      <c r="E32" s="10">
        <v>40</v>
      </c>
      <c r="F32" s="10">
        <v>5</v>
      </c>
      <c r="G32" s="10">
        <v>1</v>
      </c>
      <c r="H32" s="5" t="str">
        <f t="shared" si="0"/>
        <v>det_40</v>
      </c>
      <c r="I32" s="5" t="str">
        <f t="shared" si="1"/>
        <v>W:\Performance Measurement\1. Freeway\1. raw data\2013\data files\det_40.txt</v>
      </c>
      <c r="J32" s="5" t="str">
        <f t="shared" si="2"/>
        <v>W:\Performance Measurement\1. Freeway\1. raw data\2013\data files\det_40.xlsx</v>
      </c>
      <c r="K32" s="5"/>
      <c r="M32" s="107" t="s">
        <v>60</v>
      </c>
      <c r="N32" s="10">
        <v>40</v>
      </c>
      <c r="O32" s="10">
        <v>5</v>
      </c>
      <c r="P32" s="10">
        <v>1</v>
      </c>
    </row>
    <row r="33" spans="1:16" x14ac:dyDescent="0.25">
      <c r="A33" s="1"/>
      <c r="C33" s="1"/>
      <c r="D33" s="95">
        <v>29</v>
      </c>
      <c r="E33" s="10">
        <v>46</v>
      </c>
      <c r="F33" s="10">
        <v>5</v>
      </c>
      <c r="G33" s="10">
        <v>1</v>
      </c>
      <c r="H33" s="5" t="str">
        <f t="shared" si="0"/>
        <v>det_46</v>
      </c>
      <c r="I33" s="5" t="str">
        <f t="shared" si="1"/>
        <v>W:\Performance Measurement\1. Freeway\1. raw data\2013\data files\det_46.txt</v>
      </c>
      <c r="J33" s="5" t="str">
        <f t="shared" si="2"/>
        <v>W:\Performance Measurement\1. Freeway\1. raw data\2013\data files\det_46.xlsx</v>
      </c>
      <c r="K33" s="5"/>
      <c r="M33" s="107" t="s">
        <v>60</v>
      </c>
      <c r="N33" s="10">
        <v>46</v>
      </c>
      <c r="O33" s="10">
        <v>5</v>
      </c>
      <c r="P33" s="10">
        <v>1</v>
      </c>
    </row>
    <row r="34" spans="1:16" x14ac:dyDescent="0.25">
      <c r="A34" s="1"/>
      <c r="C34" s="1"/>
      <c r="D34" s="95">
        <v>30</v>
      </c>
      <c r="E34" s="10">
        <v>50</v>
      </c>
      <c r="F34" s="10">
        <v>4</v>
      </c>
      <c r="G34" s="10">
        <v>1</v>
      </c>
      <c r="H34" s="5" t="str">
        <f t="shared" si="0"/>
        <v>det_50</v>
      </c>
      <c r="I34" s="5" t="str">
        <f t="shared" si="1"/>
        <v>W:\Performance Measurement\1. Freeway\1. raw data\2013\data files\det_50.txt</v>
      </c>
      <c r="J34" s="5" t="str">
        <f t="shared" si="2"/>
        <v>W:\Performance Measurement\1. Freeway\1. raw data\2013\data files\det_50.xlsx</v>
      </c>
      <c r="K34" s="5"/>
      <c r="M34" s="107" t="s">
        <v>60</v>
      </c>
      <c r="N34" s="10">
        <v>50</v>
      </c>
      <c r="O34" s="10">
        <v>4</v>
      </c>
      <c r="P34" s="10">
        <v>1</v>
      </c>
    </row>
    <row r="35" spans="1:16" x14ac:dyDescent="0.25">
      <c r="A35" s="1"/>
      <c r="C35" s="1"/>
      <c r="D35" s="95">
        <v>31</v>
      </c>
      <c r="E35" s="10">
        <v>55</v>
      </c>
      <c r="F35" s="10">
        <v>5</v>
      </c>
      <c r="G35" s="10">
        <v>1</v>
      </c>
      <c r="H35" s="5" t="str">
        <f t="shared" si="0"/>
        <v>det_55</v>
      </c>
      <c r="I35" s="5" t="str">
        <f t="shared" si="1"/>
        <v>W:\Performance Measurement\1. Freeway\1. raw data\2013\data files\det_55.txt</v>
      </c>
      <c r="J35" s="5" t="str">
        <f t="shared" si="2"/>
        <v>W:\Performance Measurement\1. Freeway\1. raw data\2013\data files\det_55.xlsx</v>
      </c>
      <c r="K35" s="5"/>
      <c r="M35" s="107" t="s">
        <v>60</v>
      </c>
      <c r="N35" s="10">
        <v>55</v>
      </c>
      <c r="O35" s="10">
        <v>5</v>
      </c>
      <c r="P35" s="10">
        <v>1</v>
      </c>
    </row>
    <row r="36" spans="1:16" x14ac:dyDescent="0.25">
      <c r="A36" s="1"/>
      <c r="D36" s="95">
        <v>32</v>
      </c>
      <c r="E36" s="10">
        <v>59</v>
      </c>
      <c r="F36" s="10">
        <v>4</v>
      </c>
      <c r="G36" s="10">
        <v>1</v>
      </c>
      <c r="H36" s="5" t="str">
        <f t="shared" si="0"/>
        <v>det_59</v>
      </c>
      <c r="I36" s="5" t="str">
        <f t="shared" si="1"/>
        <v>W:\Performance Measurement\1. Freeway\1. raw data\2013\data files\det_59.txt</v>
      </c>
      <c r="J36" s="5" t="str">
        <f t="shared" si="2"/>
        <v>W:\Performance Measurement\1. Freeway\1. raw data\2013\data files\det_59.xlsx</v>
      </c>
      <c r="K36" s="5"/>
      <c r="M36" s="107" t="s">
        <v>60</v>
      </c>
      <c r="N36" s="10">
        <v>59</v>
      </c>
      <c r="O36" s="10">
        <v>4</v>
      </c>
      <c r="P36" s="10">
        <v>1</v>
      </c>
    </row>
    <row r="37" spans="1:16" x14ac:dyDescent="0.25">
      <c r="D37" s="95">
        <v>33</v>
      </c>
      <c r="E37" s="10">
        <v>64</v>
      </c>
      <c r="F37" s="10">
        <v>5</v>
      </c>
      <c r="G37" s="10">
        <v>1</v>
      </c>
      <c r="H37" s="5" t="str">
        <f t="shared" si="0"/>
        <v>det_64</v>
      </c>
      <c r="I37" s="5" t="str">
        <f t="shared" si="1"/>
        <v>W:\Performance Measurement\1. Freeway\1. raw data\2013\data files\det_64.txt</v>
      </c>
      <c r="J37" s="5" t="str">
        <f t="shared" si="2"/>
        <v>W:\Performance Measurement\1. Freeway\1. raw data\2013\data files\det_64.xlsx</v>
      </c>
      <c r="K37" s="5"/>
      <c r="M37" s="107" t="s">
        <v>60</v>
      </c>
      <c r="N37" s="10">
        <v>64</v>
      </c>
      <c r="O37" s="10">
        <v>5</v>
      </c>
      <c r="P37" s="10">
        <v>1</v>
      </c>
    </row>
    <row r="38" spans="1:16" x14ac:dyDescent="0.25">
      <c r="D38" s="95">
        <v>34</v>
      </c>
      <c r="E38" s="10">
        <v>393</v>
      </c>
      <c r="F38" s="10">
        <v>3</v>
      </c>
      <c r="G38" s="10">
        <v>1</v>
      </c>
      <c r="H38" s="5" t="str">
        <f t="shared" si="0"/>
        <v>det_393</v>
      </c>
      <c r="I38" s="5" t="str">
        <f t="shared" si="1"/>
        <v>W:\Performance Measurement\1. Freeway\1. raw data\2013\data files\det_393.txt</v>
      </c>
      <c r="J38" s="5" t="str">
        <f t="shared" si="2"/>
        <v>W:\Performance Measurement\1. Freeway\1. raw data\2013\data files\det_393.xlsx</v>
      </c>
      <c r="K38" s="5"/>
      <c r="M38" s="107" t="s">
        <v>60</v>
      </c>
      <c r="N38" s="10">
        <v>393</v>
      </c>
      <c r="O38" s="10">
        <v>3</v>
      </c>
      <c r="P38" s="10">
        <v>1</v>
      </c>
    </row>
    <row r="39" spans="1:16" x14ac:dyDescent="0.25">
      <c r="D39" s="95">
        <v>35</v>
      </c>
      <c r="E39" s="10">
        <v>425</v>
      </c>
      <c r="F39" s="10">
        <v>3</v>
      </c>
      <c r="G39" s="10">
        <v>1</v>
      </c>
      <c r="H39" s="5" t="str">
        <f t="shared" si="0"/>
        <v>det_425</v>
      </c>
      <c r="I39" s="5" t="str">
        <f t="shared" si="1"/>
        <v>W:\Performance Measurement\1. Freeway\1. raw data\2013\data files\det_425.txt</v>
      </c>
      <c r="J39" s="5" t="str">
        <f t="shared" si="2"/>
        <v>W:\Performance Measurement\1. Freeway\1. raw data\2013\data files\det_425.xlsx</v>
      </c>
      <c r="K39" s="5"/>
      <c r="M39" s="107" t="s">
        <v>60</v>
      </c>
      <c r="N39" s="10">
        <v>425</v>
      </c>
      <c r="O39" s="10">
        <v>3</v>
      </c>
      <c r="P39" s="10">
        <v>1</v>
      </c>
    </row>
    <row r="40" spans="1:16" x14ac:dyDescent="0.25">
      <c r="D40" s="95">
        <v>36</v>
      </c>
      <c r="E40" s="10">
        <v>66</v>
      </c>
      <c r="F40" s="10">
        <v>6</v>
      </c>
      <c r="G40" s="10">
        <v>1</v>
      </c>
      <c r="H40" s="5" t="str">
        <f t="shared" si="0"/>
        <v>det_66</v>
      </c>
      <c r="I40" s="5" t="str">
        <f t="shared" si="1"/>
        <v>W:\Performance Measurement\1. Freeway\1. raw data\2013\data files\det_66.txt</v>
      </c>
      <c r="J40" s="5" t="str">
        <f t="shared" si="2"/>
        <v>W:\Performance Measurement\1. Freeway\1. raw data\2013\data files\det_66.xlsx</v>
      </c>
      <c r="K40" s="5"/>
      <c r="M40" s="107" t="s">
        <v>60</v>
      </c>
      <c r="N40" s="10">
        <v>66</v>
      </c>
      <c r="O40" s="10">
        <v>6</v>
      </c>
      <c r="P40" s="10">
        <v>1</v>
      </c>
    </row>
    <row r="41" spans="1:16" x14ac:dyDescent="0.25">
      <c r="D41" s="95">
        <v>37</v>
      </c>
      <c r="E41" s="10">
        <v>63</v>
      </c>
      <c r="F41" s="10">
        <v>4</v>
      </c>
      <c r="G41" s="10">
        <v>1</v>
      </c>
      <c r="H41" s="5" t="str">
        <f t="shared" si="0"/>
        <v>det_63</v>
      </c>
      <c r="I41" s="5" t="str">
        <f t="shared" si="1"/>
        <v>W:\Performance Measurement\1. Freeway\1. raw data\2013\data files\det_63.txt</v>
      </c>
      <c r="J41" s="5" t="str">
        <f t="shared" si="2"/>
        <v>W:\Performance Measurement\1. Freeway\1. raw data\2013\data files\det_63.xlsx</v>
      </c>
      <c r="K41" s="5"/>
      <c r="M41" s="107" t="s">
        <v>60</v>
      </c>
      <c r="N41" s="10">
        <v>63</v>
      </c>
      <c r="O41" s="10">
        <v>4</v>
      </c>
      <c r="P41" s="10">
        <v>1</v>
      </c>
    </row>
    <row r="42" spans="1:16" x14ac:dyDescent="0.25">
      <c r="D42" s="95">
        <v>38</v>
      </c>
      <c r="E42" s="10">
        <v>60</v>
      </c>
      <c r="F42" s="10">
        <v>5</v>
      </c>
      <c r="G42" s="10">
        <v>1</v>
      </c>
      <c r="H42" s="5" t="str">
        <f t="shared" si="0"/>
        <v>det_60</v>
      </c>
      <c r="I42" s="5" t="str">
        <f t="shared" si="1"/>
        <v>W:\Performance Measurement\1. Freeway\1. raw data\2013\data files\det_60.txt</v>
      </c>
      <c r="J42" s="5" t="str">
        <f t="shared" si="2"/>
        <v>W:\Performance Measurement\1. Freeway\1. raw data\2013\data files\det_60.xlsx</v>
      </c>
      <c r="K42" s="5"/>
      <c r="M42" s="107" t="s">
        <v>60</v>
      </c>
      <c r="N42" s="10">
        <v>60</v>
      </c>
      <c r="O42" s="10">
        <v>5</v>
      </c>
      <c r="P42" s="10">
        <v>1</v>
      </c>
    </row>
    <row r="43" spans="1:16" x14ac:dyDescent="0.25">
      <c r="D43" s="95">
        <v>39</v>
      </c>
      <c r="E43" s="10">
        <v>53</v>
      </c>
      <c r="F43" s="10">
        <v>4</v>
      </c>
      <c r="G43" s="10">
        <v>1</v>
      </c>
      <c r="H43" s="5" t="str">
        <f t="shared" si="0"/>
        <v>det_53</v>
      </c>
      <c r="I43" s="5" t="str">
        <f t="shared" si="1"/>
        <v>W:\Performance Measurement\1. Freeway\1. raw data\2013\data files\det_53.txt</v>
      </c>
      <c r="J43" s="5" t="str">
        <f t="shared" si="2"/>
        <v>W:\Performance Measurement\1. Freeway\1. raw data\2013\data files\det_53.xlsx</v>
      </c>
      <c r="K43" s="5"/>
      <c r="M43" s="107" t="s">
        <v>60</v>
      </c>
      <c r="N43" s="10">
        <v>53</v>
      </c>
      <c r="O43" s="10">
        <v>4</v>
      </c>
      <c r="P43" s="10">
        <v>1</v>
      </c>
    </row>
    <row r="44" spans="1:16" x14ac:dyDescent="0.25">
      <c r="D44" s="95">
        <v>40</v>
      </c>
      <c r="E44" s="10">
        <v>47</v>
      </c>
      <c r="F44" s="10">
        <v>5</v>
      </c>
      <c r="G44" s="10">
        <v>1</v>
      </c>
      <c r="H44" s="5" t="str">
        <f t="shared" si="0"/>
        <v>det_47</v>
      </c>
      <c r="I44" s="5" t="str">
        <f t="shared" si="1"/>
        <v>W:\Performance Measurement\1. Freeway\1. raw data\2013\data files\det_47.txt</v>
      </c>
      <c r="J44" s="5" t="str">
        <f t="shared" si="2"/>
        <v>W:\Performance Measurement\1. Freeway\1. raw data\2013\data files\det_47.xlsx</v>
      </c>
      <c r="K44" s="5"/>
      <c r="M44" s="107" t="s">
        <v>60</v>
      </c>
      <c r="N44" s="10">
        <v>47</v>
      </c>
      <c r="O44" s="10">
        <v>5</v>
      </c>
      <c r="P44" s="10">
        <v>1</v>
      </c>
    </row>
    <row r="45" spans="1:16" x14ac:dyDescent="0.25">
      <c r="D45" s="95">
        <v>41</v>
      </c>
      <c r="E45" s="10">
        <v>41</v>
      </c>
      <c r="F45" s="10">
        <v>6</v>
      </c>
      <c r="G45" s="10">
        <v>1</v>
      </c>
      <c r="H45" s="5" t="str">
        <f t="shared" si="0"/>
        <v>det_41</v>
      </c>
      <c r="I45" s="5" t="str">
        <f t="shared" si="1"/>
        <v>W:\Performance Measurement\1. Freeway\1. raw data\2013\data files\det_41.txt</v>
      </c>
      <c r="J45" s="5" t="str">
        <f t="shared" si="2"/>
        <v>W:\Performance Measurement\1. Freeway\1. raw data\2013\data files\det_41.xlsx</v>
      </c>
      <c r="K45" s="5"/>
      <c r="M45" s="107" t="s">
        <v>60</v>
      </c>
      <c r="N45" s="10">
        <v>41</v>
      </c>
      <c r="O45" s="10">
        <v>6</v>
      </c>
      <c r="P45" s="10">
        <v>1</v>
      </c>
    </row>
    <row r="46" spans="1:16" x14ac:dyDescent="0.25">
      <c r="D46" s="95">
        <v>42</v>
      </c>
      <c r="E46" s="10">
        <v>144</v>
      </c>
      <c r="F46" s="10">
        <v>3</v>
      </c>
      <c r="G46" s="10">
        <v>1</v>
      </c>
      <c r="H46" s="5" t="str">
        <f t="shared" si="0"/>
        <v>det_144</v>
      </c>
      <c r="I46" s="5" t="str">
        <f t="shared" si="1"/>
        <v>W:\Performance Measurement\1. Freeway\1. raw data\2013\data files\det_144.txt</v>
      </c>
      <c r="J46" s="5" t="str">
        <f t="shared" si="2"/>
        <v>W:\Performance Measurement\1. Freeway\1. raw data\2013\data files\det_144.xlsx</v>
      </c>
      <c r="K46" s="5"/>
      <c r="M46" s="107" t="s">
        <v>60</v>
      </c>
      <c r="N46" s="10">
        <v>144</v>
      </c>
      <c r="O46" s="10">
        <v>3</v>
      </c>
      <c r="P46" s="10">
        <v>1</v>
      </c>
    </row>
    <row r="47" spans="1:16" x14ac:dyDescent="0.25">
      <c r="D47" s="95">
        <v>43</v>
      </c>
      <c r="E47" s="10">
        <v>92</v>
      </c>
      <c r="F47" s="10">
        <v>3</v>
      </c>
      <c r="G47" s="10">
        <v>1</v>
      </c>
      <c r="H47" s="5" t="str">
        <f t="shared" si="0"/>
        <v>det_92</v>
      </c>
      <c r="I47" s="5" t="str">
        <f t="shared" si="1"/>
        <v>W:\Performance Measurement\1. Freeway\1. raw data\2013\data files\det_92.txt</v>
      </c>
      <c r="J47" s="5" t="str">
        <f t="shared" si="2"/>
        <v>W:\Performance Measurement\1. Freeway\1. raw data\2013\data files\det_92.xlsx</v>
      </c>
      <c r="K47" s="5"/>
      <c r="M47" s="107" t="s">
        <v>60</v>
      </c>
      <c r="N47" s="10">
        <v>92</v>
      </c>
      <c r="O47" s="10">
        <v>3</v>
      </c>
      <c r="P47" s="10">
        <v>1</v>
      </c>
    </row>
    <row r="48" spans="1:16" x14ac:dyDescent="0.25">
      <c r="D48" s="95">
        <v>44</v>
      </c>
      <c r="E48" s="10">
        <v>141</v>
      </c>
      <c r="F48" s="10">
        <v>4</v>
      </c>
      <c r="G48" s="10">
        <v>1</v>
      </c>
      <c r="H48" s="5" t="str">
        <f t="shared" si="0"/>
        <v>det_141</v>
      </c>
      <c r="I48" s="5" t="str">
        <f t="shared" si="1"/>
        <v>W:\Performance Measurement\1. Freeway\1. raw data\2013\data files\det_141.txt</v>
      </c>
      <c r="J48" s="5" t="str">
        <f t="shared" si="2"/>
        <v>W:\Performance Measurement\1. Freeway\1. raw data\2013\data files\det_141.xlsx</v>
      </c>
      <c r="K48" s="5"/>
      <c r="M48" s="107" t="s">
        <v>60</v>
      </c>
      <c r="N48" s="10">
        <v>141</v>
      </c>
      <c r="O48" s="10">
        <v>4</v>
      </c>
      <c r="P48" s="10">
        <v>1</v>
      </c>
    </row>
    <row r="49" spans="4:16" x14ac:dyDescent="0.25">
      <c r="D49" s="95">
        <v>45</v>
      </c>
      <c r="E49" s="10">
        <v>396</v>
      </c>
      <c r="F49" s="10">
        <v>3</v>
      </c>
      <c r="G49" s="10">
        <v>1</v>
      </c>
      <c r="H49" s="5" t="str">
        <f t="shared" si="0"/>
        <v>det_396</v>
      </c>
      <c r="I49" s="5" t="str">
        <f t="shared" si="1"/>
        <v>W:\Performance Measurement\1. Freeway\1. raw data\2013\data files\det_396.txt</v>
      </c>
      <c r="J49" s="5" t="str">
        <f t="shared" si="2"/>
        <v>W:\Performance Measurement\1. Freeway\1. raw data\2013\data files\det_396.xlsx</v>
      </c>
      <c r="K49" s="5"/>
      <c r="M49" s="107" t="s">
        <v>61</v>
      </c>
      <c r="N49" s="10">
        <v>396</v>
      </c>
      <c r="O49" s="10">
        <v>3</v>
      </c>
      <c r="P49" s="10">
        <v>1</v>
      </c>
    </row>
    <row r="50" spans="4:16" x14ac:dyDescent="0.25">
      <c r="D50" s="95">
        <v>46</v>
      </c>
      <c r="E50" s="10">
        <v>397</v>
      </c>
      <c r="F50" s="10">
        <v>4</v>
      </c>
      <c r="G50" s="10">
        <v>1</v>
      </c>
      <c r="H50" s="5" t="str">
        <f t="shared" si="0"/>
        <v>det_397</v>
      </c>
      <c r="I50" s="5" t="str">
        <f t="shared" si="1"/>
        <v>W:\Performance Measurement\1. Freeway\1. raw data\2013\data files\det_397.txt</v>
      </c>
      <c r="J50" s="5" t="str">
        <f t="shared" si="2"/>
        <v>W:\Performance Measurement\1. Freeway\1. raw data\2013\data files\det_397.xlsx</v>
      </c>
      <c r="K50" s="5"/>
      <c r="M50" s="107" t="s">
        <v>61</v>
      </c>
      <c r="N50" s="10">
        <v>397</v>
      </c>
      <c r="O50" s="10">
        <v>4</v>
      </c>
      <c r="P50" s="10">
        <v>1</v>
      </c>
    </row>
    <row r="51" spans="4:16" x14ac:dyDescent="0.25">
      <c r="D51" s="95">
        <v>47</v>
      </c>
      <c r="E51" s="10">
        <v>399</v>
      </c>
      <c r="F51" s="10">
        <v>4</v>
      </c>
      <c r="G51" s="10">
        <v>1</v>
      </c>
      <c r="H51" s="5" t="str">
        <f t="shared" si="0"/>
        <v>det_399</v>
      </c>
      <c r="I51" s="5" t="str">
        <f t="shared" si="1"/>
        <v>W:\Performance Measurement\1. Freeway\1. raw data\2013\data files\det_399.txt</v>
      </c>
      <c r="J51" s="5" t="str">
        <f t="shared" si="2"/>
        <v>W:\Performance Measurement\1. Freeway\1. raw data\2013\data files\det_399.xlsx</v>
      </c>
      <c r="K51" s="5"/>
      <c r="M51" s="107" t="s">
        <v>61</v>
      </c>
      <c r="N51" s="10">
        <v>399</v>
      </c>
      <c r="O51" s="10">
        <v>4</v>
      </c>
      <c r="P51" s="10">
        <v>1</v>
      </c>
    </row>
    <row r="52" spans="4:16" x14ac:dyDescent="0.25">
      <c r="D52" s="95">
        <v>48</v>
      </c>
      <c r="E52" s="10">
        <v>401</v>
      </c>
      <c r="F52" s="10">
        <v>4</v>
      </c>
      <c r="G52" s="10">
        <v>1</v>
      </c>
      <c r="H52" s="5" t="str">
        <f t="shared" si="0"/>
        <v>det_401</v>
      </c>
      <c r="I52" s="5" t="str">
        <f t="shared" si="1"/>
        <v>W:\Performance Measurement\1. Freeway\1. raw data\2013\data files\det_401.txt</v>
      </c>
      <c r="J52" s="5" t="str">
        <f t="shared" si="2"/>
        <v>W:\Performance Measurement\1. Freeway\1. raw data\2013\data files\det_401.xlsx</v>
      </c>
      <c r="K52" s="5"/>
      <c r="M52" s="107" t="s">
        <v>61</v>
      </c>
      <c r="N52" s="10">
        <v>401</v>
      </c>
      <c r="O52" s="10">
        <v>4</v>
      </c>
      <c r="P52" s="10">
        <v>1</v>
      </c>
    </row>
    <row r="53" spans="4:16" x14ac:dyDescent="0.25">
      <c r="D53" s="95">
        <v>49</v>
      </c>
      <c r="E53" s="10">
        <v>403</v>
      </c>
      <c r="F53" s="10">
        <v>3</v>
      </c>
      <c r="G53" s="10">
        <v>1</v>
      </c>
      <c r="H53" s="5" t="str">
        <f t="shared" si="0"/>
        <v>det_403</v>
      </c>
      <c r="I53" s="5" t="str">
        <f t="shared" si="1"/>
        <v>W:\Performance Measurement\1. Freeway\1. raw data\2013\data files\det_403.txt</v>
      </c>
      <c r="J53" s="5" t="str">
        <f t="shared" si="2"/>
        <v>W:\Performance Measurement\1. Freeway\1. raw data\2013\data files\det_403.xlsx</v>
      </c>
      <c r="K53" s="5"/>
      <c r="M53" s="107" t="s">
        <v>61</v>
      </c>
      <c r="N53" s="10">
        <v>403</v>
      </c>
      <c r="O53" s="10">
        <v>3</v>
      </c>
      <c r="P53" s="10">
        <v>1</v>
      </c>
    </row>
    <row r="54" spans="4:16" x14ac:dyDescent="0.25">
      <c r="D54" s="95">
        <v>50</v>
      </c>
      <c r="E54" s="10">
        <v>406</v>
      </c>
      <c r="F54" s="10">
        <v>3</v>
      </c>
      <c r="G54" s="10">
        <v>1</v>
      </c>
      <c r="H54" s="5" t="str">
        <f t="shared" si="0"/>
        <v>det_406</v>
      </c>
      <c r="I54" s="5" t="str">
        <f t="shared" si="1"/>
        <v>W:\Performance Measurement\1. Freeway\1. raw data\2013\data files\det_406.txt</v>
      </c>
      <c r="J54" s="5" t="str">
        <f t="shared" si="2"/>
        <v>W:\Performance Measurement\1. Freeway\1. raw data\2013\data files\det_406.xlsx</v>
      </c>
      <c r="K54" s="5"/>
      <c r="M54" s="107" t="s">
        <v>61</v>
      </c>
      <c r="N54" s="10">
        <v>406</v>
      </c>
      <c r="O54" s="10">
        <v>3</v>
      </c>
      <c r="P54" s="10">
        <v>1</v>
      </c>
    </row>
    <row r="55" spans="4:16" x14ac:dyDescent="0.25">
      <c r="D55" s="95">
        <v>51</v>
      </c>
      <c r="E55" s="10">
        <v>409</v>
      </c>
      <c r="F55" s="10">
        <v>5</v>
      </c>
      <c r="G55" s="10">
        <v>1</v>
      </c>
      <c r="H55" s="5" t="str">
        <f t="shared" si="0"/>
        <v>det_409</v>
      </c>
      <c r="I55" s="5" t="str">
        <f t="shared" si="1"/>
        <v>W:\Performance Measurement\1. Freeway\1. raw data\2013\data files\det_409.txt</v>
      </c>
      <c r="J55" s="5" t="str">
        <f t="shared" si="2"/>
        <v>W:\Performance Measurement\1. Freeway\1. raw data\2013\data files\det_409.xlsx</v>
      </c>
      <c r="K55" s="5"/>
      <c r="M55" s="107" t="s">
        <v>61</v>
      </c>
      <c r="N55" s="10">
        <v>409</v>
      </c>
      <c r="O55" s="10">
        <v>5</v>
      </c>
      <c r="P55" s="10">
        <v>1</v>
      </c>
    </row>
    <row r="56" spans="4:16" x14ac:dyDescent="0.25">
      <c r="D56" s="95">
        <v>52</v>
      </c>
      <c r="E56" s="10">
        <v>410</v>
      </c>
      <c r="F56" s="10">
        <v>4</v>
      </c>
      <c r="G56" s="10">
        <v>1</v>
      </c>
      <c r="H56" s="5" t="str">
        <f t="shared" si="0"/>
        <v>det_410</v>
      </c>
      <c r="I56" s="5" t="str">
        <f t="shared" si="1"/>
        <v>W:\Performance Measurement\1. Freeway\1. raw data\2013\data files\det_410.txt</v>
      </c>
      <c r="J56" s="5" t="str">
        <f t="shared" si="2"/>
        <v>W:\Performance Measurement\1. Freeway\1. raw data\2013\data files\det_410.xlsx</v>
      </c>
      <c r="K56" s="5"/>
      <c r="M56" s="107" t="s">
        <v>61</v>
      </c>
      <c r="N56" s="10">
        <v>410</v>
      </c>
      <c r="O56" s="10">
        <v>4</v>
      </c>
      <c r="P56" s="10">
        <v>1</v>
      </c>
    </row>
    <row r="57" spans="4:16" x14ac:dyDescent="0.25">
      <c r="D57" s="95">
        <v>53</v>
      </c>
      <c r="E57" s="10">
        <v>411</v>
      </c>
      <c r="F57" s="10">
        <v>3</v>
      </c>
      <c r="G57" s="10">
        <v>1</v>
      </c>
      <c r="H57" s="5" t="str">
        <f t="shared" si="0"/>
        <v>det_411</v>
      </c>
      <c r="I57" s="5" t="str">
        <f t="shared" si="1"/>
        <v>W:\Performance Measurement\1. Freeway\1. raw data\2013\data files\det_411.txt</v>
      </c>
      <c r="J57" s="5" t="str">
        <f t="shared" si="2"/>
        <v>W:\Performance Measurement\1. Freeway\1. raw data\2013\data files\det_411.xlsx</v>
      </c>
      <c r="K57" s="5"/>
      <c r="M57" s="107" t="s">
        <v>61</v>
      </c>
      <c r="N57" s="10">
        <v>411</v>
      </c>
      <c r="O57" s="10">
        <v>3</v>
      </c>
      <c r="P57" s="10">
        <v>1</v>
      </c>
    </row>
    <row r="58" spans="4:16" x14ac:dyDescent="0.25">
      <c r="D58" s="95">
        <v>54</v>
      </c>
      <c r="E58" s="10">
        <v>414</v>
      </c>
      <c r="F58" s="10">
        <v>3</v>
      </c>
      <c r="G58" s="10">
        <v>1</v>
      </c>
      <c r="H58" s="5" t="str">
        <f t="shared" si="0"/>
        <v>det_414</v>
      </c>
      <c r="I58" s="5" t="str">
        <f t="shared" si="1"/>
        <v>W:\Performance Measurement\1. Freeway\1. raw data\2013\data files\det_414.txt</v>
      </c>
      <c r="J58" s="5" t="str">
        <f t="shared" si="2"/>
        <v>W:\Performance Measurement\1. Freeway\1. raw data\2013\data files\det_414.xlsx</v>
      </c>
      <c r="K58" s="5"/>
      <c r="M58" s="107" t="s">
        <v>61</v>
      </c>
      <c r="N58" s="10">
        <v>414</v>
      </c>
      <c r="O58" s="10">
        <v>3</v>
      </c>
      <c r="P58" s="10">
        <v>1</v>
      </c>
    </row>
    <row r="59" spans="4:16" x14ac:dyDescent="0.25">
      <c r="D59" s="95">
        <v>55</v>
      </c>
      <c r="E59" s="10">
        <v>417</v>
      </c>
      <c r="F59" s="10">
        <v>3</v>
      </c>
      <c r="G59" s="10">
        <v>1</v>
      </c>
      <c r="H59" s="5" t="str">
        <f t="shared" si="0"/>
        <v>det_417</v>
      </c>
      <c r="I59" s="5" t="str">
        <f t="shared" si="1"/>
        <v>W:\Performance Measurement\1. Freeway\1. raw data\2013\data files\det_417.txt</v>
      </c>
      <c r="J59" s="5" t="str">
        <f t="shared" si="2"/>
        <v>W:\Performance Measurement\1. Freeway\1. raw data\2013\data files\det_417.xlsx</v>
      </c>
      <c r="K59" s="5"/>
      <c r="M59" s="107" t="s">
        <v>61</v>
      </c>
      <c r="N59" s="10">
        <v>417</v>
      </c>
      <c r="O59" s="10">
        <v>3</v>
      </c>
      <c r="P59" s="10">
        <v>1</v>
      </c>
    </row>
    <row r="60" spans="4:16" x14ac:dyDescent="0.25">
      <c r="D60" s="95">
        <v>56</v>
      </c>
      <c r="E60" s="10">
        <v>420</v>
      </c>
      <c r="F60" s="10">
        <v>4</v>
      </c>
      <c r="G60" s="10">
        <v>1</v>
      </c>
      <c r="H60" s="5" t="str">
        <f t="shared" si="0"/>
        <v>det_420</v>
      </c>
      <c r="I60" s="5" t="str">
        <f t="shared" si="1"/>
        <v>W:\Performance Measurement\1. Freeway\1. raw data\2013\data files\det_420.txt</v>
      </c>
      <c r="J60" s="5" t="str">
        <f t="shared" si="2"/>
        <v>W:\Performance Measurement\1. Freeway\1. raw data\2013\data files\det_420.xlsx</v>
      </c>
      <c r="K60" s="5"/>
      <c r="M60" s="107" t="s">
        <v>61</v>
      </c>
      <c r="N60" s="10">
        <v>420</v>
      </c>
      <c r="O60" s="10">
        <v>4</v>
      </c>
      <c r="P60" s="10">
        <v>1</v>
      </c>
    </row>
    <row r="61" spans="4:16" x14ac:dyDescent="0.25">
      <c r="D61" s="95">
        <v>57</v>
      </c>
      <c r="E61" s="10">
        <v>423</v>
      </c>
      <c r="F61" s="10">
        <v>3</v>
      </c>
      <c r="G61" s="10">
        <v>1</v>
      </c>
      <c r="H61" s="5" t="str">
        <f t="shared" si="0"/>
        <v>det_423</v>
      </c>
      <c r="I61" s="5" t="str">
        <f t="shared" si="1"/>
        <v>W:\Performance Measurement\1. Freeway\1. raw data\2013\data files\det_423.txt</v>
      </c>
      <c r="J61" s="5" t="str">
        <f t="shared" si="2"/>
        <v>W:\Performance Measurement\1. Freeway\1. raw data\2013\data files\det_423.xlsx</v>
      </c>
      <c r="K61" s="5"/>
      <c r="M61" s="107" t="s">
        <v>61</v>
      </c>
      <c r="N61" s="10">
        <v>423</v>
      </c>
      <c r="O61" s="10">
        <v>3</v>
      </c>
      <c r="P61" s="10">
        <v>1</v>
      </c>
    </row>
    <row r="62" spans="4:16" x14ac:dyDescent="0.25">
      <c r="D62" s="95">
        <v>58</v>
      </c>
      <c r="E62" s="10">
        <v>39</v>
      </c>
      <c r="F62" s="10">
        <v>3</v>
      </c>
      <c r="G62" s="10">
        <v>0</v>
      </c>
      <c r="H62" s="5" t="str">
        <f t="shared" si="0"/>
        <v>det_39</v>
      </c>
      <c r="I62" s="5" t="str">
        <f t="shared" si="1"/>
        <v>W:\Performance Measurement\1. Freeway\1. raw data\2013\data files\det_39.txt</v>
      </c>
      <c r="J62" s="5" t="str">
        <f t="shared" si="2"/>
        <v>W:\Performance Measurement\1. Freeway\1. raw data\2013\data files\det_39.xlsx</v>
      </c>
      <c r="K62" s="5"/>
      <c r="M62" s="107" t="s">
        <v>62</v>
      </c>
      <c r="N62" s="10">
        <v>39</v>
      </c>
      <c r="O62" s="10">
        <v>3</v>
      </c>
      <c r="P62" s="10">
        <v>0</v>
      </c>
    </row>
    <row r="63" spans="4:16" x14ac:dyDescent="0.25">
      <c r="D63" s="95">
        <v>59</v>
      </c>
      <c r="E63" s="10">
        <v>153</v>
      </c>
      <c r="F63" s="10">
        <v>3</v>
      </c>
      <c r="G63" s="10">
        <v>0</v>
      </c>
      <c r="H63" s="5" t="str">
        <f t="shared" si="0"/>
        <v>det_153</v>
      </c>
      <c r="I63" s="5" t="str">
        <f t="shared" si="1"/>
        <v>W:\Performance Measurement\1. Freeway\1. raw data\2013\data files\det_153.txt</v>
      </c>
      <c r="J63" s="5" t="str">
        <f t="shared" si="2"/>
        <v>W:\Performance Measurement\1. Freeway\1. raw data\2013\data files\det_153.xlsx</v>
      </c>
      <c r="K63" s="5"/>
      <c r="M63" s="107" t="s">
        <v>62</v>
      </c>
      <c r="N63" s="10">
        <v>153</v>
      </c>
      <c r="O63" s="10">
        <v>3</v>
      </c>
      <c r="P63" s="10">
        <v>0</v>
      </c>
    </row>
    <row r="64" spans="4:16" x14ac:dyDescent="0.25">
      <c r="D64" s="95">
        <v>60</v>
      </c>
      <c r="E64" s="10">
        <v>98</v>
      </c>
      <c r="F64" s="10">
        <v>3</v>
      </c>
      <c r="G64" s="10">
        <v>0</v>
      </c>
      <c r="H64" s="5" t="str">
        <f t="shared" si="0"/>
        <v>det_98</v>
      </c>
      <c r="I64" s="5" t="str">
        <f t="shared" si="1"/>
        <v>W:\Performance Measurement\1. Freeway\1. raw data\2013\data files\det_98.txt</v>
      </c>
      <c r="J64" s="5" t="str">
        <f t="shared" si="2"/>
        <v>W:\Performance Measurement\1. Freeway\1. raw data\2013\data files\det_98.xlsx</v>
      </c>
      <c r="K64" s="5"/>
      <c r="M64" s="107" t="s">
        <v>62</v>
      </c>
      <c r="N64" s="10">
        <v>98</v>
      </c>
      <c r="O64" s="10">
        <v>3</v>
      </c>
      <c r="P64" s="10">
        <v>0</v>
      </c>
    </row>
    <row r="65" spans="4:16" x14ac:dyDescent="0.25">
      <c r="D65" s="95">
        <v>61</v>
      </c>
      <c r="E65" s="10">
        <v>104</v>
      </c>
      <c r="F65" s="10">
        <v>3</v>
      </c>
      <c r="G65" s="10">
        <v>0</v>
      </c>
      <c r="H65" s="5" t="str">
        <f t="shared" si="0"/>
        <v>det_104</v>
      </c>
      <c r="I65" s="5" t="str">
        <f t="shared" si="1"/>
        <v>W:\Performance Measurement\1. Freeway\1. raw data\2013\data files\det_104.txt</v>
      </c>
      <c r="J65" s="5" t="str">
        <f t="shared" si="2"/>
        <v>W:\Performance Measurement\1. Freeway\1. raw data\2013\data files\det_104.xlsx</v>
      </c>
      <c r="K65" s="5"/>
      <c r="M65" s="107" t="s">
        <v>62</v>
      </c>
      <c r="N65" s="10">
        <v>104</v>
      </c>
      <c r="O65" s="10">
        <v>3</v>
      </c>
      <c r="P65" s="10">
        <v>0</v>
      </c>
    </row>
    <row r="66" spans="4:16" x14ac:dyDescent="0.25">
      <c r="D66" s="95">
        <v>62</v>
      </c>
      <c r="E66" s="10">
        <v>154</v>
      </c>
      <c r="F66" s="10">
        <v>3</v>
      </c>
      <c r="G66" s="10">
        <v>0</v>
      </c>
      <c r="H66" s="5" t="str">
        <f t="shared" si="0"/>
        <v>det_154</v>
      </c>
      <c r="I66" s="5" t="str">
        <f t="shared" si="1"/>
        <v>W:\Performance Measurement\1. Freeway\1. raw data\2013\data files\det_154.txt</v>
      </c>
      <c r="J66" s="5" t="str">
        <f t="shared" si="2"/>
        <v>W:\Performance Measurement\1. Freeway\1. raw data\2013\data files\det_154.xlsx</v>
      </c>
      <c r="K66" s="5"/>
      <c r="M66" s="107" t="s">
        <v>62</v>
      </c>
      <c r="N66" s="10">
        <v>154</v>
      </c>
      <c r="O66" s="10">
        <v>3</v>
      </c>
      <c r="P66" s="10">
        <v>0</v>
      </c>
    </row>
    <row r="67" spans="4:16" x14ac:dyDescent="0.25">
      <c r="D67" s="95">
        <v>63</v>
      </c>
      <c r="E67" s="10">
        <v>155</v>
      </c>
      <c r="F67" s="10">
        <v>3</v>
      </c>
      <c r="G67" s="10">
        <v>0</v>
      </c>
      <c r="H67" s="5" t="str">
        <f t="shared" si="0"/>
        <v>det_155</v>
      </c>
      <c r="I67" s="5" t="str">
        <f t="shared" si="1"/>
        <v>W:\Performance Measurement\1. Freeway\1. raw data\2013\data files\det_155.txt</v>
      </c>
      <c r="J67" s="5" t="str">
        <f t="shared" si="2"/>
        <v>W:\Performance Measurement\1. Freeway\1. raw data\2013\data files\det_155.xlsx</v>
      </c>
      <c r="K67" s="5"/>
      <c r="M67" s="107" t="s">
        <v>62</v>
      </c>
      <c r="N67" s="10">
        <v>155</v>
      </c>
      <c r="O67" s="10">
        <v>3</v>
      </c>
      <c r="P67" s="10">
        <v>0</v>
      </c>
    </row>
    <row r="68" spans="4:16" x14ac:dyDescent="0.25">
      <c r="D68" s="95">
        <v>64</v>
      </c>
      <c r="E68" s="10">
        <v>156</v>
      </c>
      <c r="F68" s="10">
        <v>3</v>
      </c>
      <c r="G68" s="10">
        <v>0</v>
      </c>
      <c r="H68" s="5" t="str">
        <f t="shared" si="0"/>
        <v>det_156</v>
      </c>
      <c r="I68" s="5" t="str">
        <f t="shared" si="1"/>
        <v>W:\Performance Measurement\1. Freeway\1. raw data\2013\data files\det_156.txt</v>
      </c>
      <c r="J68" s="5" t="str">
        <f t="shared" si="2"/>
        <v>W:\Performance Measurement\1. Freeway\1. raw data\2013\data files\det_156.xlsx</v>
      </c>
      <c r="K68" s="5"/>
      <c r="M68" s="107" t="s">
        <v>62</v>
      </c>
      <c r="N68" s="10">
        <v>156</v>
      </c>
      <c r="O68" s="10">
        <v>3</v>
      </c>
      <c r="P68" s="10">
        <v>0</v>
      </c>
    </row>
    <row r="69" spans="4:16" x14ac:dyDescent="0.25">
      <c r="D69" s="95">
        <v>65</v>
      </c>
      <c r="E69" s="10">
        <v>121</v>
      </c>
      <c r="F69" s="10">
        <v>3</v>
      </c>
      <c r="G69" s="10">
        <v>0</v>
      </c>
      <c r="H69" s="5" t="str">
        <f t="shared" ref="H69:H132" si="3">"det_"&amp;E69&amp;""</f>
        <v>det_121</v>
      </c>
      <c r="I69" s="5" t="str">
        <f t="shared" ref="I69:I132" si="4">$B$5&amp;"\"&amp;H69&amp;".txt"</f>
        <v>W:\Performance Measurement\1. Freeway\1. raw data\2013\data files\det_121.txt</v>
      </c>
      <c r="J69" s="5" t="str">
        <f t="shared" ref="J69:J132" si="5">$B$5&amp;"\"&amp;H69&amp;".xlsx"</f>
        <v>W:\Performance Measurement\1. Freeway\1. raw data\2013\data files\det_121.xlsx</v>
      </c>
      <c r="K69" s="5"/>
      <c r="M69" s="107" t="s">
        <v>62</v>
      </c>
      <c r="N69" s="10">
        <v>121</v>
      </c>
      <c r="O69" s="10">
        <v>3</v>
      </c>
      <c r="P69" s="10">
        <v>0</v>
      </c>
    </row>
    <row r="70" spans="4:16" x14ac:dyDescent="0.25">
      <c r="D70" s="95">
        <v>66</v>
      </c>
      <c r="E70" s="10">
        <v>123</v>
      </c>
      <c r="F70" s="10">
        <v>3</v>
      </c>
      <c r="G70" s="10">
        <v>0</v>
      </c>
      <c r="H70" s="5" t="str">
        <f t="shared" si="3"/>
        <v>det_123</v>
      </c>
      <c r="I70" s="5" t="str">
        <f t="shared" si="4"/>
        <v>W:\Performance Measurement\1. Freeway\1. raw data\2013\data files\det_123.txt</v>
      </c>
      <c r="J70" s="5" t="str">
        <f t="shared" si="5"/>
        <v>W:\Performance Measurement\1. Freeway\1. raw data\2013\data files\det_123.xlsx</v>
      </c>
      <c r="K70" s="5"/>
      <c r="M70" s="107" t="s">
        <v>62</v>
      </c>
      <c r="N70" s="10">
        <v>123</v>
      </c>
      <c r="O70" s="10">
        <v>3</v>
      </c>
      <c r="P70" s="10">
        <v>0</v>
      </c>
    </row>
    <row r="71" spans="4:16" x14ac:dyDescent="0.25">
      <c r="D71" s="95">
        <v>67</v>
      </c>
      <c r="E71" s="10">
        <v>122</v>
      </c>
      <c r="F71" s="10">
        <v>3</v>
      </c>
      <c r="G71" s="10">
        <v>0</v>
      </c>
      <c r="H71" s="5" t="str">
        <f t="shared" si="3"/>
        <v>det_122</v>
      </c>
      <c r="I71" s="5" t="str">
        <f t="shared" si="4"/>
        <v>W:\Performance Measurement\1. Freeway\1. raw data\2013\data files\det_122.txt</v>
      </c>
      <c r="J71" s="5" t="str">
        <f t="shared" si="5"/>
        <v>W:\Performance Measurement\1. Freeway\1. raw data\2013\data files\det_122.xlsx</v>
      </c>
      <c r="K71" s="5"/>
      <c r="M71" s="107" t="s">
        <v>62</v>
      </c>
      <c r="N71" s="10">
        <v>122</v>
      </c>
      <c r="O71" s="10">
        <v>3</v>
      </c>
      <c r="P71" s="10">
        <v>0</v>
      </c>
    </row>
    <row r="72" spans="4:16" x14ac:dyDescent="0.25">
      <c r="D72" s="95">
        <v>68</v>
      </c>
      <c r="E72" s="10">
        <v>118</v>
      </c>
      <c r="F72" s="10">
        <v>3</v>
      </c>
      <c r="G72" s="10">
        <v>0</v>
      </c>
      <c r="H72" s="5" t="str">
        <f t="shared" si="3"/>
        <v>det_118</v>
      </c>
      <c r="I72" s="5" t="str">
        <f t="shared" si="4"/>
        <v>W:\Performance Measurement\1. Freeway\1. raw data\2013\data files\det_118.txt</v>
      </c>
      <c r="J72" s="5" t="str">
        <f t="shared" si="5"/>
        <v>W:\Performance Measurement\1. Freeway\1. raw data\2013\data files\det_118.xlsx</v>
      </c>
      <c r="K72" s="5"/>
      <c r="M72" s="107" t="s">
        <v>62</v>
      </c>
      <c r="N72" s="10">
        <v>118</v>
      </c>
      <c r="O72" s="10">
        <v>3</v>
      </c>
      <c r="P72" s="10">
        <v>0</v>
      </c>
    </row>
    <row r="73" spans="4:16" x14ac:dyDescent="0.25">
      <c r="D73" s="95">
        <v>69</v>
      </c>
      <c r="E73" s="10">
        <v>114</v>
      </c>
      <c r="F73" s="10">
        <v>3</v>
      </c>
      <c r="G73" s="10">
        <v>0</v>
      </c>
      <c r="H73" s="5" t="str">
        <f t="shared" si="3"/>
        <v>det_114</v>
      </c>
      <c r="I73" s="5" t="str">
        <f t="shared" si="4"/>
        <v>W:\Performance Measurement\1. Freeway\1. raw data\2013\data files\det_114.txt</v>
      </c>
      <c r="J73" s="5" t="str">
        <f t="shared" si="5"/>
        <v>W:\Performance Measurement\1. Freeway\1. raw data\2013\data files\det_114.xlsx</v>
      </c>
      <c r="K73" s="5"/>
      <c r="M73" s="107" t="s">
        <v>62</v>
      </c>
      <c r="N73" s="10">
        <v>114</v>
      </c>
      <c r="O73" s="10">
        <v>3</v>
      </c>
      <c r="P73" s="10">
        <v>0</v>
      </c>
    </row>
    <row r="74" spans="4:16" x14ac:dyDescent="0.25">
      <c r="D74" s="95">
        <v>70</v>
      </c>
      <c r="E74" s="10">
        <v>108</v>
      </c>
      <c r="F74" s="10">
        <v>3</v>
      </c>
      <c r="G74" s="10">
        <v>0</v>
      </c>
      <c r="H74" s="5" t="str">
        <f t="shared" si="3"/>
        <v>det_108</v>
      </c>
      <c r="I74" s="5" t="str">
        <f t="shared" si="4"/>
        <v>W:\Performance Measurement\1. Freeway\1. raw data\2013\data files\det_108.txt</v>
      </c>
      <c r="J74" s="5" t="str">
        <f t="shared" si="5"/>
        <v>W:\Performance Measurement\1. Freeway\1. raw data\2013\data files\det_108.xlsx</v>
      </c>
      <c r="K74" s="5"/>
      <c r="M74" s="107" t="s">
        <v>62</v>
      </c>
      <c r="N74" s="10">
        <v>108</v>
      </c>
      <c r="O74" s="10">
        <v>3</v>
      </c>
      <c r="P74" s="10">
        <v>0</v>
      </c>
    </row>
    <row r="75" spans="4:16" x14ac:dyDescent="0.25">
      <c r="D75" s="95">
        <v>71</v>
      </c>
      <c r="E75" s="10">
        <v>103</v>
      </c>
      <c r="F75" s="10">
        <v>3</v>
      </c>
      <c r="G75" s="10">
        <v>0</v>
      </c>
      <c r="H75" s="5" t="str">
        <f t="shared" si="3"/>
        <v>det_103</v>
      </c>
      <c r="I75" s="5" t="str">
        <f t="shared" si="4"/>
        <v>W:\Performance Measurement\1. Freeway\1. raw data\2013\data files\det_103.txt</v>
      </c>
      <c r="J75" s="5" t="str">
        <f t="shared" si="5"/>
        <v>W:\Performance Measurement\1. Freeway\1. raw data\2013\data files\det_103.xlsx</v>
      </c>
      <c r="K75" s="5"/>
      <c r="M75" s="107" t="s">
        <v>62</v>
      </c>
      <c r="N75" s="10">
        <v>103</v>
      </c>
      <c r="O75" s="10">
        <v>3</v>
      </c>
      <c r="P75" s="10">
        <v>0</v>
      </c>
    </row>
    <row r="76" spans="4:16" x14ac:dyDescent="0.25">
      <c r="D76" s="95">
        <v>72</v>
      </c>
      <c r="E76" s="10">
        <v>97</v>
      </c>
      <c r="F76" s="10">
        <v>3</v>
      </c>
      <c r="G76" s="10">
        <v>0</v>
      </c>
      <c r="H76" s="5" t="str">
        <f t="shared" si="3"/>
        <v>det_97</v>
      </c>
      <c r="I76" s="5" t="str">
        <f t="shared" si="4"/>
        <v>W:\Performance Measurement\1. Freeway\1. raw data\2013\data files\det_97.txt</v>
      </c>
      <c r="J76" s="5" t="str">
        <f t="shared" si="5"/>
        <v>W:\Performance Measurement\1. Freeway\1. raw data\2013\data files\det_97.xlsx</v>
      </c>
      <c r="K76" s="5"/>
      <c r="M76" s="107" t="s">
        <v>62</v>
      </c>
      <c r="N76" s="10">
        <v>97</v>
      </c>
      <c r="O76" s="10">
        <v>3</v>
      </c>
      <c r="P76" s="10">
        <v>0</v>
      </c>
    </row>
    <row r="77" spans="4:16" x14ac:dyDescent="0.25">
      <c r="D77" s="95">
        <v>73</v>
      </c>
      <c r="E77" s="10">
        <v>36</v>
      </c>
      <c r="F77" s="10">
        <v>3</v>
      </c>
      <c r="G77" s="10">
        <v>0</v>
      </c>
      <c r="H77" s="5" t="str">
        <f t="shared" si="3"/>
        <v>det_36</v>
      </c>
      <c r="I77" s="5" t="str">
        <f t="shared" si="4"/>
        <v>W:\Performance Measurement\1. Freeway\1. raw data\2013\data files\det_36.txt</v>
      </c>
      <c r="J77" s="5" t="str">
        <f t="shared" si="5"/>
        <v>W:\Performance Measurement\1. Freeway\1. raw data\2013\data files\det_36.xlsx</v>
      </c>
      <c r="K77" s="5"/>
      <c r="M77" s="107" t="s">
        <v>62</v>
      </c>
      <c r="N77" s="10">
        <v>36</v>
      </c>
      <c r="O77" s="10">
        <v>3</v>
      </c>
      <c r="P77" s="10">
        <v>0</v>
      </c>
    </row>
    <row r="78" spans="4:16" x14ac:dyDescent="0.25">
      <c r="D78" s="95">
        <v>74</v>
      </c>
      <c r="E78" s="10">
        <v>161</v>
      </c>
      <c r="F78" s="10">
        <v>2</v>
      </c>
      <c r="G78" s="10">
        <v>0</v>
      </c>
      <c r="H78" s="5" t="str">
        <f t="shared" si="3"/>
        <v>det_161</v>
      </c>
      <c r="I78" s="5" t="str">
        <f t="shared" si="4"/>
        <v>W:\Performance Measurement\1. Freeway\1. raw data\2013\data files\det_161.txt</v>
      </c>
      <c r="J78" s="5" t="str">
        <f t="shared" si="5"/>
        <v>W:\Performance Measurement\1. Freeway\1. raw data\2013\data files\det_161.xlsx</v>
      </c>
      <c r="K78" s="5"/>
      <c r="M78" s="107" t="s">
        <v>63</v>
      </c>
      <c r="N78" s="10">
        <v>161</v>
      </c>
      <c r="O78" s="10">
        <v>2</v>
      </c>
      <c r="P78" s="10">
        <v>0</v>
      </c>
    </row>
    <row r="79" spans="4:16" x14ac:dyDescent="0.25">
      <c r="D79" s="95">
        <v>75</v>
      </c>
      <c r="E79" s="10">
        <v>162</v>
      </c>
      <c r="F79" s="10">
        <v>4</v>
      </c>
      <c r="G79" s="10">
        <v>1</v>
      </c>
      <c r="H79" s="5" t="str">
        <f t="shared" si="3"/>
        <v>det_162</v>
      </c>
      <c r="I79" s="5" t="str">
        <f t="shared" si="4"/>
        <v>W:\Performance Measurement\1. Freeway\1. raw data\2013\data files\det_162.txt</v>
      </c>
      <c r="J79" s="5" t="str">
        <f t="shared" si="5"/>
        <v>W:\Performance Measurement\1. Freeway\1. raw data\2013\data files\det_162.xlsx</v>
      </c>
      <c r="K79" s="5"/>
      <c r="M79" s="107" t="s">
        <v>63</v>
      </c>
      <c r="N79" s="10">
        <v>162</v>
      </c>
      <c r="O79" s="10">
        <v>4</v>
      </c>
      <c r="P79" s="10">
        <v>1</v>
      </c>
    </row>
    <row r="80" spans="4:16" x14ac:dyDescent="0.25">
      <c r="D80" s="95">
        <v>76</v>
      </c>
      <c r="E80" s="10">
        <v>337</v>
      </c>
      <c r="F80" s="10">
        <v>3</v>
      </c>
      <c r="G80" s="10">
        <v>1</v>
      </c>
      <c r="H80" s="5" t="str">
        <f t="shared" si="3"/>
        <v>det_337</v>
      </c>
      <c r="I80" s="5" t="str">
        <f t="shared" si="4"/>
        <v>W:\Performance Measurement\1. Freeway\1. raw data\2013\data files\det_337.txt</v>
      </c>
      <c r="J80" s="5" t="str">
        <f t="shared" si="5"/>
        <v>W:\Performance Measurement\1. Freeway\1. raw data\2013\data files\det_337.xlsx</v>
      </c>
      <c r="K80" s="5"/>
      <c r="M80" s="107" t="s">
        <v>63</v>
      </c>
      <c r="N80" s="10">
        <v>337</v>
      </c>
      <c r="O80" s="10">
        <v>3</v>
      </c>
      <c r="P80" s="10">
        <v>1</v>
      </c>
    </row>
    <row r="81" spans="4:16" x14ac:dyDescent="0.25">
      <c r="D81" s="95">
        <v>77</v>
      </c>
      <c r="E81" s="10">
        <v>340</v>
      </c>
      <c r="F81" s="10">
        <v>3</v>
      </c>
      <c r="G81" s="10">
        <v>1</v>
      </c>
      <c r="H81" s="5" t="str">
        <f t="shared" si="3"/>
        <v>det_340</v>
      </c>
      <c r="I81" s="5" t="str">
        <f t="shared" si="4"/>
        <v>W:\Performance Measurement\1. Freeway\1. raw data\2013\data files\det_340.txt</v>
      </c>
      <c r="J81" s="5" t="str">
        <f t="shared" si="5"/>
        <v>W:\Performance Measurement\1. Freeway\1. raw data\2013\data files\det_340.xlsx</v>
      </c>
      <c r="K81" s="5"/>
      <c r="M81" s="107" t="s">
        <v>63</v>
      </c>
      <c r="N81" s="10">
        <v>340</v>
      </c>
      <c r="O81" s="10">
        <v>3</v>
      </c>
      <c r="P81" s="10">
        <v>1</v>
      </c>
    </row>
    <row r="82" spans="4:16" x14ac:dyDescent="0.25">
      <c r="D82" s="95">
        <v>78</v>
      </c>
      <c r="E82" s="10">
        <v>343</v>
      </c>
      <c r="F82" s="10">
        <v>3</v>
      </c>
      <c r="G82" s="10">
        <v>1</v>
      </c>
      <c r="H82" s="5" t="str">
        <f t="shared" si="3"/>
        <v>det_343</v>
      </c>
      <c r="I82" s="5" t="str">
        <f t="shared" si="4"/>
        <v>W:\Performance Measurement\1. Freeway\1. raw data\2013\data files\det_343.txt</v>
      </c>
      <c r="J82" s="5" t="str">
        <f t="shared" si="5"/>
        <v>W:\Performance Measurement\1. Freeway\1. raw data\2013\data files\det_343.xlsx</v>
      </c>
      <c r="K82" s="5"/>
      <c r="M82" s="107" t="s">
        <v>63</v>
      </c>
      <c r="N82" s="10">
        <v>343</v>
      </c>
      <c r="O82" s="10">
        <v>3</v>
      </c>
      <c r="P82" s="10">
        <v>1</v>
      </c>
    </row>
    <row r="83" spans="4:16" x14ac:dyDescent="0.25">
      <c r="D83" s="95">
        <v>79</v>
      </c>
      <c r="E83" s="10">
        <v>346</v>
      </c>
      <c r="F83" s="10">
        <v>3</v>
      </c>
      <c r="G83" s="10">
        <v>1</v>
      </c>
      <c r="H83" s="5" t="str">
        <f t="shared" si="3"/>
        <v>det_346</v>
      </c>
      <c r="I83" s="5" t="str">
        <f t="shared" si="4"/>
        <v>W:\Performance Measurement\1. Freeway\1. raw data\2013\data files\det_346.txt</v>
      </c>
      <c r="J83" s="5" t="str">
        <f t="shared" si="5"/>
        <v>W:\Performance Measurement\1. Freeway\1. raw data\2013\data files\det_346.xlsx</v>
      </c>
      <c r="K83" s="5"/>
      <c r="M83" s="107" t="s">
        <v>63</v>
      </c>
      <c r="N83" s="10">
        <v>346</v>
      </c>
      <c r="O83" s="10">
        <v>3</v>
      </c>
      <c r="P83" s="10">
        <v>1</v>
      </c>
    </row>
    <row r="84" spans="4:16" x14ac:dyDescent="0.25">
      <c r="D84" s="95">
        <v>80</v>
      </c>
      <c r="E84" s="10">
        <v>349</v>
      </c>
      <c r="F84" s="10">
        <v>3</v>
      </c>
      <c r="G84" s="10">
        <v>1</v>
      </c>
      <c r="H84" s="5" t="str">
        <f t="shared" si="3"/>
        <v>det_349</v>
      </c>
      <c r="I84" s="5" t="str">
        <f t="shared" si="4"/>
        <v>W:\Performance Measurement\1. Freeway\1. raw data\2013\data files\det_349.txt</v>
      </c>
      <c r="J84" s="5" t="str">
        <f t="shared" si="5"/>
        <v>W:\Performance Measurement\1. Freeway\1. raw data\2013\data files\det_349.xlsx</v>
      </c>
      <c r="K84" s="5"/>
      <c r="M84" s="107" t="s">
        <v>63</v>
      </c>
      <c r="N84" s="10">
        <v>349</v>
      </c>
      <c r="O84" s="10">
        <v>3</v>
      </c>
      <c r="P84" s="10">
        <v>1</v>
      </c>
    </row>
    <row r="85" spans="4:16" x14ac:dyDescent="0.25">
      <c r="D85" s="95">
        <v>81</v>
      </c>
      <c r="E85" s="10">
        <v>352</v>
      </c>
      <c r="F85" s="10">
        <v>3</v>
      </c>
      <c r="G85" s="10">
        <v>1</v>
      </c>
      <c r="H85" s="5" t="str">
        <f t="shared" si="3"/>
        <v>det_352</v>
      </c>
      <c r="I85" s="5" t="str">
        <f t="shared" si="4"/>
        <v>W:\Performance Measurement\1. Freeway\1. raw data\2013\data files\det_352.txt</v>
      </c>
      <c r="J85" s="5" t="str">
        <f t="shared" si="5"/>
        <v>W:\Performance Measurement\1. Freeway\1. raw data\2013\data files\det_352.xlsx</v>
      </c>
      <c r="K85" s="5"/>
      <c r="M85" s="107" t="s">
        <v>63</v>
      </c>
      <c r="N85" s="10">
        <v>352</v>
      </c>
      <c r="O85" s="10">
        <v>3</v>
      </c>
      <c r="P85" s="10">
        <v>1</v>
      </c>
    </row>
    <row r="86" spans="4:16" x14ac:dyDescent="0.25">
      <c r="D86" s="95">
        <v>82</v>
      </c>
      <c r="E86" s="10">
        <v>355</v>
      </c>
      <c r="F86" s="10">
        <v>3</v>
      </c>
      <c r="G86" s="10">
        <v>1</v>
      </c>
      <c r="H86" s="5" t="str">
        <f t="shared" si="3"/>
        <v>det_355</v>
      </c>
      <c r="I86" s="5" t="str">
        <f t="shared" si="4"/>
        <v>W:\Performance Measurement\1. Freeway\1. raw data\2013\data files\det_355.txt</v>
      </c>
      <c r="J86" s="5" t="str">
        <f t="shared" si="5"/>
        <v>W:\Performance Measurement\1. Freeway\1. raw data\2013\data files\det_355.xlsx</v>
      </c>
      <c r="K86" s="5"/>
      <c r="M86" s="107" t="s">
        <v>63</v>
      </c>
      <c r="N86" s="10">
        <v>355</v>
      </c>
      <c r="O86" s="10">
        <v>3</v>
      </c>
      <c r="P86" s="10">
        <v>1</v>
      </c>
    </row>
    <row r="87" spans="4:16" x14ac:dyDescent="0.25">
      <c r="D87" s="95">
        <v>83</v>
      </c>
      <c r="E87" s="10">
        <v>357</v>
      </c>
      <c r="F87" s="10">
        <v>3</v>
      </c>
      <c r="G87" s="10">
        <v>1</v>
      </c>
      <c r="H87" s="5" t="str">
        <f t="shared" si="3"/>
        <v>det_357</v>
      </c>
      <c r="I87" s="5" t="str">
        <f t="shared" si="4"/>
        <v>W:\Performance Measurement\1. Freeway\1. raw data\2013\data files\det_357.txt</v>
      </c>
      <c r="J87" s="5" t="str">
        <f t="shared" si="5"/>
        <v>W:\Performance Measurement\1. Freeway\1. raw data\2013\data files\det_357.xlsx</v>
      </c>
      <c r="K87" s="5"/>
      <c r="M87" s="107" t="s">
        <v>63</v>
      </c>
      <c r="N87" s="10">
        <v>357</v>
      </c>
      <c r="O87" s="10">
        <v>3</v>
      </c>
      <c r="P87" s="10">
        <v>1</v>
      </c>
    </row>
    <row r="88" spans="4:16" x14ac:dyDescent="0.25">
      <c r="D88" s="95">
        <v>84</v>
      </c>
      <c r="E88" s="10">
        <v>358</v>
      </c>
      <c r="F88" s="10">
        <v>3</v>
      </c>
      <c r="G88" s="10">
        <v>1</v>
      </c>
      <c r="H88" s="5" t="str">
        <f t="shared" si="3"/>
        <v>det_358</v>
      </c>
      <c r="I88" s="5" t="str">
        <f t="shared" si="4"/>
        <v>W:\Performance Measurement\1. Freeway\1. raw data\2013\data files\det_358.txt</v>
      </c>
      <c r="J88" s="5" t="str">
        <f t="shared" si="5"/>
        <v>W:\Performance Measurement\1. Freeway\1. raw data\2013\data files\det_358.xlsx</v>
      </c>
      <c r="K88" s="5"/>
      <c r="M88" s="107" t="s">
        <v>63</v>
      </c>
      <c r="N88" s="10">
        <v>358</v>
      </c>
      <c r="O88" s="10">
        <v>3</v>
      </c>
      <c r="P88" s="10">
        <v>1</v>
      </c>
    </row>
    <row r="89" spans="4:16" x14ac:dyDescent="0.25">
      <c r="D89" s="95">
        <v>85</v>
      </c>
      <c r="E89" s="10">
        <v>361</v>
      </c>
      <c r="F89" s="10">
        <v>3</v>
      </c>
      <c r="G89" s="10">
        <v>1</v>
      </c>
      <c r="H89" s="5" t="str">
        <f t="shared" si="3"/>
        <v>det_361</v>
      </c>
      <c r="I89" s="5" t="str">
        <f t="shared" si="4"/>
        <v>W:\Performance Measurement\1. Freeway\1. raw data\2013\data files\det_361.txt</v>
      </c>
      <c r="J89" s="5" t="str">
        <f t="shared" si="5"/>
        <v>W:\Performance Measurement\1. Freeway\1. raw data\2013\data files\det_361.xlsx</v>
      </c>
      <c r="K89" s="5"/>
      <c r="M89" s="107" t="s">
        <v>63</v>
      </c>
      <c r="N89" s="10">
        <v>361</v>
      </c>
      <c r="O89" s="10">
        <v>3</v>
      </c>
      <c r="P89" s="10">
        <v>1</v>
      </c>
    </row>
    <row r="90" spans="4:16" x14ac:dyDescent="0.25">
      <c r="D90" s="95">
        <v>86</v>
      </c>
      <c r="E90" s="10">
        <v>364</v>
      </c>
      <c r="F90" s="10">
        <v>3</v>
      </c>
      <c r="G90" s="10">
        <v>1</v>
      </c>
      <c r="H90" s="5" t="str">
        <f t="shared" si="3"/>
        <v>det_364</v>
      </c>
      <c r="I90" s="5" t="str">
        <f t="shared" si="4"/>
        <v>W:\Performance Measurement\1. Freeway\1. raw data\2013\data files\det_364.txt</v>
      </c>
      <c r="J90" s="5" t="str">
        <f t="shared" si="5"/>
        <v>W:\Performance Measurement\1. Freeway\1. raw data\2013\data files\det_364.xlsx</v>
      </c>
      <c r="K90" s="5"/>
      <c r="M90" s="107" t="s">
        <v>63</v>
      </c>
      <c r="N90" s="10">
        <v>364</v>
      </c>
      <c r="O90" s="10">
        <v>3</v>
      </c>
      <c r="P90" s="10">
        <v>1</v>
      </c>
    </row>
    <row r="91" spans="4:16" x14ac:dyDescent="0.25">
      <c r="D91" s="95">
        <v>87</v>
      </c>
      <c r="E91" s="10">
        <v>367</v>
      </c>
      <c r="F91" s="10">
        <v>3</v>
      </c>
      <c r="G91" s="10">
        <v>1</v>
      </c>
      <c r="H91" s="5" t="str">
        <f t="shared" si="3"/>
        <v>det_367</v>
      </c>
      <c r="I91" s="5" t="str">
        <f t="shared" si="4"/>
        <v>W:\Performance Measurement\1. Freeway\1. raw data\2013\data files\det_367.txt</v>
      </c>
      <c r="J91" s="5" t="str">
        <f t="shared" si="5"/>
        <v>W:\Performance Measurement\1. Freeway\1. raw data\2013\data files\det_367.xlsx</v>
      </c>
      <c r="K91" s="5"/>
      <c r="M91" s="107" t="s">
        <v>63</v>
      </c>
      <c r="N91" s="10">
        <v>367</v>
      </c>
      <c r="O91" s="10">
        <v>3</v>
      </c>
      <c r="P91" s="10">
        <v>1</v>
      </c>
    </row>
    <row r="92" spans="4:16" x14ac:dyDescent="0.25">
      <c r="D92" s="95">
        <v>88</v>
      </c>
      <c r="E92" s="10">
        <v>370</v>
      </c>
      <c r="F92" s="10">
        <v>3</v>
      </c>
      <c r="G92" s="10">
        <v>1</v>
      </c>
      <c r="H92" s="5" t="str">
        <f t="shared" si="3"/>
        <v>det_370</v>
      </c>
      <c r="I92" s="5" t="str">
        <f t="shared" si="4"/>
        <v>W:\Performance Measurement\1. Freeway\1. raw data\2013\data files\det_370.txt</v>
      </c>
      <c r="J92" s="5" t="str">
        <f t="shared" si="5"/>
        <v>W:\Performance Measurement\1. Freeway\1. raw data\2013\data files\det_370.xlsx</v>
      </c>
      <c r="K92" s="5"/>
      <c r="M92" s="107" t="s">
        <v>63</v>
      </c>
      <c r="N92" s="10">
        <v>370</v>
      </c>
      <c r="O92" s="10">
        <v>3</v>
      </c>
      <c r="P92" s="10">
        <v>1</v>
      </c>
    </row>
    <row r="93" spans="4:16" x14ac:dyDescent="0.25">
      <c r="D93" s="95">
        <v>89</v>
      </c>
      <c r="E93" s="10">
        <v>373</v>
      </c>
      <c r="F93" s="10">
        <v>3</v>
      </c>
      <c r="G93" s="10">
        <v>1</v>
      </c>
      <c r="H93" s="5" t="str">
        <f t="shared" si="3"/>
        <v>det_373</v>
      </c>
      <c r="I93" s="5" t="str">
        <f t="shared" si="4"/>
        <v>W:\Performance Measurement\1. Freeway\1. raw data\2013\data files\det_373.txt</v>
      </c>
      <c r="J93" s="5" t="str">
        <f t="shared" si="5"/>
        <v>W:\Performance Measurement\1. Freeway\1. raw data\2013\data files\det_373.xlsx</v>
      </c>
      <c r="K93" s="5"/>
      <c r="M93" s="107" t="s">
        <v>63</v>
      </c>
      <c r="N93" s="10">
        <v>373</v>
      </c>
      <c r="O93" s="10">
        <v>3</v>
      </c>
      <c r="P93" s="10">
        <v>1</v>
      </c>
    </row>
    <row r="94" spans="4:16" x14ac:dyDescent="0.25">
      <c r="D94" s="95">
        <v>90</v>
      </c>
      <c r="E94" s="10">
        <v>376</v>
      </c>
      <c r="F94" s="10">
        <v>3</v>
      </c>
      <c r="G94" s="10">
        <v>1</v>
      </c>
      <c r="H94" s="5" t="str">
        <f t="shared" si="3"/>
        <v>det_376</v>
      </c>
      <c r="I94" s="5" t="str">
        <f t="shared" si="4"/>
        <v>W:\Performance Measurement\1. Freeway\1. raw data\2013\data files\det_376.txt</v>
      </c>
      <c r="J94" s="5" t="str">
        <f t="shared" si="5"/>
        <v>W:\Performance Measurement\1. Freeway\1. raw data\2013\data files\det_376.xlsx</v>
      </c>
      <c r="K94" s="5"/>
      <c r="M94" s="107" t="s">
        <v>63</v>
      </c>
      <c r="N94" s="10">
        <v>376</v>
      </c>
      <c r="O94" s="10">
        <v>3</v>
      </c>
      <c r="P94" s="10">
        <v>1</v>
      </c>
    </row>
    <row r="95" spans="4:16" x14ac:dyDescent="0.25">
      <c r="D95" s="95">
        <v>91</v>
      </c>
      <c r="E95" s="10">
        <v>128</v>
      </c>
      <c r="F95" s="10">
        <v>4</v>
      </c>
      <c r="G95" s="10">
        <v>1</v>
      </c>
      <c r="H95" s="5" t="str">
        <f t="shared" si="3"/>
        <v>det_128</v>
      </c>
      <c r="I95" s="5" t="str">
        <f t="shared" si="4"/>
        <v>W:\Performance Measurement\1. Freeway\1. raw data\2013\data files\det_128.txt</v>
      </c>
      <c r="J95" s="5" t="str">
        <f t="shared" si="5"/>
        <v>W:\Performance Measurement\1. Freeway\1. raw data\2013\data files\det_128.xlsx</v>
      </c>
      <c r="K95" s="5"/>
      <c r="M95" s="107" t="s">
        <v>63</v>
      </c>
      <c r="N95" s="10">
        <v>128</v>
      </c>
      <c r="O95" s="10">
        <v>4</v>
      </c>
      <c r="P95" s="10">
        <v>1</v>
      </c>
    </row>
    <row r="96" spans="4:16" x14ac:dyDescent="0.25">
      <c r="D96" s="95">
        <v>92</v>
      </c>
      <c r="E96" s="10">
        <v>163</v>
      </c>
      <c r="F96" s="10">
        <v>0</v>
      </c>
      <c r="G96" s="10">
        <v>0</v>
      </c>
      <c r="H96" s="5" t="str">
        <f t="shared" si="3"/>
        <v>det_163</v>
      </c>
      <c r="I96" s="5" t="str">
        <f t="shared" si="4"/>
        <v>W:\Performance Measurement\1. Freeway\1. raw data\2013\data files\det_163.txt</v>
      </c>
      <c r="J96" s="5" t="str">
        <f t="shared" si="5"/>
        <v>W:\Performance Measurement\1. Freeway\1. raw data\2013\data files\det_163.xlsx</v>
      </c>
      <c r="K96" s="5"/>
      <c r="M96" s="107" t="s">
        <v>64</v>
      </c>
      <c r="N96" s="10">
        <v>163</v>
      </c>
      <c r="O96" s="10">
        <v>0</v>
      </c>
      <c r="P96" s="10">
        <v>0</v>
      </c>
    </row>
    <row r="97" spans="2:16" x14ac:dyDescent="0.25">
      <c r="D97" s="95">
        <v>93</v>
      </c>
      <c r="E97" s="10">
        <v>203</v>
      </c>
      <c r="F97" s="10">
        <v>4</v>
      </c>
      <c r="G97" s="10">
        <v>1</v>
      </c>
      <c r="H97" s="5" t="str">
        <f t="shared" si="3"/>
        <v>det_203</v>
      </c>
      <c r="I97" s="5" t="str">
        <f t="shared" si="4"/>
        <v>W:\Performance Measurement\1. Freeway\1. raw data\2013\data files\det_203.txt</v>
      </c>
      <c r="J97" s="5" t="str">
        <f t="shared" si="5"/>
        <v>W:\Performance Measurement\1. Freeway\1. raw data\2013\data files\det_203.xlsx</v>
      </c>
      <c r="K97" s="5"/>
      <c r="M97" s="107" t="s">
        <v>64</v>
      </c>
      <c r="N97" s="10">
        <v>203</v>
      </c>
      <c r="O97" s="10">
        <v>4</v>
      </c>
      <c r="P97" s="10">
        <v>1</v>
      </c>
    </row>
    <row r="98" spans="2:16" x14ac:dyDescent="0.25">
      <c r="D98" s="95">
        <v>94</v>
      </c>
      <c r="E98" s="10">
        <v>206</v>
      </c>
      <c r="F98" s="10">
        <v>3</v>
      </c>
      <c r="G98" s="10">
        <v>1</v>
      </c>
      <c r="H98" s="5" t="str">
        <f t="shared" si="3"/>
        <v>det_206</v>
      </c>
      <c r="I98" s="5" t="str">
        <f t="shared" si="4"/>
        <v>W:\Performance Measurement\1. Freeway\1. raw data\2013\data files\det_206.txt</v>
      </c>
      <c r="J98" s="5" t="str">
        <f t="shared" si="5"/>
        <v>W:\Performance Measurement\1. Freeway\1. raw data\2013\data files\det_206.xlsx</v>
      </c>
      <c r="K98" s="5"/>
      <c r="M98" s="107" t="s">
        <v>64</v>
      </c>
      <c r="N98" s="10">
        <v>206</v>
      </c>
      <c r="O98" s="10">
        <v>3</v>
      </c>
      <c r="P98" s="10">
        <v>1</v>
      </c>
    </row>
    <row r="99" spans="2:16" x14ac:dyDescent="0.25">
      <c r="D99" s="95">
        <v>95</v>
      </c>
      <c r="E99" s="10">
        <v>209</v>
      </c>
      <c r="F99" s="10">
        <v>3</v>
      </c>
      <c r="G99" s="10">
        <v>1</v>
      </c>
      <c r="H99" s="5" t="str">
        <f t="shared" si="3"/>
        <v>det_209</v>
      </c>
      <c r="I99" s="5" t="str">
        <f t="shared" si="4"/>
        <v>W:\Performance Measurement\1. Freeway\1. raw data\2013\data files\det_209.txt</v>
      </c>
      <c r="J99" s="5" t="str">
        <f t="shared" si="5"/>
        <v>W:\Performance Measurement\1. Freeway\1. raw data\2013\data files\det_209.xlsx</v>
      </c>
      <c r="K99" s="5"/>
      <c r="M99" s="107" t="s">
        <v>64</v>
      </c>
      <c r="N99" s="10">
        <v>209</v>
      </c>
      <c r="O99" s="10">
        <v>3</v>
      </c>
      <c r="P99" s="10">
        <v>1</v>
      </c>
    </row>
    <row r="100" spans="2:16" x14ac:dyDescent="0.25">
      <c r="D100" s="95">
        <v>96</v>
      </c>
      <c r="E100" s="10">
        <v>212</v>
      </c>
      <c r="F100" s="10">
        <v>4</v>
      </c>
      <c r="G100" s="10">
        <v>1</v>
      </c>
      <c r="H100" s="5" t="str">
        <f t="shared" si="3"/>
        <v>det_212</v>
      </c>
      <c r="I100" s="5" t="str">
        <f t="shared" si="4"/>
        <v>W:\Performance Measurement\1. Freeway\1. raw data\2013\data files\det_212.txt</v>
      </c>
      <c r="J100" s="5" t="str">
        <f t="shared" si="5"/>
        <v>W:\Performance Measurement\1. Freeway\1. raw data\2013\data files\det_212.xlsx</v>
      </c>
      <c r="K100" s="5"/>
      <c r="M100" s="107" t="s">
        <v>64</v>
      </c>
      <c r="N100" s="10">
        <v>212</v>
      </c>
      <c r="O100" s="10">
        <v>4</v>
      </c>
      <c r="P100" s="10">
        <v>1</v>
      </c>
    </row>
    <row r="101" spans="2:16" x14ac:dyDescent="0.25">
      <c r="D101" s="95">
        <v>97</v>
      </c>
      <c r="E101" s="10">
        <v>214</v>
      </c>
      <c r="F101" s="10">
        <v>3</v>
      </c>
      <c r="G101" s="10">
        <v>1</v>
      </c>
      <c r="H101" s="5" t="str">
        <f t="shared" si="3"/>
        <v>det_214</v>
      </c>
      <c r="I101" s="5" t="str">
        <f t="shared" si="4"/>
        <v>W:\Performance Measurement\1. Freeway\1. raw data\2013\data files\det_214.txt</v>
      </c>
      <c r="J101" s="5" t="str">
        <f t="shared" si="5"/>
        <v>W:\Performance Measurement\1. Freeway\1. raw data\2013\data files\det_214.xlsx</v>
      </c>
      <c r="K101" s="5"/>
      <c r="M101" s="107" t="s">
        <v>64</v>
      </c>
      <c r="N101" s="10">
        <v>214</v>
      </c>
      <c r="O101" s="10">
        <v>3</v>
      </c>
      <c r="P101" s="10">
        <v>1</v>
      </c>
    </row>
    <row r="102" spans="2:16" x14ac:dyDescent="0.25">
      <c r="D102" s="95">
        <v>98</v>
      </c>
      <c r="E102" s="10">
        <v>201</v>
      </c>
      <c r="F102" s="10">
        <v>3</v>
      </c>
      <c r="G102" s="10">
        <v>1</v>
      </c>
      <c r="H102" s="5" t="str">
        <f t="shared" si="3"/>
        <v>det_201</v>
      </c>
      <c r="I102" s="5" t="str">
        <f t="shared" si="4"/>
        <v>W:\Performance Measurement\1. Freeway\1. raw data\2013\data files\det_201.txt</v>
      </c>
      <c r="J102" s="5" t="str">
        <f t="shared" si="5"/>
        <v>W:\Performance Measurement\1. Freeway\1. raw data\2013\data files\det_201.xlsx</v>
      </c>
      <c r="K102" s="5"/>
      <c r="M102" s="107" t="s">
        <v>64</v>
      </c>
      <c r="N102" s="10">
        <v>201</v>
      </c>
      <c r="O102" s="10">
        <v>3</v>
      </c>
      <c r="P102" s="10">
        <v>1</v>
      </c>
    </row>
    <row r="103" spans="2:16" x14ac:dyDescent="0.25">
      <c r="D103" s="95">
        <v>99</v>
      </c>
      <c r="E103" s="10">
        <v>198</v>
      </c>
      <c r="F103" s="10">
        <v>3</v>
      </c>
      <c r="G103" s="10">
        <v>1</v>
      </c>
      <c r="H103" s="5" t="str">
        <f t="shared" si="3"/>
        <v>det_198</v>
      </c>
      <c r="I103" s="5" t="str">
        <f t="shared" si="4"/>
        <v>W:\Performance Measurement\1. Freeway\1. raw data\2013\data files\det_198.txt</v>
      </c>
      <c r="J103" s="5" t="str">
        <f t="shared" si="5"/>
        <v>W:\Performance Measurement\1. Freeway\1. raw data\2013\data files\det_198.xlsx</v>
      </c>
      <c r="K103" s="5"/>
      <c r="M103" s="107" t="s">
        <v>64</v>
      </c>
      <c r="N103" s="10">
        <v>198</v>
      </c>
      <c r="O103" s="10">
        <v>3</v>
      </c>
      <c r="P103" s="10">
        <v>1</v>
      </c>
    </row>
    <row r="104" spans="2:16" x14ac:dyDescent="0.25">
      <c r="D104" s="95">
        <v>100</v>
      </c>
      <c r="E104" s="10">
        <v>195</v>
      </c>
      <c r="F104" s="10">
        <v>3</v>
      </c>
      <c r="G104" s="10">
        <v>1</v>
      </c>
      <c r="H104" s="5" t="str">
        <f t="shared" si="3"/>
        <v>det_195</v>
      </c>
      <c r="I104" s="5" t="str">
        <f t="shared" si="4"/>
        <v>W:\Performance Measurement\1. Freeway\1. raw data\2013\data files\det_195.txt</v>
      </c>
      <c r="J104" s="5" t="str">
        <f t="shared" si="5"/>
        <v>W:\Performance Measurement\1. Freeway\1. raw data\2013\data files\det_195.xlsx</v>
      </c>
      <c r="K104" s="5"/>
      <c r="M104" s="107" t="s">
        <v>64</v>
      </c>
      <c r="N104" s="10">
        <v>195</v>
      </c>
      <c r="O104" s="10">
        <v>3</v>
      </c>
      <c r="P104" s="10">
        <v>1</v>
      </c>
    </row>
    <row r="105" spans="2:16" x14ac:dyDescent="0.25">
      <c r="D105" s="95">
        <v>101</v>
      </c>
      <c r="E105" s="10">
        <v>193</v>
      </c>
      <c r="F105" s="10">
        <v>3</v>
      </c>
      <c r="G105" s="10">
        <v>1</v>
      </c>
      <c r="H105" s="5" t="str">
        <f t="shared" si="3"/>
        <v>det_193</v>
      </c>
      <c r="I105" s="5" t="str">
        <f t="shared" si="4"/>
        <v>W:\Performance Measurement\1. Freeway\1. raw data\2013\data files\det_193.txt</v>
      </c>
      <c r="J105" s="5" t="str">
        <f t="shared" si="5"/>
        <v>W:\Performance Measurement\1. Freeway\1. raw data\2013\data files\det_193.xlsx</v>
      </c>
      <c r="K105" s="5"/>
      <c r="M105" s="107" t="s">
        <v>64</v>
      </c>
      <c r="N105" s="10">
        <v>193</v>
      </c>
      <c r="O105" s="10">
        <v>3</v>
      </c>
      <c r="P105" s="10">
        <v>1</v>
      </c>
    </row>
    <row r="106" spans="2:16" x14ac:dyDescent="0.25">
      <c r="D106" s="95">
        <v>102</v>
      </c>
      <c r="E106" s="10">
        <v>190</v>
      </c>
      <c r="F106" s="10">
        <v>3</v>
      </c>
      <c r="G106" s="10">
        <v>1</v>
      </c>
      <c r="H106" s="5" t="str">
        <f t="shared" si="3"/>
        <v>det_190</v>
      </c>
      <c r="I106" s="5" t="str">
        <f t="shared" si="4"/>
        <v>W:\Performance Measurement\1. Freeway\1. raw data\2013\data files\det_190.txt</v>
      </c>
      <c r="J106" s="5" t="str">
        <f t="shared" si="5"/>
        <v>W:\Performance Measurement\1. Freeway\1. raw data\2013\data files\det_190.xlsx</v>
      </c>
      <c r="K106" s="5"/>
      <c r="M106" s="107" t="s">
        <v>64</v>
      </c>
      <c r="N106" s="10">
        <v>190</v>
      </c>
      <c r="O106" s="10">
        <v>3</v>
      </c>
      <c r="P106" s="10">
        <v>1</v>
      </c>
    </row>
    <row r="107" spans="2:16" x14ac:dyDescent="0.25">
      <c r="D107" s="95">
        <v>103</v>
      </c>
      <c r="E107" s="10">
        <v>130</v>
      </c>
      <c r="F107" s="10">
        <v>2</v>
      </c>
      <c r="G107" s="10">
        <v>1</v>
      </c>
      <c r="H107" s="5" t="str">
        <f t="shared" si="3"/>
        <v>det_130</v>
      </c>
      <c r="I107" s="5" t="str">
        <f t="shared" si="4"/>
        <v>W:\Performance Measurement\1. Freeway\1. raw data\2013\data files\det_130.txt</v>
      </c>
      <c r="J107" s="5" t="str">
        <f t="shared" si="5"/>
        <v>W:\Performance Measurement\1. Freeway\1. raw data\2013\data files\det_130.xlsx</v>
      </c>
      <c r="K107" s="5"/>
      <c r="M107" s="107" t="s">
        <v>64</v>
      </c>
      <c r="N107" s="10">
        <v>130</v>
      </c>
      <c r="O107" s="10">
        <v>2</v>
      </c>
      <c r="P107" s="10">
        <v>1</v>
      </c>
    </row>
    <row r="108" spans="2:16" x14ac:dyDescent="0.25">
      <c r="D108" s="95">
        <v>104</v>
      </c>
      <c r="E108" s="10">
        <v>313</v>
      </c>
      <c r="F108" s="10">
        <v>3</v>
      </c>
      <c r="G108" s="10">
        <v>1</v>
      </c>
      <c r="H108" s="5" t="str">
        <f t="shared" si="3"/>
        <v>det_313</v>
      </c>
      <c r="I108" s="5" t="str">
        <f t="shared" si="4"/>
        <v>W:\Performance Measurement\1. Freeway\1. raw data\2013\data files\det_313.txt</v>
      </c>
      <c r="J108" s="5" t="str">
        <f t="shared" si="5"/>
        <v>W:\Performance Measurement\1. Freeway\1. raw data\2013\data files\det_313.xlsx</v>
      </c>
      <c r="K108" s="5"/>
      <c r="M108" s="107" t="s">
        <v>65</v>
      </c>
      <c r="N108" s="10">
        <v>313</v>
      </c>
      <c r="O108" s="10">
        <v>3</v>
      </c>
      <c r="P108" s="10">
        <v>1</v>
      </c>
    </row>
    <row r="109" spans="2:16" x14ac:dyDescent="0.25">
      <c r="D109" s="95">
        <v>105</v>
      </c>
      <c r="E109" s="10">
        <v>316</v>
      </c>
      <c r="F109" s="10">
        <v>4</v>
      </c>
      <c r="G109" s="10">
        <v>1</v>
      </c>
      <c r="H109" s="5" t="str">
        <f t="shared" si="3"/>
        <v>det_316</v>
      </c>
      <c r="I109" s="5" t="str">
        <f t="shared" si="4"/>
        <v>W:\Performance Measurement\1. Freeway\1. raw data\2013\data files\det_316.txt</v>
      </c>
      <c r="J109" s="5" t="str">
        <f t="shared" si="5"/>
        <v>W:\Performance Measurement\1. Freeway\1. raw data\2013\data files\det_316.xlsx</v>
      </c>
      <c r="K109" s="5"/>
      <c r="M109" s="107" t="s">
        <v>65</v>
      </c>
      <c r="N109" s="10">
        <v>316</v>
      </c>
      <c r="O109" s="10">
        <v>4</v>
      </c>
      <c r="P109" s="10">
        <v>1</v>
      </c>
    </row>
    <row r="110" spans="2:16" x14ac:dyDescent="0.25">
      <c r="D110" s="95">
        <v>106</v>
      </c>
      <c r="E110" s="10">
        <v>318</v>
      </c>
      <c r="F110" s="10">
        <v>4</v>
      </c>
      <c r="G110" s="10">
        <v>1</v>
      </c>
      <c r="H110" s="5" t="str">
        <f t="shared" si="3"/>
        <v>det_318</v>
      </c>
      <c r="I110" s="5" t="str">
        <f t="shared" si="4"/>
        <v>W:\Performance Measurement\1. Freeway\1. raw data\2013\data files\det_318.txt</v>
      </c>
      <c r="J110" s="5" t="str">
        <f t="shared" si="5"/>
        <v>W:\Performance Measurement\1. Freeway\1. raw data\2013\data files\det_318.xlsx</v>
      </c>
      <c r="K110" s="5"/>
      <c r="M110" s="107" t="s">
        <v>65</v>
      </c>
      <c r="N110" s="10">
        <v>318</v>
      </c>
      <c r="O110" s="10">
        <v>4</v>
      </c>
      <c r="P110" s="10">
        <v>1</v>
      </c>
    </row>
    <row r="111" spans="2:16" x14ac:dyDescent="0.25">
      <c r="D111" s="95">
        <v>107</v>
      </c>
      <c r="E111" s="10">
        <v>321</v>
      </c>
      <c r="F111" s="10">
        <v>5</v>
      </c>
      <c r="G111" s="10">
        <v>1</v>
      </c>
      <c r="H111" s="5" t="str">
        <f t="shared" si="3"/>
        <v>det_321</v>
      </c>
      <c r="I111" s="5" t="str">
        <f t="shared" si="4"/>
        <v>W:\Performance Measurement\1. Freeway\1. raw data\2013\data files\det_321.txt</v>
      </c>
      <c r="J111" s="5" t="str">
        <f t="shared" si="5"/>
        <v>W:\Performance Measurement\1. Freeway\1. raw data\2013\data files\det_321.xlsx</v>
      </c>
      <c r="K111" s="5"/>
      <c r="M111" s="107" t="s">
        <v>65</v>
      </c>
      <c r="N111" s="10">
        <v>321</v>
      </c>
      <c r="O111" s="10">
        <v>5</v>
      </c>
      <c r="P111" s="10">
        <v>1</v>
      </c>
    </row>
    <row r="112" spans="2:16" x14ac:dyDescent="0.25">
      <c r="B112" s="95">
        <v>59</v>
      </c>
      <c r="C112" s="95" t="s">
        <v>276</v>
      </c>
      <c r="D112" s="95">
        <v>108</v>
      </c>
      <c r="E112" s="10">
        <v>323</v>
      </c>
      <c r="F112" s="10">
        <v>4</v>
      </c>
      <c r="G112" s="10">
        <v>1</v>
      </c>
      <c r="H112" s="5" t="str">
        <f t="shared" si="3"/>
        <v>det_323</v>
      </c>
      <c r="I112" s="5" t="str">
        <f t="shared" si="4"/>
        <v>W:\Performance Measurement\1. Freeway\1. raw data\2013\data files\det_323.txt</v>
      </c>
      <c r="J112" s="5" t="str">
        <f t="shared" si="5"/>
        <v>W:\Performance Measurement\1. Freeway\1. raw data\2013\data files\det_323.xlsx</v>
      </c>
      <c r="K112" s="5"/>
      <c r="M112" s="107" t="s">
        <v>65</v>
      </c>
      <c r="N112" s="10">
        <v>323</v>
      </c>
      <c r="O112" s="10">
        <v>4</v>
      </c>
      <c r="P112" s="10">
        <v>1</v>
      </c>
    </row>
    <row r="113" spans="4:16" x14ac:dyDescent="0.25">
      <c r="D113" s="95">
        <v>109</v>
      </c>
      <c r="E113" s="10">
        <v>325</v>
      </c>
      <c r="F113" s="10">
        <v>3</v>
      </c>
      <c r="G113" s="10">
        <v>1</v>
      </c>
      <c r="H113" s="5" t="str">
        <f t="shared" si="3"/>
        <v>det_325</v>
      </c>
      <c r="I113" s="5" t="str">
        <f t="shared" si="4"/>
        <v>W:\Performance Measurement\1. Freeway\1. raw data\2013\data files\det_325.txt</v>
      </c>
      <c r="J113" s="5" t="str">
        <f t="shared" si="5"/>
        <v>W:\Performance Measurement\1. Freeway\1. raw data\2013\data files\det_325.xlsx</v>
      </c>
      <c r="K113" s="5"/>
      <c r="M113" s="107" t="s">
        <v>65</v>
      </c>
      <c r="N113" s="10">
        <v>325</v>
      </c>
      <c r="O113" s="10">
        <v>3</v>
      </c>
      <c r="P113" s="10">
        <v>1</v>
      </c>
    </row>
    <row r="114" spans="4:16" x14ac:dyDescent="0.25">
      <c r="D114" s="95">
        <v>110</v>
      </c>
      <c r="E114" s="10">
        <v>328</v>
      </c>
      <c r="F114" s="10">
        <v>3</v>
      </c>
      <c r="G114" s="10">
        <v>1</v>
      </c>
      <c r="H114" s="5" t="str">
        <f t="shared" si="3"/>
        <v>det_328</v>
      </c>
      <c r="I114" s="5" t="str">
        <f t="shared" si="4"/>
        <v>W:\Performance Measurement\1. Freeway\1. raw data\2013\data files\det_328.txt</v>
      </c>
      <c r="J114" s="5" t="str">
        <f t="shared" si="5"/>
        <v>W:\Performance Measurement\1. Freeway\1. raw data\2013\data files\det_328.xlsx</v>
      </c>
      <c r="K114" s="5"/>
      <c r="M114" s="107" t="s">
        <v>65</v>
      </c>
      <c r="N114" s="10">
        <v>328</v>
      </c>
      <c r="O114" s="10">
        <v>3</v>
      </c>
      <c r="P114" s="10">
        <v>1</v>
      </c>
    </row>
    <row r="115" spans="4:16" x14ac:dyDescent="0.25">
      <c r="D115" s="95">
        <v>111</v>
      </c>
      <c r="E115" s="10">
        <v>331</v>
      </c>
      <c r="F115" s="10">
        <v>3</v>
      </c>
      <c r="G115" s="10">
        <v>1</v>
      </c>
      <c r="H115" s="5" t="str">
        <f t="shared" si="3"/>
        <v>det_331</v>
      </c>
      <c r="I115" s="5" t="str">
        <f t="shared" si="4"/>
        <v>W:\Performance Measurement\1. Freeway\1. raw data\2013\data files\det_331.txt</v>
      </c>
      <c r="J115" s="5" t="str">
        <f t="shared" si="5"/>
        <v>W:\Performance Measurement\1. Freeway\1. raw data\2013\data files\det_331.xlsx</v>
      </c>
      <c r="K115" s="5"/>
      <c r="M115" s="107" t="s">
        <v>65</v>
      </c>
      <c r="N115" s="10">
        <v>331</v>
      </c>
      <c r="O115" s="10">
        <v>3</v>
      </c>
      <c r="P115" s="10">
        <v>1</v>
      </c>
    </row>
    <row r="116" spans="4:16" x14ac:dyDescent="0.25">
      <c r="D116" s="95">
        <v>112</v>
      </c>
      <c r="E116" s="10">
        <v>334</v>
      </c>
      <c r="F116" s="10">
        <v>3</v>
      </c>
      <c r="G116" s="10">
        <v>1</v>
      </c>
      <c r="H116" s="5" t="str">
        <f t="shared" si="3"/>
        <v>det_334</v>
      </c>
      <c r="I116" s="5" t="str">
        <f t="shared" si="4"/>
        <v>W:\Performance Measurement\1. Freeway\1. raw data\2013\data files\det_334.txt</v>
      </c>
      <c r="J116" s="5" t="str">
        <f t="shared" si="5"/>
        <v>W:\Performance Measurement\1. Freeway\1. raw data\2013\data files\det_334.xlsx</v>
      </c>
      <c r="K116" s="5"/>
      <c r="M116" s="107" t="s">
        <v>65</v>
      </c>
      <c r="N116" s="10">
        <v>334</v>
      </c>
      <c r="O116" s="10">
        <v>3</v>
      </c>
      <c r="P116" s="10">
        <v>1</v>
      </c>
    </row>
    <row r="117" spans="4:16" x14ac:dyDescent="0.25">
      <c r="D117" s="95">
        <v>113</v>
      </c>
      <c r="E117" s="42">
        <v>336</v>
      </c>
      <c r="F117" s="42">
        <v>3</v>
      </c>
      <c r="G117" s="42">
        <v>1</v>
      </c>
      <c r="H117" s="5" t="str">
        <f t="shared" si="3"/>
        <v>det_336</v>
      </c>
      <c r="I117" s="5" t="str">
        <f t="shared" si="4"/>
        <v>W:\Performance Measurement\1. Freeway\1. raw data\2013\data files\det_336.txt</v>
      </c>
      <c r="J117" s="5" t="str">
        <f t="shared" si="5"/>
        <v>W:\Performance Measurement\1. Freeway\1. raw data\2013\data files\det_336.xlsx</v>
      </c>
      <c r="K117" s="5"/>
      <c r="M117" s="104" t="s">
        <v>65</v>
      </c>
      <c r="N117" s="42">
        <v>336</v>
      </c>
      <c r="O117" s="42">
        <v>3</v>
      </c>
      <c r="P117" s="42">
        <v>1</v>
      </c>
    </row>
    <row r="118" spans="4:16" x14ac:dyDescent="0.25">
      <c r="D118" s="95">
        <v>114</v>
      </c>
      <c r="E118" s="42">
        <v>312</v>
      </c>
      <c r="F118" s="42">
        <v>3</v>
      </c>
      <c r="G118" s="42">
        <v>1</v>
      </c>
      <c r="H118" s="5" t="str">
        <f t="shared" si="3"/>
        <v>det_312</v>
      </c>
      <c r="I118" s="5" t="str">
        <f t="shared" si="4"/>
        <v>W:\Performance Measurement\1. Freeway\1. raw data\2013\data files\det_312.txt</v>
      </c>
      <c r="J118" s="5" t="str">
        <f t="shared" si="5"/>
        <v>W:\Performance Measurement\1. Freeway\1. raw data\2013\data files\det_312.xlsx</v>
      </c>
      <c r="K118" s="5"/>
      <c r="M118" s="104" t="s">
        <v>65</v>
      </c>
      <c r="N118" s="42">
        <v>312</v>
      </c>
      <c r="O118" s="42">
        <v>3</v>
      </c>
      <c r="P118" s="42">
        <v>1</v>
      </c>
    </row>
    <row r="119" spans="4:16" x14ac:dyDescent="0.25">
      <c r="D119" s="95">
        <v>115</v>
      </c>
      <c r="E119" s="10">
        <v>309</v>
      </c>
      <c r="F119" s="10">
        <v>3</v>
      </c>
      <c r="G119" s="10">
        <v>1</v>
      </c>
      <c r="H119" s="5" t="str">
        <f t="shared" si="3"/>
        <v>det_309</v>
      </c>
      <c r="I119" s="5" t="str">
        <f t="shared" si="4"/>
        <v>W:\Performance Measurement\1. Freeway\1. raw data\2013\data files\det_309.txt</v>
      </c>
      <c r="J119" s="5" t="str">
        <f t="shared" si="5"/>
        <v>W:\Performance Measurement\1. Freeway\1. raw data\2013\data files\det_309.xlsx</v>
      </c>
      <c r="K119" s="5"/>
      <c r="M119" s="107" t="s">
        <v>65</v>
      </c>
      <c r="N119" s="10">
        <v>309</v>
      </c>
      <c r="O119" s="10">
        <v>3</v>
      </c>
      <c r="P119" s="10">
        <v>1</v>
      </c>
    </row>
    <row r="120" spans="4:16" x14ac:dyDescent="0.25">
      <c r="D120" s="95">
        <v>116</v>
      </c>
      <c r="E120" s="10">
        <v>306</v>
      </c>
      <c r="F120" s="10">
        <v>3</v>
      </c>
      <c r="G120" s="10">
        <v>1</v>
      </c>
      <c r="H120" s="5" t="str">
        <f t="shared" si="3"/>
        <v>det_306</v>
      </c>
      <c r="I120" s="5" t="str">
        <f t="shared" si="4"/>
        <v>W:\Performance Measurement\1. Freeway\1. raw data\2013\data files\det_306.txt</v>
      </c>
      <c r="J120" s="5" t="str">
        <f t="shared" si="5"/>
        <v>W:\Performance Measurement\1. Freeway\1. raw data\2013\data files\det_306.xlsx</v>
      </c>
      <c r="K120" s="5"/>
      <c r="M120" s="107" t="s">
        <v>65</v>
      </c>
      <c r="N120" s="10">
        <v>306</v>
      </c>
      <c r="O120" s="10">
        <v>3</v>
      </c>
      <c r="P120" s="10">
        <v>1</v>
      </c>
    </row>
    <row r="121" spans="4:16" x14ac:dyDescent="0.25">
      <c r="D121" s="95">
        <v>117</v>
      </c>
      <c r="E121" s="10">
        <v>303</v>
      </c>
      <c r="F121" s="10">
        <v>3</v>
      </c>
      <c r="G121" s="10">
        <v>1</v>
      </c>
      <c r="H121" s="5" t="str">
        <f t="shared" si="3"/>
        <v>det_303</v>
      </c>
      <c r="I121" s="5" t="str">
        <f t="shared" si="4"/>
        <v>W:\Performance Measurement\1. Freeway\1. raw data\2013\data files\det_303.txt</v>
      </c>
      <c r="J121" s="5" t="str">
        <f t="shared" si="5"/>
        <v>W:\Performance Measurement\1. Freeway\1. raw data\2013\data files\det_303.xlsx</v>
      </c>
      <c r="K121" s="5"/>
      <c r="M121" s="107" t="s">
        <v>65</v>
      </c>
      <c r="N121" s="10">
        <v>303</v>
      </c>
      <c r="O121" s="10">
        <v>3</v>
      </c>
      <c r="P121" s="10">
        <v>1</v>
      </c>
    </row>
    <row r="122" spans="4:16" x14ac:dyDescent="0.25">
      <c r="D122" s="95">
        <v>118</v>
      </c>
      <c r="E122" s="10">
        <v>300</v>
      </c>
      <c r="F122" s="10">
        <v>3</v>
      </c>
      <c r="G122" s="10">
        <v>1</v>
      </c>
      <c r="H122" s="5" t="str">
        <f t="shared" si="3"/>
        <v>det_300</v>
      </c>
      <c r="I122" s="5" t="str">
        <f t="shared" si="4"/>
        <v>W:\Performance Measurement\1. Freeway\1. raw data\2013\data files\det_300.txt</v>
      </c>
      <c r="J122" s="5" t="str">
        <f t="shared" si="5"/>
        <v>W:\Performance Measurement\1. Freeway\1. raw data\2013\data files\det_300.xlsx</v>
      </c>
      <c r="K122" s="5"/>
      <c r="M122" s="107" t="s">
        <v>65</v>
      </c>
      <c r="N122" s="10">
        <v>300</v>
      </c>
      <c r="O122" s="10">
        <v>3</v>
      </c>
      <c r="P122" s="10">
        <v>1</v>
      </c>
    </row>
    <row r="123" spans="4:16" x14ac:dyDescent="0.25">
      <c r="D123" s="95">
        <v>119</v>
      </c>
      <c r="E123" s="10">
        <v>299</v>
      </c>
      <c r="F123" s="10">
        <v>4</v>
      </c>
      <c r="G123" s="10">
        <v>1</v>
      </c>
      <c r="H123" s="5" t="str">
        <f t="shared" si="3"/>
        <v>det_299</v>
      </c>
      <c r="I123" s="5" t="str">
        <f t="shared" si="4"/>
        <v>W:\Performance Measurement\1. Freeway\1. raw data\2013\data files\det_299.txt</v>
      </c>
      <c r="J123" s="5" t="str">
        <f t="shared" si="5"/>
        <v>W:\Performance Measurement\1. Freeway\1. raw data\2013\data files\det_299.xlsx</v>
      </c>
      <c r="K123" s="5"/>
      <c r="M123" s="107" t="s">
        <v>65</v>
      </c>
      <c r="N123" s="10">
        <v>299</v>
      </c>
      <c r="O123" s="10">
        <v>4</v>
      </c>
      <c r="P123" s="10">
        <v>1</v>
      </c>
    </row>
    <row r="124" spans="4:16" x14ac:dyDescent="0.25">
      <c r="D124" s="95">
        <v>120</v>
      </c>
      <c r="E124" s="10">
        <v>297</v>
      </c>
      <c r="F124" s="10">
        <v>5</v>
      </c>
      <c r="G124" s="10">
        <v>1</v>
      </c>
      <c r="H124" s="5" t="str">
        <f t="shared" si="3"/>
        <v>det_297</v>
      </c>
      <c r="I124" s="5" t="str">
        <f t="shared" si="4"/>
        <v>W:\Performance Measurement\1. Freeway\1. raw data\2013\data files\det_297.txt</v>
      </c>
      <c r="J124" s="5" t="str">
        <f t="shared" si="5"/>
        <v>W:\Performance Measurement\1. Freeway\1. raw data\2013\data files\det_297.xlsx</v>
      </c>
      <c r="K124" s="5"/>
      <c r="M124" s="107" t="s">
        <v>65</v>
      </c>
      <c r="N124" s="10">
        <v>297</v>
      </c>
      <c r="O124" s="10">
        <v>5</v>
      </c>
      <c r="P124" s="10">
        <v>1</v>
      </c>
    </row>
    <row r="125" spans="4:16" x14ac:dyDescent="0.25">
      <c r="D125" s="95">
        <v>121</v>
      </c>
      <c r="E125" s="10">
        <v>294</v>
      </c>
      <c r="F125" s="10">
        <v>4</v>
      </c>
      <c r="G125" s="10">
        <v>1</v>
      </c>
      <c r="H125" s="5" t="str">
        <f t="shared" si="3"/>
        <v>det_294</v>
      </c>
      <c r="I125" s="5" t="str">
        <f t="shared" si="4"/>
        <v>W:\Performance Measurement\1. Freeway\1. raw data\2013\data files\det_294.txt</v>
      </c>
      <c r="J125" s="5" t="str">
        <f t="shared" si="5"/>
        <v>W:\Performance Measurement\1. Freeway\1. raw data\2013\data files\det_294.xlsx</v>
      </c>
      <c r="K125" s="5"/>
      <c r="M125" s="107" t="s">
        <v>65</v>
      </c>
      <c r="N125" s="10">
        <v>294</v>
      </c>
      <c r="O125" s="10">
        <v>4</v>
      </c>
      <c r="P125" s="10">
        <v>1</v>
      </c>
    </row>
    <row r="126" spans="4:16" x14ac:dyDescent="0.25">
      <c r="D126" s="95">
        <v>122</v>
      </c>
      <c r="E126" s="10">
        <v>292</v>
      </c>
      <c r="F126" s="10">
        <v>4</v>
      </c>
      <c r="G126" s="10">
        <v>1</v>
      </c>
      <c r="H126" s="5" t="str">
        <f t="shared" si="3"/>
        <v>det_292</v>
      </c>
      <c r="I126" s="5" t="str">
        <f t="shared" si="4"/>
        <v>W:\Performance Measurement\1. Freeway\1. raw data\2013\data files\det_292.txt</v>
      </c>
      <c r="J126" s="5" t="str">
        <f t="shared" si="5"/>
        <v>W:\Performance Measurement\1. Freeway\1. raw data\2013\data files\det_292.xlsx</v>
      </c>
      <c r="K126" s="5"/>
      <c r="M126" s="107" t="s">
        <v>65</v>
      </c>
      <c r="N126" s="10">
        <v>292</v>
      </c>
      <c r="O126" s="10">
        <v>4</v>
      </c>
      <c r="P126" s="10">
        <v>1</v>
      </c>
    </row>
    <row r="127" spans="4:16" x14ac:dyDescent="0.25">
      <c r="D127" s="95">
        <v>123</v>
      </c>
      <c r="E127" s="10">
        <v>229</v>
      </c>
      <c r="F127" s="10">
        <v>2</v>
      </c>
      <c r="G127" s="10">
        <v>1</v>
      </c>
      <c r="H127" s="5" t="str">
        <f t="shared" si="3"/>
        <v>det_229</v>
      </c>
      <c r="I127" s="5" t="str">
        <f t="shared" si="4"/>
        <v>W:\Performance Measurement\1. Freeway\1. raw data\2013\data files\det_229.txt</v>
      </c>
      <c r="J127" s="5" t="str">
        <f t="shared" si="5"/>
        <v>W:\Performance Measurement\1. Freeway\1. raw data\2013\data files\det_229.xlsx</v>
      </c>
      <c r="K127" s="5"/>
      <c r="M127" s="107" t="s">
        <v>66</v>
      </c>
      <c r="N127" s="10">
        <v>229</v>
      </c>
      <c r="O127" s="10">
        <v>2</v>
      </c>
      <c r="P127" s="10">
        <v>1</v>
      </c>
    </row>
    <row r="128" spans="4:16" x14ac:dyDescent="0.25">
      <c r="D128" s="95">
        <v>124</v>
      </c>
      <c r="E128" s="42">
        <v>230</v>
      </c>
      <c r="F128" s="42">
        <v>3</v>
      </c>
      <c r="G128" s="42">
        <v>1</v>
      </c>
      <c r="H128" s="5" t="str">
        <f t="shared" si="3"/>
        <v>det_230</v>
      </c>
      <c r="I128" s="5" t="str">
        <f t="shared" si="4"/>
        <v>W:\Performance Measurement\1. Freeway\1. raw data\2013\data files\det_230.txt</v>
      </c>
      <c r="J128" s="5" t="str">
        <f t="shared" si="5"/>
        <v>W:\Performance Measurement\1. Freeway\1. raw data\2013\data files\det_230.xlsx</v>
      </c>
      <c r="K128" s="5"/>
      <c r="M128" s="104" t="s">
        <v>66</v>
      </c>
      <c r="N128" s="42">
        <v>230</v>
      </c>
      <c r="O128" s="42">
        <v>3</v>
      </c>
      <c r="P128" s="42">
        <v>1</v>
      </c>
    </row>
    <row r="129" spans="4:16" x14ac:dyDescent="0.25">
      <c r="D129" s="95">
        <v>125</v>
      </c>
      <c r="E129" s="42">
        <v>233</v>
      </c>
      <c r="F129" s="42">
        <v>3</v>
      </c>
      <c r="G129" s="42">
        <v>1</v>
      </c>
      <c r="H129" s="5" t="str">
        <f t="shared" si="3"/>
        <v>det_233</v>
      </c>
      <c r="I129" s="5" t="str">
        <f t="shared" si="4"/>
        <v>W:\Performance Measurement\1. Freeway\1. raw data\2013\data files\det_233.txt</v>
      </c>
      <c r="J129" s="5" t="str">
        <f t="shared" si="5"/>
        <v>W:\Performance Measurement\1. Freeway\1. raw data\2013\data files\det_233.xlsx</v>
      </c>
      <c r="K129" s="5"/>
      <c r="M129" s="104" t="s">
        <v>66</v>
      </c>
      <c r="N129" s="42">
        <v>233</v>
      </c>
      <c r="O129" s="42">
        <v>3</v>
      </c>
      <c r="P129" s="42">
        <v>1</v>
      </c>
    </row>
    <row r="130" spans="4:16" x14ac:dyDescent="0.25">
      <c r="D130" s="95">
        <v>126</v>
      </c>
      <c r="E130" s="10">
        <v>235</v>
      </c>
      <c r="F130" s="10">
        <v>5</v>
      </c>
      <c r="G130" s="10">
        <v>1</v>
      </c>
      <c r="H130" s="5" t="str">
        <f t="shared" si="3"/>
        <v>det_235</v>
      </c>
      <c r="I130" s="5" t="str">
        <f t="shared" si="4"/>
        <v>W:\Performance Measurement\1. Freeway\1. raw data\2013\data files\det_235.txt</v>
      </c>
      <c r="J130" s="5" t="str">
        <f t="shared" si="5"/>
        <v>W:\Performance Measurement\1. Freeway\1. raw data\2013\data files\det_235.xlsx</v>
      </c>
      <c r="K130" s="5"/>
      <c r="M130" s="107" t="s">
        <v>66</v>
      </c>
      <c r="N130" s="10">
        <v>235</v>
      </c>
      <c r="O130" s="10">
        <v>5</v>
      </c>
      <c r="P130" s="10">
        <v>1</v>
      </c>
    </row>
    <row r="131" spans="4:16" x14ac:dyDescent="0.25">
      <c r="D131" s="95">
        <v>127</v>
      </c>
      <c r="E131" s="42">
        <v>237</v>
      </c>
      <c r="F131" s="42">
        <v>3</v>
      </c>
      <c r="G131" s="42">
        <v>1</v>
      </c>
      <c r="H131" s="5" t="str">
        <f t="shared" si="3"/>
        <v>det_237</v>
      </c>
      <c r="I131" s="5" t="str">
        <f t="shared" si="4"/>
        <v>W:\Performance Measurement\1. Freeway\1. raw data\2013\data files\det_237.txt</v>
      </c>
      <c r="J131" s="5" t="str">
        <f t="shared" si="5"/>
        <v>W:\Performance Measurement\1. Freeway\1. raw data\2013\data files\det_237.xlsx</v>
      </c>
      <c r="K131" s="5"/>
      <c r="M131" s="104" t="s">
        <v>66</v>
      </c>
      <c r="N131" s="42">
        <v>237</v>
      </c>
      <c r="O131" s="42">
        <v>3</v>
      </c>
      <c r="P131" s="42">
        <v>1</v>
      </c>
    </row>
    <row r="132" spans="4:16" x14ac:dyDescent="0.25">
      <c r="D132" s="95">
        <v>128</v>
      </c>
      <c r="E132" s="10">
        <v>239</v>
      </c>
      <c r="F132" s="10">
        <v>4</v>
      </c>
      <c r="G132" s="10">
        <v>1</v>
      </c>
      <c r="H132" s="5" t="str">
        <f t="shared" si="3"/>
        <v>det_239</v>
      </c>
      <c r="I132" s="5" t="str">
        <f t="shared" si="4"/>
        <v>W:\Performance Measurement\1. Freeway\1. raw data\2013\data files\det_239.txt</v>
      </c>
      <c r="J132" s="5" t="str">
        <f t="shared" si="5"/>
        <v>W:\Performance Measurement\1. Freeway\1. raw data\2013\data files\det_239.xlsx</v>
      </c>
      <c r="K132" s="5"/>
      <c r="M132" s="107" t="s">
        <v>66</v>
      </c>
      <c r="N132" s="10">
        <v>239</v>
      </c>
      <c r="O132" s="10">
        <v>4</v>
      </c>
      <c r="P132" s="10">
        <v>1</v>
      </c>
    </row>
    <row r="133" spans="4:16" x14ac:dyDescent="0.25">
      <c r="D133" s="95">
        <v>129</v>
      </c>
      <c r="E133" s="42">
        <v>241</v>
      </c>
      <c r="F133" s="42">
        <v>3</v>
      </c>
      <c r="G133" s="42">
        <v>1</v>
      </c>
      <c r="H133" s="5" t="str">
        <f t="shared" ref="H133:H196" si="6">"det_"&amp;E133&amp;""</f>
        <v>det_241</v>
      </c>
      <c r="I133" s="5" t="str">
        <f t="shared" ref="I133:I196" si="7">$B$5&amp;"\"&amp;H133&amp;".txt"</f>
        <v>W:\Performance Measurement\1. Freeway\1. raw data\2013\data files\det_241.txt</v>
      </c>
      <c r="J133" s="5" t="str">
        <f t="shared" ref="J133:J196" si="8">$B$5&amp;"\"&amp;H133&amp;".xlsx"</f>
        <v>W:\Performance Measurement\1. Freeway\1. raw data\2013\data files\det_241.xlsx</v>
      </c>
      <c r="K133" s="5"/>
      <c r="M133" s="104" t="s">
        <v>66</v>
      </c>
      <c r="N133" s="42">
        <v>241</v>
      </c>
      <c r="O133" s="42">
        <v>3</v>
      </c>
      <c r="P133" s="42">
        <v>1</v>
      </c>
    </row>
    <row r="134" spans="4:16" x14ac:dyDescent="0.25">
      <c r="D134" s="95">
        <v>130</v>
      </c>
      <c r="E134" s="10">
        <v>243</v>
      </c>
      <c r="F134" s="10">
        <v>4</v>
      </c>
      <c r="G134" s="10">
        <v>1</v>
      </c>
      <c r="H134" s="5" t="str">
        <f t="shared" si="6"/>
        <v>det_243</v>
      </c>
      <c r="I134" s="5" t="str">
        <f t="shared" si="7"/>
        <v>W:\Performance Measurement\1. Freeway\1. raw data\2013\data files\det_243.txt</v>
      </c>
      <c r="J134" s="5" t="str">
        <f t="shared" si="8"/>
        <v>W:\Performance Measurement\1. Freeway\1. raw data\2013\data files\det_243.xlsx</v>
      </c>
      <c r="K134" s="5"/>
      <c r="M134" s="107" t="s">
        <v>66</v>
      </c>
      <c r="N134" s="10">
        <v>243</v>
      </c>
      <c r="O134" s="10">
        <v>4</v>
      </c>
      <c r="P134" s="10">
        <v>1</v>
      </c>
    </row>
    <row r="135" spans="4:16" x14ac:dyDescent="0.25">
      <c r="D135" s="95">
        <v>131</v>
      </c>
      <c r="E135" s="42">
        <v>245</v>
      </c>
      <c r="F135" s="42">
        <v>4</v>
      </c>
      <c r="G135" s="42">
        <v>1</v>
      </c>
      <c r="H135" s="5" t="str">
        <f t="shared" si="6"/>
        <v>det_245</v>
      </c>
      <c r="I135" s="5" t="str">
        <f t="shared" si="7"/>
        <v>W:\Performance Measurement\1. Freeway\1. raw data\2013\data files\det_245.txt</v>
      </c>
      <c r="J135" s="5" t="str">
        <f t="shared" si="8"/>
        <v>W:\Performance Measurement\1. Freeway\1. raw data\2013\data files\det_245.xlsx</v>
      </c>
      <c r="K135" s="5"/>
      <c r="M135" s="104" t="s">
        <v>66</v>
      </c>
      <c r="N135" s="42">
        <v>245</v>
      </c>
      <c r="O135" s="42">
        <v>4</v>
      </c>
      <c r="P135" s="42">
        <v>1</v>
      </c>
    </row>
    <row r="136" spans="4:16" x14ac:dyDescent="0.25">
      <c r="D136" s="95">
        <v>132</v>
      </c>
      <c r="E136" s="10">
        <v>246</v>
      </c>
      <c r="F136" s="10">
        <v>5</v>
      </c>
      <c r="G136" s="10">
        <v>1</v>
      </c>
      <c r="H136" s="5" t="str">
        <f t="shared" si="6"/>
        <v>det_246</v>
      </c>
      <c r="I136" s="5" t="str">
        <f t="shared" si="7"/>
        <v>W:\Performance Measurement\1. Freeway\1. raw data\2013\data files\det_246.txt</v>
      </c>
      <c r="J136" s="5" t="str">
        <f t="shared" si="8"/>
        <v>W:\Performance Measurement\1. Freeway\1. raw data\2013\data files\det_246.xlsx</v>
      </c>
      <c r="K136" s="5"/>
      <c r="M136" s="107" t="s">
        <v>66</v>
      </c>
      <c r="N136" s="10">
        <v>246</v>
      </c>
      <c r="O136" s="10">
        <v>5</v>
      </c>
      <c r="P136" s="10">
        <v>1</v>
      </c>
    </row>
    <row r="137" spans="4:16" x14ac:dyDescent="0.25">
      <c r="D137" s="95">
        <v>133</v>
      </c>
      <c r="E137" s="42">
        <v>248</v>
      </c>
      <c r="F137" s="42">
        <v>4</v>
      </c>
      <c r="G137" s="42">
        <v>1</v>
      </c>
      <c r="H137" s="5" t="str">
        <f t="shared" si="6"/>
        <v>det_248</v>
      </c>
      <c r="I137" s="5" t="str">
        <f t="shared" si="7"/>
        <v>W:\Performance Measurement\1. Freeway\1. raw data\2013\data files\det_248.txt</v>
      </c>
      <c r="J137" s="5" t="str">
        <f t="shared" si="8"/>
        <v>W:\Performance Measurement\1. Freeway\1. raw data\2013\data files\det_248.xlsx</v>
      </c>
      <c r="K137" s="5"/>
      <c r="M137" s="104" t="s">
        <v>66</v>
      </c>
      <c r="N137" s="42">
        <v>248</v>
      </c>
      <c r="O137" s="42">
        <v>4</v>
      </c>
      <c r="P137" s="42">
        <v>1</v>
      </c>
    </row>
    <row r="138" spans="4:16" x14ac:dyDescent="0.25">
      <c r="D138" s="95">
        <v>134</v>
      </c>
      <c r="E138" s="10">
        <v>250</v>
      </c>
      <c r="F138" s="10">
        <v>5</v>
      </c>
      <c r="G138" s="10">
        <v>1</v>
      </c>
      <c r="H138" s="5" t="str">
        <f t="shared" si="6"/>
        <v>det_250</v>
      </c>
      <c r="I138" s="5" t="str">
        <f t="shared" si="7"/>
        <v>W:\Performance Measurement\1. Freeway\1. raw data\2013\data files\det_250.txt</v>
      </c>
      <c r="J138" s="5" t="str">
        <f t="shared" si="8"/>
        <v>W:\Performance Measurement\1. Freeway\1. raw data\2013\data files\det_250.xlsx</v>
      </c>
      <c r="K138" s="5"/>
      <c r="M138" s="107" t="s">
        <v>66</v>
      </c>
      <c r="N138" s="10">
        <v>250</v>
      </c>
      <c r="O138" s="10">
        <v>5</v>
      </c>
      <c r="P138" s="10">
        <v>1</v>
      </c>
    </row>
    <row r="139" spans="4:16" x14ac:dyDescent="0.25">
      <c r="D139" s="95">
        <v>135</v>
      </c>
      <c r="E139" s="42">
        <v>252</v>
      </c>
      <c r="F139" s="42">
        <v>4</v>
      </c>
      <c r="G139" s="42">
        <v>1</v>
      </c>
      <c r="H139" s="5" t="str">
        <f t="shared" si="6"/>
        <v>det_252</v>
      </c>
      <c r="I139" s="5" t="str">
        <f t="shared" si="7"/>
        <v>W:\Performance Measurement\1. Freeway\1. raw data\2013\data files\det_252.txt</v>
      </c>
      <c r="J139" s="5" t="str">
        <f t="shared" si="8"/>
        <v>W:\Performance Measurement\1. Freeway\1. raw data\2013\data files\det_252.xlsx</v>
      </c>
      <c r="K139" s="5"/>
      <c r="M139" s="104" t="s">
        <v>66</v>
      </c>
      <c r="N139" s="42">
        <v>252</v>
      </c>
      <c r="O139" s="42">
        <v>4</v>
      </c>
      <c r="P139" s="42">
        <v>1</v>
      </c>
    </row>
    <row r="140" spans="4:16" x14ac:dyDescent="0.25">
      <c r="D140" s="95">
        <v>136</v>
      </c>
      <c r="E140" s="42">
        <v>254</v>
      </c>
      <c r="F140" s="42">
        <v>5</v>
      </c>
      <c r="G140" s="42">
        <v>1</v>
      </c>
      <c r="H140" s="5" t="str">
        <f t="shared" si="6"/>
        <v>det_254</v>
      </c>
      <c r="I140" s="5" t="str">
        <f t="shared" si="7"/>
        <v>W:\Performance Measurement\1. Freeway\1. raw data\2013\data files\det_254.txt</v>
      </c>
      <c r="J140" s="5" t="str">
        <f t="shared" si="8"/>
        <v>W:\Performance Measurement\1. Freeway\1. raw data\2013\data files\det_254.xlsx</v>
      </c>
      <c r="K140" s="5"/>
      <c r="M140" s="104" t="s">
        <v>66</v>
      </c>
      <c r="N140" s="42">
        <v>254</v>
      </c>
      <c r="O140" s="42">
        <v>5</v>
      </c>
      <c r="P140" s="42">
        <v>1</v>
      </c>
    </row>
    <row r="141" spans="4:16" x14ac:dyDescent="0.25">
      <c r="D141" s="95">
        <v>137</v>
      </c>
      <c r="E141" s="42">
        <v>272</v>
      </c>
      <c r="F141" s="42">
        <v>2</v>
      </c>
      <c r="G141" s="42">
        <v>1</v>
      </c>
      <c r="H141" s="5" t="str">
        <f t="shared" si="6"/>
        <v>det_272</v>
      </c>
      <c r="I141" s="5" t="str">
        <f t="shared" si="7"/>
        <v>W:\Performance Measurement\1. Freeway\1. raw data\2013\data files\det_272.txt</v>
      </c>
      <c r="J141" s="5" t="str">
        <f t="shared" si="8"/>
        <v>W:\Performance Measurement\1. Freeway\1. raw data\2013\data files\det_272.xlsx</v>
      </c>
      <c r="K141" s="5"/>
      <c r="M141" s="104" t="s">
        <v>66</v>
      </c>
      <c r="N141" s="42">
        <v>272</v>
      </c>
      <c r="O141" s="42">
        <v>2</v>
      </c>
      <c r="P141" s="42">
        <v>1</v>
      </c>
    </row>
    <row r="142" spans="4:16" x14ac:dyDescent="0.25">
      <c r="D142" s="95">
        <v>138</v>
      </c>
      <c r="E142" s="42">
        <v>275</v>
      </c>
      <c r="F142" s="42">
        <v>4</v>
      </c>
      <c r="G142" s="42">
        <v>1</v>
      </c>
      <c r="H142" s="5" t="str">
        <f t="shared" si="6"/>
        <v>det_275</v>
      </c>
      <c r="I142" s="5" t="str">
        <f t="shared" si="7"/>
        <v>W:\Performance Measurement\1. Freeway\1. raw data\2013\data files\det_275.txt</v>
      </c>
      <c r="J142" s="5" t="str">
        <f t="shared" si="8"/>
        <v>W:\Performance Measurement\1. Freeway\1. raw data\2013\data files\det_275.xlsx</v>
      </c>
      <c r="K142" s="5"/>
      <c r="M142" s="104" t="s">
        <v>66</v>
      </c>
      <c r="N142" s="42">
        <v>275</v>
      </c>
      <c r="O142" s="42">
        <v>4</v>
      </c>
      <c r="P142" s="42">
        <v>1</v>
      </c>
    </row>
    <row r="143" spans="4:16" x14ac:dyDescent="0.25">
      <c r="D143" s="95">
        <v>139</v>
      </c>
      <c r="E143" s="10">
        <v>278</v>
      </c>
      <c r="F143" s="10">
        <v>4</v>
      </c>
      <c r="G143" s="10">
        <v>1</v>
      </c>
      <c r="H143" s="5" t="str">
        <f t="shared" si="6"/>
        <v>det_278</v>
      </c>
      <c r="I143" s="5" t="str">
        <f t="shared" si="7"/>
        <v>W:\Performance Measurement\1. Freeway\1. raw data\2013\data files\det_278.txt</v>
      </c>
      <c r="J143" s="5" t="str">
        <f t="shared" si="8"/>
        <v>W:\Performance Measurement\1. Freeway\1. raw data\2013\data files\det_278.xlsx</v>
      </c>
      <c r="K143" s="5"/>
      <c r="M143" s="107" t="s">
        <v>66</v>
      </c>
      <c r="N143" s="10">
        <v>278</v>
      </c>
      <c r="O143" s="10">
        <v>4</v>
      </c>
      <c r="P143" s="10">
        <v>1</v>
      </c>
    </row>
    <row r="144" spans="4:16" x14ac:dyDescent="0.25">
      <c r="D144" s="95">
        <v>140</v>
      </c>
      <c r="E144" s="10">
        <v>281</v>
      </c>
      <c r="F144" s="10">
        <v>4</v>
      </c>
      <c r="G144" s="10">
        <v>1</v>
      </c>
      <c r="H144" s="5" t="str">
        <f t="shared" si="6"/>
        <v>det_281</v>
      </c>
      <c r="I144" s="5" t="str">
        <f t="shared" si="7"/>
        <v>W:\Performance Measurement\1. Freeway\1. raw data\2013\data files\det_281.txt</v>
      </c>
      <c r="J144" s="5" t="str">
        <f t="shared" si="8"/>
        <v>W:\Performance Measurement\1. Freeway\1. raw data\2013\data files\det_281.xlsx</v>
      </c>
      <c r="K144" s="5"/>
      <c r="M144" s="107" t="s">
        <v>66</v>
      </c>
      <c r="N144" s="10">
        <v>281</v>
      </c>
      <c r="O144" s="10">
        <v>4</v>
      </c>
      <c r="P144" s="10">
        <v>1</v>
      </c>
    </row>
    <row r="145" spans="4:16" x14ac:dyDescent="0.25">
      <c r="D145" s="95">
        <v>141</v>
      </c>
      <c r="E145" s="10">
        <v>284</v>
      </c>
      <c r="F145" s="10">
        <v>3</v>
      </c>
      <c r="G145" s="10">
        <v>1</v>
      </c>
      <c r="H145" s="5" t="str">
        <f t="shared" si="6"/>
        <v>det_284</v>
      </c>
      <c r="I145" s="5" t="str">
        <f t="shared" si="7"/>
        <v>W:\Performance Measurement\1. Freeway\1. raw data\2013\data files\det_284.txt</v>
      </c>
      <c r="J145" s="5" t="str">
        <f t="shared" si="8"/>
        <v>W:\Performance Measurement\1. Freeway\1. raw data\2013\data files\det_284.xlsx</v>
      </c>
      <c r="K145" s="5"/>
      <c r="M145" s="107" t="s">
        <v>66</v>
      </c>
      <c r="N145" s="10">
        <v>284</v>
      </c>
      <c r="O145" s="10">
        <v>3</v>
      </c>
      <c r="P145" s="10">
        <v>1</v>
      </c>
    </row>
    <row r="146" spans="4:16" x14ac:dyDescent="0.25">
      <c r="D146" s="95">
        <v>142</v>
      </c>
      <c r="E146" s="10">
        <v>286</v>
      </c>
      <c r="F146" s="10">
        <v>3</v>
      </c>
      <c r="G146" s="10">
        <v>1</v>
      </c>
      <c r="H146" s="5" t="str">
        <f t="shared" si="6"/>
        <v>det_286</v>
      </c>
      <c r="I146" s="5" t="str">
        <f t="shared" si="7"/>
        <v>W:\Performance Measurement\1. Freeway\1. raw data\2013\data files\det_286.txt</v>
      </c>
      <c r="J146" s="5" t="str">
        <f t="shared" si="8"/>
        <v>W:\Performance Measurement\1. Freeway\1. raw data\2013\data files\det_286.xlsx</v>
      </c>
      <c r="K146" s="5"/>
      <c r="M146" s="107" t="s">
        <v>66</v>
      </c>
      <c r="N146" s="10">
        <v>286</v>
      </c>
      <c r="O146" s="10">
        <v>3</v>
      </c>
      <c r="P146" s="10">
        <v>1</v>
      </c>
    </row>
    <row r="147" spans="4:16" x14ac:dyDescent="0.25">
      <c r="D147" s="95">
        <v>143</v>
      </c>
      <c r="E147" s="10">
        <v>288</v>
      </c>
      <c r="F147" s="10">
        <v>3</v>
      </c>
      <c r="G147" s="10">
        <v>1</v>
      </c>
      <c r="H147" s="5" t="str">
        <f t="shared" si="6"/>
        <v>det_288</v>
      </c>
      <c r="I147" s="5" t="str">
        <f t="shared" si="7"/>
        <v>W:\Performance Measurement\1. Freeway\1. raw data\2013\data files\det_288.txt</v>
      </c>
      <c r="J147" s="5" t="str">
        <f t="shared" si="8"/>
        <v>W:\Performance Measurement\1. Freeway\1. raw data\2013\data files\det_288.xlsx</v>
      </c>
      <c r="K147" s="5"/>
      <c r="M147" s="107" t="s">
        <v>66</v>
      </c>
      <c r="N147" s="10">
        <v>288</v>
      </c>
      <c r="O147" s="10">
        <v>3</v>
      </c>
      <c r="P147" s="10">
        <v>1</v>
      </c>
    </row>
    <row r="148" spans="4:16" x14ac:dyDescent="0.25">
      <c r="D148" s="95">
        <v>144</v>
      </c>
      <c r="E148" s="10">
        <v>225</v>
      </c>
      <c r="F148" s="10">
        <v>3</v>
      </c>
      <c r="G148" s="10">
        <v>1</v>
      </c>
      <c r="H148" s="5" t="str">
        <f t="shared" si="6"/>
        <v>det_225</v>
      </c>
      <c r="I148" s="5" t="str">
        <f t="shared" si="7"/>
        <v>W:\Performance Measurement\1. Freeway\1. raw data\2013\data files\det_225.txt</v>
      </c>
      <c r="J148" s="5" t="str">
        <f t="shared" si="8"/>
        <v>W:\Performance Measurement\1. Freeway\1. raw data\2013\data files\det_225.xlsx</v>
      </c>
      <c r="K148" s="5"/>
      <c r="M148" s="107" t="s">
        <v>66</v>
      </c>
      <c r="N148" s="10">
        <v>225</v>
      </c>
      <c r="O148" s="10">
        <v>3</v>
      </c>
      <c r="P148" s="10">
        <v>1</v>
      </c>
    </row>
    <row r="149" spans="4:16" x14ac:dyDescent="0.25">
      <c r="D149" s="95">
        <v>145</v>
      </c>
      <c r="E149" s="10">
        <v>223</v>
      </c>
      <c r="F149" s="10">
        <v>4</v>
      </c>
      <c r="G149" s="10">
        <v>1</v>
      </c>
      <c r="H149" s="5" t="str">
        <f t="shared" si="6"/>
        <v>det_223</v>
      </c>
      <c r="I149" s="5" t="str">
        <f t="shared" si="7"/>
        <v>W:\Performance Measurement\1. Freeway\1. raw data\2013\data files\det_223.txt</v>
      </c>
      <c r="J149" s="5" t="str">
        <f t="shared" si="8"/>
        <v>W:\Performance Measurement\1. Freeway\1. raw data\2013\data files\det_223.xlsx</v>
      </c>
      <c r="K149" s="5"/>
      <c r="M149" s="107" t="s">
        <v>66</v>
      </c>
      <c r="N149" s="10">
        <v>223</v>
      </c>
      <c r="O149" s="10">
        <v>4</v>
      </c>
      <c r="P149" s="10">
        <v>1</v>
      </c>
    </row>
    <row r="150" spans="4:16" x14ac:dyDescent="0.25">
      <c r="D150" s="95">
        <v>146</v>
      </c>
      <c r="E150" s="10">
        <v>220</v>
      </c>
      <c r="F150" s="10">
        <v>3</v>
      </c>
      <c r="G150" s="10">
        <v>1</v>
      </c>
      <c r="H150" s="5" t="str">
        <f t="shared" si="6"/>
        <v>det_220</v>
      </c>
      <c r="I150" s="5" t="str">
        <f t="shared" si="7"/>
        <v>W:\Performance Measurement\1. Freeway\1. raw data\2013\data files\det_220.txt</v>
      </c>
      <c r="J150" s="5" t="str">
        <f t="shared" si="8"/>
        <v>W:\Performance Measurement\1. Freeway\1. raw data\2013\data files\det_220.xlsx</v>
      </c>
      <c r="K150" s="5"/>
      <c r="M150" s="107" t="s">
        <v>66</v>
      </c>
      <c r="N150" s="10">
        <v>220</v>
      </c>
      <c r="O150" s="10">
        <v>3</v>
      </c>
      <c r="P150" s="10">
        <v>1</v>
      </c>
    </row>
    <row r="151" spans="4:16" x14ac:dyDescent="0.25">
      <c r="D151" s="95">
        <v>147</v>
      </c>
      <c r="E151" s="10">
        <v>217</v>
      </c>
      <c r="F151" s="10">
        <v>2</v>
      </c>
      <c r="G151" s="10">
        <v>1</v>
      </c>
      <c r="H151" s="5" t="str">
        <f t="shared" si="6"/>
        <v>det_217</v>
      </c>
      <c r="I151" s="5" t="str">
        <f t="shared" si="7"/>
        <v>W:\Performance Measurement\1. Freeway\1. raw data\2013\data files\det_217.txt</v>
      </c>
      <c r="J151" s="5" t="str">
        <f t="shared" si="8"/>
        <v>W:\Performance Measurement\1. Freeway\1. raw data\2013\data files\det_217.xlsx</v>
      </c>
      <c r="K151" s="5"/>
      <c r="M151" s="107" t="s">
        <v>66</v>
      </c>
      <c r="N151" s="10">
        <v>217</v>
      </c>
      <c r="O151" s="10">
        <v>2</v>
      </c>
      <c r="P151" s="10">
        <v>1</v>
      </c>
    </row>
    <row r="152" spans="4:16" x14ac:dyDescent="0.25">
      <c r="D152" s="95">
        <v>148</v>
      </c>
      <c r="E152" s="10">
        <v>427</v>
      </c>
      <c r="F152" s="10">
        <v>3</v>
      </c>
      <c r="G152" s="10">
        <v>1</v>
      </c>
      <c r="H152" s="5" t="str">
        <f t="shared" si="6"/>
        <v>det_427</v>
      </c>
      <c r="I152" s="5" t="str">
        <f t="shared" si="7"/>
        <v>W:\Performance Measurement\1. Freeway\1. raw data\2013\data files\det_427.txt</v>
      </c>
      <c r="J152" s="5" t="str">
        <f t="shared" si="8"/>
        <v>W:\Performance Measurement\1. Freeway\1. raw data\2013\data files\det_427.xlsx</v>
      </c>
      <c r="K152" s="5"/>
      <c r="M152" s="107" t="s">
        <v>67</v>
      </c>
      <c r="N152" s="10">
        <v>427</v>
      </c>
      <c r="O152" s="10">
        <v>3</v>
      </c>
      <c r="P152" s="10">
        <v>1</v>
      </c>
    </row>
    <row r="153" spans="4:16" x14ac:dyDescent="0.25">
      <c r="D153" s="95">
        <v>149</v>
      </c>
      <c r="E153" s="10">
        <v>428</v>
      </c>
      <c r="F153" s="10">
        <v>4</v>
      </c>
      <c r="G153" s="10">
        <v>1</v>
      </c>
      <c r="H153" s="5" t="str">
        <f t="shared" si="6"/>
        <v>det_428</v>
      </c>
      <c r="I153" s="5" t="str">
        <f t="shared" si="7"/>
        <v>W:\Performance Measurement\1. Freeway\1. raw data\2013\data files\det_428.txt</v>
      </c>
      <c r="J153" s="5" t="str">
        <f t="shared" si="8"/>
        <v>W:\Performance Measurement\1. Freeway\1. raw data\2013\data files\det_428.xlsx</v>
      </c>
      <c r="K153" s="5"/>
      <c r="M153" s="107" t="s">
        <v>67</v>
      </c>
      <c r="N153" s="10">
        <v>428</v>
      </c>
      <c r="O153" s="10">
        <v>4</v>
      </c>
      <c r="P153" s="10">
        <v>1</v>
      </c>
    </row>
    <row r="154" spans="4:16" x14ac:dyDescent="0.25">
      <c r="D154" s="95">
        <v>150</v>
      </c>
      <c r="E154" s="42">
        <v>432</v>
      </c>
      <c r="F154" s="42">
        <v>4</v>
      </c>
      <c r="G154" s="42">
        <v>1</v>
      </c>
      <c r="H154" s="5" t="str">
        <f t="shared" si="6"/>
        <v>det_432</v>
      </c>
      <c r="I154" s="5" t="str">
        <f t="shared" si="7"/>
        <v>W:\Performance Measurement\1. Freeway\1. raw data\2013\data files\det_432.txt</v>
      </c>
      <c r="J154" s="5" t="str">
        <f t="shared" si="8"/>
        <v>W:\Performance Measurement\1. Freeway\1. raw data\2013\data files\det_432.xlsx</v>
      </c>
      <c r="K154" s="5"/>
      <c r="M154" s="104" t="s">
        <v>67</v>
      </c>
      <c r="N154" s="42">
        <v>432</v>
      </c>
      <c r="O154" s="42">
        <v>4</v>
      </c>
      <c r="P154" s="42">
        <v>1</v>
      </c>
    </row>
    <row r="155" spans="4:16" x14ac:dyDescent="0.25">
      <c r="D155" s="95">
        <v>151</v>
      </c>
      <c r="E155" s="42">
        <v>435</v>
      </c>
      <c r="F155" s="42">
        <v>4</v>
      </c>
      <c r="G155" s="42">
        <v>1</v>
      </c>
      <c r="H155" s="5" t="str">
        <f t="shared" si="6"/>
        <v>det_435</v>
      </c>
      <c r="I155" s="5" t="str">
        <f t="shared" si="7"/>
        <v>W:\Performance Measurement\1. Freeway\1. raw data\2013\data files\det_435.txt</v>
      </c>
      <c r="J155" s="5" t="str">
        <f t="shared" si="8"/>
        <v>W:\Performance Measurement\1. Freeway\1. raw data\2013\data files\det_435.xlsx</v>
      </c>
      <c r="K155" s="5"/>
      <c r="M155" s="104" t="s">
        <v>67</v>
      </c>
      <c r="N155" s="42">
        <v>435</v>
      </c>
      <c r="O155" s="42">
        <v>4</v>
      </c>
      <c r="P155" s="42">
        <v>1</v>
      </c>
    </row>
    <row r="156" spans="4:16" x14ac:dyDescent="0.25">
      <c r="D156" s="95">
        <v>152</v>
      </c>
      <c r="E156" s="10">
        <v>438</v>
      </c>
      <c r="F156" s="10">
        <v>3</v>
      </c>
      <c r="G156" s="10">
        <v>1</v>
      </c>
      <c r="H156" s="5" t="str">
        <f t="shared" si="6"/>
        <v>det_438</v>
      </c>
      <c r="I156" s="5" t="str">
        <f t="shared" si="7"/>
        <v>W:\Performance Measurement\1. Freeway\1. raw data\2013\data files\det_438.txt</v>
      </c>
      <c r="J156" s="5" t="str">
        <f t="shared" si="8"/>
        <v>W:\Performance Measurement\1. Freeway\1. raw data\2013\data files\det_438.xlsx</v>
      </c>
      <c r="K156" s="5"/>
      <c r="M156" s="107" t="s">
        <v>67</v>
      </c>
      <c r="N156" s="10">
        <v>438</v>
      </c>
      <c r="O156" s="10">
        <v>3</v>
      </c>
      <c r="P156" s="10">
        <v>1</v>
      </c>
    </row>
    <row r="157" spans="4:16" x14ac:dyDescent="0.25">
      <c r="D157" s="95">
        <v>153</v>
      </c>
      <c r="E157" s="10">
        <v>439</v>
      </c>
      <c r="F157" s="10">
        <v>4</v>
      </c>
      <c r="G157" s="10">
        <v>1</v>
      </c>
      <c r="H157" s="5" t="str">
        <f t="shared" si="6"/>
        <v>det_439</v>
      </c>
      <c r="I157" s="5" t="str">
        <f t="shared" si="7"/>
        <v>W:\Performance Measurement\1. Freeway\1. raw data\2013\data files\det_439.txt</v>
      </c>
      <c r="J157" s="5" t="str">
        <f t="shared" si="8"/>
        <v>W:\Performance Measurement\1. Freeway\1. raw data\2013\data files\det_439.xlsx</v>
      </c>
      <c r="K157" s="5"/>
      <c r="M157" s="107" t="s">
        <v>67</v>
      </c>
      <c r="N157" s="10">
        <v>439</v>
      </c>
      <c r="O157" s="10">
        <v>4</v>
      </c>
      <c r="P157" s="10">
        <v>1</v>
      </c>
    </row>
    <row r="158" spans="4:16" x14ac:dyDescent="0.25">
      <c r="D158" s="95">
        <v>154</v>
      </c>
      <c r="E158" s="10">
        <v>494</v>
      </c>
      <c r="F158" s="10">
        <v>4</v>
      </c>
      <c r="G158" s="10">
        <v>1</v>
      </c>
      <c r="H158" s="5" t="str">
        <f t="shared" si="6"/>
        <v>det_494</v>
      </c>
      <c r="I158" s="5" t="str">
        <f t="shared" si="7"/>
        <v>W:\Performance Measurement\1. Freeway\1. raw data\2013\data files\det_494.txt</v>
      </c>
      <c r="J158" s="5" t="str">
        <f t="shared" si="8"/>
        <v>W:\Performance Measurement\1. Freeway\1. raw data\2013\data files\det_494.xlsx</v>
      </c>
      <c r="K158" s="5"/>
      <c r="M158" s="107" t="s">
        <v>67</v>
      </c>
      <c r="N158" s="10">
        <v>494</v>
      </c>
      <c r="O158" s="10">
        <v>4</v>
      </c>
      <c r="P158" s="10">
        <v>1</v>
      </c>
    </row>
    <row r="159" spans="4:16" x14ac:dyDescent="0.25">
      <c r="D159" s="95">
        <v>155</v>
      </c>
      <c r="E159" s="10">
        <v>497</v>
      </c>
      <c r="F159" s="10">
        <v>3</v>
      </c>
      <c r="G159" s="10">
        <v>1</v>
      </c>
      <c r="H159" s="5" t="str">
        <f t="shared" si="6"/>
        <v>det_497</v>
      </c>
      <c r="I159" s="5" t="str">
        <f t="shared" si="7"/>
        <v>W:\Performance Measurement\1. Freeway\1. raw data\2013\data files\det_497.txt</v>
      </c>
      <c r="J159" s="5" t="str">
        <f t="shared" si="8"/>
        <v>W:\Performance Measurement\1. Freeway\1. raw data\2013\data files\det_497.xlsx</v>
      </c>
      <c r="K159" s="5"/>
      <c r="M159" s="107" t="s">
        <v>67</v>
      </c>
      <c r="N159" s="10">
        <v>497</v>
      </c>
      <c r="O159" s="10">
        <v>3</v>
      </c>
      <c r="P159" s="10">
        <v>1</v>
      </c>
    </row>
    <row r="160" spans="4:16" x14ac:dyDescent="0.25">
      <c r="D160" s="95">
        <v>156</v>
      </c>
      <c r="E160" s="10">
        <v>500</v>
      </c>
      <c r="F160" s="10">
        <v>3</v>
      </c>
      <c r="G160" s="10">
        <v>1</v>
      </c>
      <c r="H160" s="5" t="str">
        <f t="shared" si="6"/>
        <v>det_500</v>
      </c>
      <c r="I160" s="5" t="str">
        <f t="shared" si="7"/>
        <v>W:\Performance Measurement\1. Freeway\1. raw data\2013\data files\det_500.txt</v>
      </c>
      <c r="J160" s="5" t="str">
        <f t="shared" si="8"/>
        <v>W:\Performance Measurement\1. Freeway\1. raw data\2013\data files\det_500.xlsx</v>
      </c>
      <c r="K160" s="5"/>
      <c r="M160" s="107" t="s">
        <v>67</v>
      </c>
      <c r="N160" s="10">
        <v>500</v>
      </c>
      <c r="O160" s="10">
        <v>3</v>
      </c>
      <c r="P160" s="10">
        <v>1</v>
      </c>
    </row>
    <row r="161" spans="4:16" x14ac:dyDescent="0.25">
      <c r="D161" s="95">
        <v>157</v>
      </c>
      <c r="E161" s="42">
        <v>502</v>
      </c>
      <c r="F161" s="42">
        <v>3</v>
      </c>
      <c r="G161" s="42">
        <v>1</v>
      </c>
      <c r="H161" s="5" t="str">
        <f t="shared" si="6"/>
        <v>det_502</v>
      </c>
      <c r="I161" s="5" t="str">
        <f t="shared" si="7"/>
        <v>W:\Performance Measurement\1. Freeway\1. raw data\2013\data files\det_502.txt</v>
      </c>
      <c r="J161" s="5" t="str">
        <f t="shared" si="8"/>
        <v>W:\Performance Measurement\1. Freeway\1. raw data\2013\data files\det_502.xlsx</v>
      </c>
      <c r="K161" s="5"/>
      <c r="M161" s="104" t="s">
        <v>67</v>
      </c>
      <c r="N161" s="42">
        <v>502</v>
      </c>
      <c r="O161" s="42">
        <v>3</v>
      </c>
      <c r="P161" s="42">
        <v>1</v>
      </c>
    </row>
    <row r="162" spans="4:16" x14ac:dyDescent="0.25">
      <c r="D162" s="95">
        <v>158</v>
      </c>
      <c r="E162" s="42">
        <v>504</v>
      </c>
      <c r="F162" s="42">
        <v>3</v>
      </c>
      <c r="G162" s="42">
        <v>0</v>
      </c>
      <c r="H162" s="5" t="str">
        <f t="shared" si="6"/>
        <v>det_504</v>
      </c>
      <c r="I162" s="5" t="str">
        <f t="shared" si="7"/>
        <v>W:\Performance Measurement\1. Freeway\1. raw data\2013\data files\det_504.txt</v>
      </c>
      <c r="J162" s="5" t="str">
        <f t="shared" si="8"/>
        <v>W:\Performance Measurement\1. Freeway\1. raw data\2013\data files\det_504.xlsx</v>
      </c>
      <c r="K162" s="5"/>
      <c r="M162" s="104" t="s">
        <v>67</v>
      </c>
      <c r="N162" s="42">
        <v>504</v>
      </c>
      <c r="O162" s="42">
        <v>3</v>
      </c>
      <c r="P162" s="42">
        <v>0</v>
      </c>
    </row>
    <row r="163" spans="4:16" x14ac:dyDescent="0.25">
      <c r="D163" s="95">
        <v>159</v>
      </c>
      <c r="E163" s="10">
        <v>441</v>
      </c>
      <c r="F163" s="10">
        <v>3</v>
      </c>
      <c r="G163" s="10">
        <v>1</v>
      </c>
      <c r="H163" s="5" t="str">
        <f t="shared" si="6"/>
        <v>det_441</v>
      </c>
      <c r="I163" s="5" t="str">
        <f t="shared" si="7"/>
        <v>W:\Performance Measurement\1. Freeway\1. raw data\2013\data files\det_441.txt</v>
      </c>
      <c r="J163" s="5" t="str">
        <f t="shared" si="8"/>
        <v>W:\Performance Measurement\1. Freeway\1. raw data\2013\data files\det_441.xlsx</v>
      </c>
      <c r="K163" s="5"/>
      <c r="M163" s="107" t="s">
        <v>68</v>
      </c>
      <c r="N163" s="10">
        <v>441</v>
      </c>
      <c r="O163" s="10">
        <v>3</v>
      </c>
      <c r="P163" s="10">
        <v>1</v>
      </c>
    </row>
    <row r="164" spans="4:16" x14ac:dyDescent="0.25">
      <c r="D164" s="95">
        <v>160</v>
      </c>
      <c r="E164" s="10">
        <v>444</v>
      </c>
      <c r="F164" s="10">
        <v>5</v>
      </c>
      <c r="G164" s="10">
        <v>1</v>
      </c>
      <c r="H164" s="5" t="str">
        <f t="shared" si="6"/>
        <v>det_444</v>
      </c>
      <c r="I164" s="5" t="str">
        <f t="shared" si="7"/>
        <v>W:\Performance Measurement\1. Freeway\1. raw data\2013\data files\det_444.txt</v>
      </c>
      <c r="J164" s="5" t="str">
        <f t="shared" si="8"/>
        <v>W:\Performance Measurement\1. Freeway\1. raw data\2013\data files\det_444.xlsx</v>
      </c>
      <c r="K164" s="5"/>
      <c r="M164" s="107" t="s">
        <v>68</v>
      </c>
      <c r="N164" s="10">
        <v>444</v>
      </c>
      <c r="O164" s="10">
        <v>5</v>
      </c>
      <c r="P164" s="10">
        <v>1</v>
      </c>
    </row>
    <row r="165" spans="4:16" x14ac:dyDescent="0.25">
      <c r="D165" s="95">
        <v>161</v>
      </c>
      <c r="E165" s="10">
        <v>447</v>
      </c>
      <c r="F165" s="10">
        <v>5</v>
      </c>
      <c r="G165" s="10">
        <v>1</v>
      </c>
      <c r="H165" s="5" t="str">
        <f t="shared" si="6"/>
        <v>det_447</v>
      </c>
      <c r="I165" s="5" t="str">
        <f t="shared" si="7"/>
        <v>W:\Performance Measurement\1. Freeway\1. raw data\2013\data files\det_447.txt</v>
      </c>
      <c r="J165" s="5" t="str">
        <f t="shared" si="8"/>
        <v>W:\Performance Measurement\1. Freeway\1. raw data\2013\data files\det_447.xlsx</v>
      </c>
      <c r="K165" s="5"/>
      <c r="M165" s="107" t="s">
        <v>68</v>
      </c>
      <c r="N165" s="10">
        <v>447</v>
      </c>
      <c r="O165" s="10">
        <v>5</v>
      </c>
      <c r="P165" s="10">
        <v>1</v>
      </c>
    </row>
    <row r="166" spans="4:16" x14ac:dyDescent="0.25">
      <c r="D166" s="95">
        <v>162</v>
      </c>
      <c r="E166" s="10">
        <v>450</v>
      </c>
      <c r="F166" s="10">
        <v>5</v>
      </c>
      <c r="G166" s="10">
        <v>1</v>
      </c>
      <c r="H166" s="5" t="str">
        <f t="shared" si="6"/>
        <v>det_450</v>
      </c>
      <c r="I166" s="5" t="str">
        <f t="shared" si="7"/>
        <v>W:\Performance Measurement\1. Freeway\1. raw data\2013\data files\det_450.txt</v>
      </c>
      <c r="J166" s="5" t="str">
        <f t="shared" si="8"/>
        <v>W:\Performance Measurement\1. Freeway\1. raw data\2013\data files\det_450.xlsx</v>
      </c>
      <c r="K166" s="5"/>
      <c r="M166" s="107" t="s">
        <v>68</v>
      </c>
      <c r="N166" s="10">
        <v>450</v>
      </c>
      <c r="O166" s="10">
        <v>5</v>
      </c>
      <c r="P166" s="10">
        <v>1</v>
      </c>
    </row>
    <row r="167" spans="4:16" x14ac:dyDescent="0.25">
      <c r="D167" s="95">
        <v>163</v>
      </c>
      <c r="E167" s="10">
        <v>453</v>
      </c>
      <c r="F167" s="10">
        <v>5</v>
      </c>
      <c r="G167" s="10">
        <v>1</v>
      </c>
      <c r="H167" s="5" t="str">
        <f t="shared" si="6"/>
        <v>det_453</v>
      </c>
      <c r="I167" s="5" t="str">
        <f t="shared" si="7"/>
        <v>W:\Performance Measurement\1. Freeway\1. raw data\2013\data files\det_453.txt</v>
      </c>
      <c r="J167" s="5" t="str">
        <f t="shared" si="8"/>
        <v>W:\Performance Measurement\1. Freeway\1. raw data\2013\data files\det_453.xlsx</v>
      </c>
      <c r="K167" s="5"/>
      <c r="M167" s="107" t="s">
        <v>68</v>
      </c>
      <c r="N167" s="10">
        <v>453</v>
      </c>
      <c r="O167" s="10">
        <v>5</v>
      </c>
      <c r="P167" s="10">
        <v>1</v>
      </c>
    </row>
    <row r="168" spans="4:16" x14ac:dyDescent="0.25">
      <c r="D168" s="95">
        <v>164</v>
      </c>
      <c r="E168" s="10">
        <v>456</v>
      </c>
      <c r="F168" s="10">
        <v>5</v>
      </c>
      <c r="G168" s="10">
        <v>1</v>
      </c>
      <c r="H168" s="5" t="str">
        <f t="shared" si="6"/>
        <v>det_456</v>
      </c>
      <c r="I168" s="5" t="str">
        <f t="shared" si="7"/>
        <v>W:\Performance Measurement\1. Freeway\1. raw data\2013\data files\det_456.txt</v>
      </c>
      <c r="J168" s="5" t="str">
        <f t="shared" si="8"/>
        <v>W:\Performance Measurement\1. Freeway\1. raw data\2013\data files\det_456.xlsx</v>
      </c>
      <c r="K168" s="5"/>
      <c r="M168" s="107" t="s">
        <v>68</v>
      </c>
      <c r="N168" s="10">
        <v>456</v>
      </c>
      <c r="O168" s="10">
        <v>5</v>
      </c>
      <c r="P168" s="10">
        <v>1</v>
      </c>
    </row>
    <row r="169" spans="4:16" x14ac:dyDescent="0.25">
      <c r="D169" s="95">
        <v>165</v>
      </c>
      <c r="E169" s="10">
        <v>459</v>
      </c>
      <c r="F169" s="10">
        <v>5</v>
      </c>
      <c r="G169" s="10">
        <v>1</v>
      </c>
      <c r="H169" s="5" t="str">
        <f t="shared" si="6"/>
        <v>det_459</v>
      </c>
      <c r="I169" s="5" t="str">
        <f t="shared" si="7"/>
        <v>W:\Performance Measurement\1. Freeway\1. raw data\2013\data files\det_459.txt</v>
      </c>
      <c r="J169" s="5" t="str">
        <f t="shared" si="8"/>
        <v>W:\Performance Measurement\1. Freeway\1. raw data\2013\data files\det_459.xlsx</v>
      </c>
      <c r="K169" s="5"/>
      <c r="M169" s="107" t="s">
        <v>68</v>
      </c>
      <c r="N169" s="10">
        <v>459</v>
      </c>
      <c r="O169" s="10">
        <v>5</v>
      </c>
      <c r="P169" s="10">
        <v>1</v>
      </c>
    </row>
    <row r="170" spans="4:16" x14ac:dyDescent="0.25">
      <c r="D170" s="95">
        <v>166</v>
      </c>
      <c r="E170" s="10">
        <v>462</v>
      </c>
      <c r="F170" s="10">
        <v>5</v>
      </c>
      <c r="G170" s="10">
        <v>1</v>
      </c>
      <c r="H170" s="5" t="str">
        <f t="shared" si="6"/>
        <v>det_462</v>
      </c>
      <c r="I170" s="5" t="str">
        <f t="shared" si="7"/>
        <v>W:\Performance Measurement\1. Freeway\1. raw data\2013\data files\det_462.txt</v>
      </c>
      <c r="J170" s="5" t="str">
        <f t="shared" si="8"/>
        <v>W:\Performance Measurement\1. Freeway\1. raw data\2013\data files\det_462.xlsx</v>
      </c>
      <c r="K170" s="5"/>
      <c r="M170" s="107" t="s">
        <v>68</v>
      </c>
      <c r="N170" s="10">
        <v>462</v>
      </c>
      <c r="O170" s="10">
        <v>5</v>
      </c>
      <c r="P170" s="10">
        <v>1</v>
      </c>
    </row>
    <row r="171" spans="4:16" x14ac:dyDescent="0.25">
      <c r="D171" s="95">
        <v>167</v>
      </c>
      <c r="E171" s="10">
        <v>467</v>
      </c>
      <c r="F171" s="10">
        <v>5</v>
      </c>
      <c r="G171" s="10">
        <v>1</v>
      </c>
      <c r="H171" s="5" t="str">
        <f t="shared" si="6"/>
        <v>det_467</v>
      </c>
      <c r="I171" s="5" t="str">
        <f t="shared" si="7"/>
        <v>W:\Performance Measurement\1. Freeway\1. raw data\2013\data files\det_467.txt</v>
      </c>
      <c r="J171" s="5" t="str">
        <f t="shared" si="8"/>
        <v>W:\Performance Measurement\1. Freeway\1. raw data\2013\data files\det_467.xlsx</v>
      </c>
      <c r="K171" s="5"/>
      <c r="M171" s="107" t="s">
        <v>68</v>
      </c>
      <c r="N171" s="10">
        <v>467</v>
      </c>
      <c r="O171" s="10">
        <v>5</v>
      </c>
      <c r="P171" s="10">
        <v>1</v>
      </c>
    </row>
    <row r="172" spans="4:16" x14ac:dyDescent="0.25">
      <c r="D172" s="95">
        <v>168</v>
      </c>
      <c r="E172" s="10">
        <v>470</v>
      </c>
      <c r="F172" s="10">
        <v>5</v>
      </c>
      <c r="G172" s="10">
        <v>1</v>
      </c>
      <c r="H172" s="5" t="str">
        <f t="shared" si="6"/>
        <v>det_470</v>
      </c>
      <c r="I172" s="5" t="str">
        <f t="shared" si="7"/>
        <v>W:\Performance Measurement\1. Freeway\1. raw data\2013\data files\det_470.txt</v>
      </c>
      <c r="J172" s="5" t="str">
        <f t="shared" si="8"/>
        <v>W:\Performance Measurement\1. Freeway\1. raw data\2013\data files\det_470.xlsx</v>
      </c>
      <c r="K172" s="5"/>
      <c r="M172" s="107" t="s">
        <v>68</v>
      </c>
      <c r="N172" s="10">
        <v>470</v>
      </c>
      <c r="O172" s="10">
        <v>5</v>
      </c>
      <c r="P172" s="10">
        <v>1</v>
      </c>
    </row>
    <row r="173" spans="4:16" x14ac:dyDescent="0.25">
      <c r="D173" s="95">
        <v>169</v>
      </c>
      <c r="E173" s="10">
        <v>473</v>
      </c>
      <c r="F173" s="10">
        <v>5</v>
      </c>
      <c r="G173" s="10">
        <v>1</v>
      </c>
      <c r="H173" s="5" t="str">
        <f t="shared" si="6"/>
        <v>det_473</v>
      </c>
      <c r="I173" s="5" t="str">
        <f t="shared" si="7"/>
        <v>W:\Performance Measurement\1. Freeway\1. raw data\2013\data files\det_473.txt</v>
      </c>
      <c r="J173" s="5" t="str">
        <f t="shared" si="8"/>
        <v>W:\Performance Measurement\1. Freeway\1. raw data\2013\data files\det_473.xlsx</v>
      </c>
      <c r="K173" s="5"/>
      <c r="M173" s="107" t="s">
        <v>68</v>
      </c>
      <c r="N173" s="10">
        <v>473</v>
      </c>
      <c r="O173" s="10">
        <v>5</v>
      </c>
      <c r="P173" s="10">
        <v>1</v>
      </c>
    </row>
    <row r="174" spans="4:16" x14ac:dyDescent="0.25">
      <c r="D174" s="95">
        <v>170</v>
      </c>
      <c r="E174" s="10">
        <v>476</v>
      </c>
      <c r="F174" s="10">
        <v>5</v>
      </c>
      <c r="G174" s="10">
        <v>1</v>
      </c>
      <c r="H174" s="5" t="str">
        <f t="shared" si="6"/>
        <v>det_476</v>
      </c>
      <c r="I174" s="5" t="str">
        <f t="shared" si="7"/>
        <v>W:\Performance Measurement\1. Freeway\1. raw data\2013\data files\det_476.txt</v>
      </c>
      <c r="J174" s="5" t="str">
        <f t="shared" si="8"/>
        <v>W:\Performance Measurement\1. Freeway\1. raw data\2013\data files\det_476.xlsx</v>
      </c>
      <c r="K174" s="5"/>
      <c r="M174" s="107" t="s">
        <v>68</v>
      </c>
      <c r="N174" s="10">
        <v>476</v>
      </c>
      <c r="O174" s="10">
        <v>5</v>
      </c>
      <c r="P174" s="10">
        <v>1</v>
      </c>
    </row>
    <row r="175" spans="4:16" x14ac:dyDescent="0.25">
      <c r="D175" s="95">
        <v>171</v>
      </c>
      <c r="E175" s="10">
        <v>479</v>
      </c>
      <c r="F175" s="10">
        <v>5</v>
      </c>
      <c r="G175" s="10">
        <v>1</v>
      </c>
      <c r="H175" s="5" t="str">
        <f t="shared" si="6"/>
        <v>det_479</v>
      </c>
      <c r="I175" s="5" t="str">
        <f t="shared" si="7"/>
        <v>W:\Performance Measurement\1. Freeway\1. raw data\2013\data files\det_479.txt</v>
      </c>
      <c r="J175" s="5" t="str">
        <f t="shared" si="8"/>
        <v>W:\Performance Measurement\1. Freeway\1. raw data\2013\data files\det_479.xlsx</v>
      </c>
      <c r="K175" s="5"/>
      <c r="M175" s="107" t="s">
        <v>68</v>
      </c>
      <c r="N175" s="10">
        <v>479</v>
      </c>
      <c r="O175" s="10">
        <v>5</v>
      </c>
      <c r="P175" s="10">
        <v>1</v>
      </c>
    </row>
    <row r="176" spans="4:16" x14ac:dyDescent="0.25">
      <c r="D176" s="95">
        <v>172</v>
      </c>
      <c r="E176" s="10">
        <v>482</v>
      </c>
      <c r="F176" s="10">
        <v>5</v>
      </c>
      <c r="G176" s="10">
        <v>1</v>
      </c>
      <c r="H176" s="5" t="str">
        <f t="shared" si="6"/>
        <v>det_482</v>
      </c>
      <c r="I176" s="5" t="str">
        <f t="shared" si="7"/>
        <v>W:\Performance Measurement\1. Freeway\1. raw data\2013\data files\det_482.txt</v>
      </c>
      <c r="J176" s="5" t="str">
        <f t="shared" si="8"/>
        <v>W:\Performance Measurement\1. Freeway\1. raw data\2013\data files\det_482.xlsx</v>
      </c>
      <c r="K176" s="5"/>
      <c r="M176" s="107" t="s">
        <v>68</v>
      </c>
      <c r="N176" s="10">
        <v>482</v>
      </c>
      <c r="O176" s="10">
        <v>5</v>
      </c>
      <c r="P176" s="10">
        <v>1</v>
      </c>
    </row>
    <row r="177" spans="4:16" x14ac:dyDescent="0.25">
      <c r="D177" s="95">
        <v>173</v>
      </c>
      <c r="E177" s="10">
        <v>485</v>
      </c>
      <c r="F177" s="10">
        <v>5</v>
      </c>
      <c r="G177" s="10">
        <v>1</v>
      </c>
      <c r="H177" s="5" t="str">
        <f t="shared" si="6"/>
        <v>det_485</v>
      </c>
      <c r="I177" s="5" t="str">
        <f t="shared" si="7"/>
        <v>W:\Performance Measurement\1. Freeway\1. raw data\2013\data files\det_485.txt</v>
      </c>
      <c r="J177" s="5" t="str">
        <f t="shared" si="8"/>
        <v>W:\Performance Measurement\1. Freeway\1. raw data\2013\data files\det_485.xlsx</v>
      </c>
      <c r="K177" s="5"/>
      <c r="M177" s="107" t="s">
        <v>68</v>
      </c>
      <c r="N177" s="10">
        <v>485</v>
      </c>
      <c r="O177" s="10">
        <v>5</v>
      </c>
      <c r="P177" s="10">
        <v>1</v>
      </c>
    </row>
    <row r="178" spans="4:16" x14ac:dyDescent="0.25">
      <c r="D178" s="95">
        <v>174</v>
      </c>
      <c r="E178" s="10">
        <v>488</v>
      </c>
      <c r="F178" s="10">
        <v>3</v>
      </c>
      <c r="G178" s="10">
        <v>1</v>
      </c>
      <c r="H178" s="5" t="str">
        <f t="shared" si="6"/>
        <v>det_488</v>
      </c>
      <c r="I178" s="5" t="str">
        <f t="shared" si="7"/>
        <v>W:\Performance Measurement\1. Freeway\1. raw data\2013\data files\det_488.txt</v>
      </c>
      <c r="J178" s="5" t="str">
        <f t="shared" si="8"/>
        <v>W:\Performance Measurement\1. Freeway\1. raw data\2013\data files\det_488.xlsx</v>
      </c>
      <c r="K178" s="5"/>
      <c r="M178" s="107" t="s">
        <v>68</v>
      </c>
      <c r="N178" s="10">
        <v>488</v>
      </c>
      <c r="O178" s="10">
        <v>3</v>
      </c>
      <c r="P178" s="10">
        <v>1</v>
      </c>
    </row>
    <row r="179" spans="4:16" x14ac:dyDescent="0.25">
      <c r="D179" s="95">
        <v>175</v>
      </c>
      <c r="E179" s="10">
        <v>490</v>
      </c>
      <c r="F179" s="10">
        <v>3</v>
      </c>
      <c r="G179" s="10">
        <v>1</v>
      </c>
      <c r="H179" s="5" t="str">
        <f t="shared" si="6"/>
        <v>det_490</v>
      </c>
      <c r="I179" s="5" t="str">
        <f t="shared" si="7"/>
        <v>W:\Performance Measurement\1. Freeway\1. raw data\2013\data files\det_490.txt</v>
      </c>
      <c r="J179" s="5" t="str">
        <f t="shared" si="8"/>
        <v>W:\Performance Measurement\1. Freeway\1. raw data\2013\data files\det_490.xlsx</v>
      </c>
      <c r="K179" s="5"/>
      <c r="M179" s="107" t="s">
        <v>68</v>
      </c>
      <c r="N179" s="10">
        <v>490</v>
      </c>
      <c r="O179" s="10">
        <v>3</v>
      </c>
      <c r="P179" s="10">
        <v>1</v>
      </c>
    </row>
    <row r="180" spans="4:16" x14ac:dyDescent="0.25">
      <c r="D180" s="95">
        <v>176</v>
      </c>
      <c r="E180" s="10">
        <v>465</v>
      </c>
      <c r="F180" s="10">
        <v>5</v>
      </c>
      <c r="G180" s="10">
        <v>1</v>
      </c>
      <c r="H180" s="5" t="str">
        <f t="shared" si="6"/>
        <v>det_465</v>
      </c>
      <c r="I180" s="5" t="str">
        <f t="shared" si="7"/>
        <v>W:\Performance Measurement\1. Freeway\1. raw data\2013\data files\det_465.txt</v>
      </c>
      <c r="J180" s="5" t="str">
        <f t="shared" si="8"/>
        <v>W:\Performance Measurement\1. Freeway\1. raw data\2013\data files\det_465.xlsx</v>
      </c>
      <c r="K180" s="5"/>
      <c r="M180" s="107" t="s">
        <v>69</v>
      </c>
      <c r="N180" s="10">
        <v>465</v>
      </c>
      <c r="O180" s="10">
        <v>5</v>
      </c>
      <c r="P180" s="10">
        <v>1</v>
      </c>
    </row>
    <row r="181" spans="4:16" x14ac:dyDescent="0.25">
      <c r="D181" s="95">
        <v>177</v>
      </c>
      <c r="E181" s="10">
        <v>520</v>
      </c>
      <c r="F181" s="10">
        <v>5</v>
      </c>
      <c r="G181" s="10">
        <v>1</v>
      </c>
      <c r="H181" s="5" t="str">
        <f t="shared" si="6"/>
        <v>det_520</v>
      </c>
      <c r="I181" s="5" t="str">
        <f t="shared" si="7"/>
        <v>W:\Performance Measurement\1. Freeway\1. raw data\2013\data files\det_520.txt</v>
      </c>
      <c r="J181" s="5" t="str">
        <f t="shared" si="8"/>
        <v>W:\Performance Measurement\1. Freeway\1. raw data\2013\data files\det_520.xlsx</v>
      </c>
      <c r="K181" s="5"/>
      <c r="M181" s="107" t="s">
        <v>69</v>
      </c>
      <c r="N181" s="10">
        <v>520</v>
      </c>
      <c r="O181" s="10">
        <v>5</v>
      </c>
      <c r="P181" s="10">
        <v>1</v>
      </c>
    </row>
    <row r="182" spans="4:16" x14ac:dyDescent="0.25">
      <c r="D182" s="95">
        <v>178</v>
      </c>
      <c r="E182" s="10">
        <v>521</v>
      </c>
      <c r="F182" s="10">
        <v>5</v>
      </c>
      <c r="G182" s="10">
        <v>1</v>
      </c>
      <c r="H182" s="5" t="str">
        <f t="shared" si="6"/>
        <v>det_521</v>
      </c>
      <c r="I182" s="5" t="str">
        <f t="shared" si="7"/>
        <v>W:\Performance Measurement\1. Freeway\1. raw data\2013\data files\det_521.txt</v>
      </c>
      <c r="J182" s="5" t="str">
        <f t="shared" si="8"/>
        <v>W:\Performance Measurement\1. Freeway\1. raw data\2013\data files\det_521.xlsx</v>
      </c>
      <c r="K182" s="5"/>
      <c r="M182" s="107" t="s">
        <v>69</v>
      </c>
      <c r="N182" s="10">
        <v>521</v>
      </c>
      <c r="O182" s="10">
        <v>5</v>
      </c>
      <c r="P182" s="10">
        <v>1</v>
      </c>
    </row>
    <row r="183" spans="4:16" x14ac:dyDescent="0.25">
      <c r="D183" s="95">
        <v>179</v>
      </c>
      <c r="E183" s="10">
        <v>522</v>
      </c>
      <c r="F183" s="10">
        <v>5</v>
      </c>
      <c r="G183" s="10">
        <v>1</v>
      </c>
      <c r="H183" s="5" t="str">
        <f t="shared" si="6"/>
        <v>det_522</v>
      </c>
      <c r="I183" s="5" t="str">
        <f t="shared" si="7"/>
        <v>W:\Performance Measurement\1. Freeway\1. raw data\2013\data files\det_522.txt</v>
      </c>
      <c r="J183" s="5" t="str">
        <f t="shared" si="8"/>
        <v>W:\Performance Measurement\1. Freeway\1. raw data\2013\data files\det_522.xlsx</v>
      </c>
      <c r="K183" s="5"/>
      <c r="M183" s="107" t="s">
        <v>69</v>
      </c>
      <c r="N183" s="10">
        <v>522</v>
      </c>
      <c r="O183" s="10">
        <v>5</v>
      </c>
      <c r="P183" s="10">
        <v>1</v>
      </c>
    </row>
    <row r="184" spans="4:16" x14ac:dyDescent="0.25">
      <c r="D184" s="95">
        <v>180</v>
      </c>
      <c r="E184" s="10">
        <v>523</v>
      </c>
      <c r="F184" s="10">
        <v>5</v>
      </c>
      <c r="G184" s="10">
        <v>1</v>
      </c>
      <c r="H184" s="5" t="str">
        <f t="shared" si="6"/>
        <v>det_523</v>
      </c>
      <c r="I184" s="5" t="str">
        <f t="shared" si="7"/>
        <v>W:\Performance Measurement\1. Freeway\1. raw data\2013\data files\det_523.txt</v>
      </c>
      <c r="J184" s="5" t="str">
        <f t="shared" si="8"/>
        <v>W:\Performance Measurement\1. Freeway\1. raw data\2013\data files\det_523.xlsx</v>
      </c>
      <c r="K184" s="5"/>
      <c r="M184" s="107" t="s">
        <v>69</v>
      </c>
      <c r="N184" s="10">
        <v>523</v>
      </c>
      <c r="O184" s="10">
        <v>5</v>
      </c>
      <c r="P184" s="10">
        <v>1</v>
      </c>
    </row>
    <row r="185" spans="4:16" x14ac:dyDescent="0.25">
      <c r="D185" s="95">
        <v>181</v>
      </c>
      <c r="E185" s="10">
        <v>524</v>
      </c>
      <c r="F185" s="10">
        <v>5</v>
      </c>
      <c r="G185" s="10">
        <v>1</v>
      </c>
      <c r="H185" s="5" t="str">
        <f t="shared" si="6"/>
        <v>det_524</v>
      </c>
      <c r="I185" s="5" t="str">
        <f t="shared" si="7"/>
        <v>W:\Performance Measurement\1. Freeway\1. raw data\2013\data files\det_524.txt</v>
      </c>
      <c r="J185" s="5" t="str">
        <f t="shared" si="8"/>
        <v>W:\Performance Measurement\1. Freeway\1. raw data\2013\data files\det_524.xlsx</v>
      </c>
      <c r="K185" s="5"/>
      <c r="M185" s="107" t="s">
        <v>69</v>
      </c>
      <c r="N185" s="10">
        <v>524</v>
      </c>
      <c r="O185" s="10">
        <v>5</v>
      </c>
      <c r="P185" s="10">
        <v>1</v>
      </c>
    </row>
    <row r="186" spans="4:16" x14ac:dyDescent="0.25">
      <c r="D186" s="95">
        <v>182</v>
      </c>
      <c r="E186" s="10">
        <v>525</v>
      </c>
      <c r="F186" s="10">
        <v>4</v>
      </c>
      <c r="G186" s="10">
        <v>1</v>
      </c>
      <c r="H186" s="5" t="str">
        <f t="shared" si="6"/>
        <v>det_525</v>
      </c>
      <c r="I186" s="5" t="str">
        <f t="shared" si="7"/>
        <v>W:\Performance Measurement\1. Freeway\1. raw data\2013\data files\det_525.txt</v>
      </c>
      <c r="J186" s="5" t="str">
        <f t="shared" si="8"/>
        <v>W:\Performance Measurement\1. Freeway\1. raw data\2013\data files\det_525.xlsx</v>
      </c>
      <c r="K186" s="5"/>
      <c r="M186" s="107" t="s">
        <v>69</v>
      </c>
      <c r="N186" s="10">
        <v>525</v>
      </c>
      <c r="O186" s="10">
        <v>4</v>
      </c>
      <c r="P186" s="10">
        <v>1</v>
      </c>
    </row>
    <row r="187" spans="4:16" x14ac:dyDescent="0.25">
      <c r="D187" s="95">
        <v>183</v>
      </c>
      <c r="E187" s="10">
        <v>526</v>
      </c>
      <c r="F187" s="10">
        <v>3</v>
      </c>
      <c r="G187" s="10">
        <v>1</v>
      </c>
      <c r="H187" s="5" t="str">
        <f t="shared" si="6"/>
        <v>det_526</v>
      </c>
      <c r="I187" s="5" t="str">
        <f t="shared" si="7"/>
        <v>W:\Performance Measurement\1. Freeway\1. raw data\2013\data files\det_526.txt</v>
      </c>
      <c r="J187" s="5" t="str">
        <f t="shared" si="8"/>
        <v>W:\Performance Measurement\1. Freeway\1. raw data\2013\data files\det_526.xlsx</v>
      </c>
      <c r="K187" s="5"/>
      <c r="M187" s="107" t="s">
        <v>69</v>
      </c>
      <c r="N187" s="10">
        <v>526</v>
      </c>
      <c r="O187" s="10">
        <v>3</v>
      </c>
      <c r="P187" s="10">
        <v>1</v>
      </c>
    </row>
    <row r="188" spans="4:16" x14ac:dyDescent="0.25">
      <c r="D188" s="95">
        <v>184</v>
      </c>
      <c r="E188" s="10">
        <v>532</v>
      </c>
      <c r="F188" s="10">
        <v>4</v>
      </c>
      <c r="G188" s="10">
        <v>1</v>
      </c>
      <c r="H188" s="5" t="str">
        <f t="shared" si="6"/>
        <v>det_532</v>
      </c>
      <c r="I188" s="5" t="str">
        <f t="shared" si="7"/>
        <v>W:\Performance Measurement\1. Freeway\1. raw data\2013\data files\det_532.txt</v>
      </c>
      <c r="J188" s="5" t="str">
        <f t="shared" si="8"/>
        <v>W:\Performance Measurement\1. Freeway\1. raw data\2013\data files\det_532.xlsx</v>
      </c>
      <c r="K188" s="5"/>
      <c r="M188" s="107" t="s">
        <v>69</v>
      </c>
      <c r="N188" s="10">
        <v>532</v>
      </c>
      <c r="O188" s="10">
        <v>4</v>
      </c>
      <c r="P188" s="10">
        <v>1</v>
      </c>
    </row>
    <row r="189" spans="4:16" x14ac:dyDescent="0.25">
      <c r="D189" s="95">
        <v>185</v>
      </c>
      <c r="E189" s="10">
        <v>533</v>
      </c>
      <c r="F189" s="10">
        <v>6</v>
      </c>
      <c r="G189" s="10">
        <v>1</v>
      </c>
      <c r="H189" s="5" t="str">
        <f t="shared" si="6"/>
        <v>det_533</v>
      </c>
      <c r="I189" s="5" t="str">
        <f t="shared" si="7"/>
        <v>W:\Performance Measurement\1. Freeway\1. raw data\2013\data files\det_533.txt</v>
      </c>
      <c r="J189" s="5" t="str">
        <f t="shared" si="8"/>
        <v>W:\Performance Measurement\1. Freeway\1. raw data\2013\data files\det_533.xlsx</v>
      </c>
      <c r="K189" s="5"/>
      <c r="M189" s="107" t="s">
        <v>69</v>
      </c>
      <c r="N189" s="10">
        <v>533</v>
      </c>
      <c r="O189" s="10">
        <v>6</v>
      </c>
      <c r="P189" s="10">
        <v>1</v>
      </c>
    </row>
    <row r="190" spans="4:16" x14ac:dyDescent="0.25">
      <c r="D190" s="95">
        <v>186</v>
      </c>
      <c r="E190" s="10">
        <v>534</v>
      </c>
      <c r="F190" s="10">
        <v>5</v>
      </c>
      <c r="G190" s="10">
        <v>1</v>
      </c>
      <c r="H190" s="5" t="str">
        <f t="shared" si="6"/>
        <v>det_534</v>
      </c>
      <c r="I190" s="5" t="str">
        <f t="shared" si="7"/>
        <v>W:\Performance Measurement\1. Freeway\1. raw data\2013\data files\det_534.txt</v>
      </c>
      <c r="J190" s="5" t="str">
        <f t="shared" si="8"/>
        <v>W:\Performance Measurement\1. Freeway\1. raw data\2013\data files\det_534.xlsx</v>
      </c>
      <c r="K190" s="5"/>
      <c r="M190" s="107" t="s">
        <v>69</v>
      </c>
      <c r="N190" s="10">
        <v>534</v>
      </c>
      <c r="O190" s="10">
        <v>5</v>
      </c>
      <c r="P190" s="10">
        <v>1</v>
      </c>
    </row>
    <row r="191" spans="4:16" x14ac:dyDescent="0.25">
      <c r="D191" s="95">
        <v>187</v>
      </c>
      <c r="E191" s="10">
        <v>535</v>
      </c>
      <c r="F191" s="10">
        <v>5</v>
      </c>
      <c r="G191" s="10">
        <v>1</v>
      </c>
      <c r="H191" s="5" t="str">
        <f t="shared" si="6"/>
        <v>det_535</v>
      </c>
      <c r="I191" s="5" t="str">
        <f t="shared" si="7"/>
        <v>W:\Performance Measurement\1. Freeway\1. raw data\2013\data files\det_535.txt</v>
      </c>
      <c r="J191" s="5" t="str">
        <f t="shared" si="8"/>
        <v>W:\Performance Measurement\1. Freeway\1. raw data\2013\data files\det_535.xlsx</v>
      </c>
      <c r="K191" s="5"/>
      <c r="M191" s="107" t="s">
        <v>69</v>
      </c>
      <c r="N191" s="10">
        <v>535</v>
      </c>
      <c r="O191" s="10">
        <v>5</v>
      </c>
      <c r="P191" s="10">
        <v>1</v>
      </c>
    </row>
    <row r="192" spans="4:16" x14ac:dyDescent="0.25">
      <c r="D192" s="95">
        <v>188</v>
      </c>
      <c r="E192" s="10">
        <v>536</v>
      </c>
      <c r="F192" s="10">
        <v>5</v>
      </c>
      <c r="G192" s="10">
        <v>1</v>
      </c>
      <c r="H192" s="5" t="str">
        <f t="shared" si="6"/>
        <v>det_536</v>
      </c>
      <c r="I192" s="5" t="str">
        <f t="shared" si="7"/>
        <v>W:\Performance Measurement\1. Freeway\1. raw data\2013\data files\det_536.txt</v>
      </c>
      <c r="J192" s="5" t="str">
        <f t="shared" si="8"/>
        <v>W:\Performance Measurement\1. Freeway\1. raw data\2013\data files\det_536.xlsx</v>
      </c>
      <c r="K192" s="5"/>
      <c r="M192" s="107" t="s">
        <v>69</v>
      </c>
      <c r="N192" s="10">
        <v>536</v>
      </c>
      <c r="O192" s="10">
        <v>5</v>
      </c>
      <c r="P192" s="10">
        <v>1</v>
      </c>
    </row>
    <row r="193" spans="4:16" x14ac:dyDescent="0.25">
      <c r="D193" s="95">
        <v>189</v>
      </c>
      <c r="E193" s="10">
        <v>537</v>
      </c>
      <c r="F193" s="10">
        <v>5</v>
      </c>
      <c r="G193" s="10">
        <v>1</v>
      </c>
      <c r="H193" s="5" t="str">
        <f t="shared" si="6"/>
        <v>det_537</v>
      </c>
      <c r="I193" s="5" t="str">
        <f t="shared" si="7"/>
        <v>W:\Performance Measurement\1. Freeway\1. raw data\2013\data files\det_537.txt</v>
      </c>
      <c r="J193" s="5" t="str">
        <f t="shared" si="8"/>
        <v>W:\Performance Measurement\1. Freeway\1. raw data\2013\data files\det_537.xlsx</v>
      </c>
      <c r="K193" s="5"/>
      <c r="M193" s="107" t="s">
        <v>69</v>
      </c>
      <c r="N193" s="10">
        <v>537</v>
      </c>
      <c r="O193" s="10">
        <v>5</v>
      </c>
      <c r="P193" s="10">
        <v>1</v>
      </c>
    </row>
    <row r="194" spans="4:16" x14ac:dyDescent="0.25">
      <c r="D194" s="95">
        <v>190</v>
      </c>
      <c r="E194" s="10">
        <v>538</v>
      </c>
      <c r="F194" s="10">
        <v>5</v>
      </c>
      <c r="G194" s="10">
        <v>1</v>
      </c>
      <c r="H194" s="5" t="str">
        <f t="shared" si="6"/>
        <v>det_538</v>
      </c>
      <c r="I194" s="5" t="str">
        <f t="shared" si="7"/>
        <v>W:\Performance Measurement\1. Freeway\1. raw data\2013\data files\det_538.txt</v>
      </c>
      <c r="J194" s="5" t="str">
        <f t="shared" si="8"/>
        <v>W:\Performance Measurement\1. Freeway\1. raw data\2013\data files\det_538.xlsx</v>
      </c>
      <c r="K194" s="5"/>
      <c r="M194" s="107" t="s">
        <v>69</v>
      </c>
      <c r="N194" s="10">
        <v>538</v>
      </c>
      <c r="O194" s="10">
        <v>5</v>
      </c>
      <c r="P194" s="10">
        <v>1</v>
      </c>
    </row>
    <row r="195" spans="4:16" x14ac:dyDescent="0.25">
      <c r="D195" s="95">
        <v>191</v>
      </c>
      <c r="E195" s="10">
        <v>178</v>
      </c>
      <c r="F195" s="10">
        <v>3</v>
      </c>
      <c r="G195" s="10">
        <v>0</v>
      </c>
      <c r="H195" s="5" t="str">
        <f t="shared" si="6"/>
        <v>det_178</v>
      </c>
      <c r="I195" s="5" t="str">
        <f t="shared" si="7"/>
        <v>W:\Performance Measurement\1. Freeway\1. raw data\2013\data files\det_178.txt</v>
      </c>
      <c r="J195" s="5" t="str">
        <f t="shared" si="8"/>
        <v>W:\Performance Measurement\1. Freeway\1. raw data\2013\data files\det_178.xlsx</v>
      </c>
      <c r="K195" s="5"/>
      <c r="M195" s="107" t="s">
        <v>70</v>
      </c>
      <c r="N195" s="10">
        <v>178</v>
      </c>
      <c r="O195" s="10">
        <v>3</v>
      </c>
      <c r="P195" s="10">
        <v>0</v>
      </c>
    </row>
    <row r="196" spans="4:16" x14ac:dyDescent="0.25">
      <c r="D196" s="95">
        <v>192</v>
      </c>
      <c r="E196" s="10">
        <v>179</v>
      </c>
      <c r="F196" s="10">
        <v>2</v>
      </c>
      <c r="G196" s="10">
        <v>0</v>
      </c>
      <c r="H196" s="5" t="str">
        <f t="shared" si="6"/>
        <v>det_179</v>
      </c>
      <c r="I196" s="5" t="str">
        <f t="shared" si="7"/>
        <v>W:\Performance Measurement\1. Freeway\1. raw data\2013\data files\det_179.txt</v>
      </c>
      <c r="J196" s="5" t="str">
        <f t="shared" si="8"/>
        <v>W:\Performance Measurement\1. Freeway\1. raw data\2013\data files\det_179.xlsx</v>
      </c>
      <c r="K196" s="5"/>
      <c r="M196" s="107" t="s">
        <v>70</v>
      </c>
      <c r="N196" s="10">
        <v>179</v>
      </c>
      <c r="O196" s="10">
        <v>2</v>
      </c>
      <c r="P196" s="10">
        <v>0</v>
      </c>
    </row>
    <row r="197" spans="4:16" x14ac:dyDescent="0.25">
      <c r="D197" s="95">
        <v>193</v>
      </c>
      <c r="E197" s="10">
        <v>182</v>
      </c>
      <c r="F197" s="10">
        <v>3</v>
      </c>
      <c r="G197" s="10">
        <v>0</v>
      </c>
      <c r="H197" s="5" t="str">
        <f t="shared" ref="H197:H260" si="9">"det_"&amp;E197&amp;""</f>
        <v>det_182</v>
      </c>
      <c r="I197" s="5" t="str">
        <f t="shared" ref="I197:I260" si="10">$B$5&amp;"\"&amp;H197&amp;".txt"</f>
        <v>W:\Performance Measurement\1. Freeway\1. raw data\2013\data files\det_182.txt</v>
      </c>
      <c r="J197" s="5" t="str">
        <f t="shared" ref="J197:J260" si="11">$B$5&amp;"\"&amp;H197&amp;".xlsx"</f>
        <v>W:\Performance Measurement\1. Freeway\1. raw data\2013\data files\det_182.xlsx</v>
      </c>
      <c r="K197" s="5"/>
      <c r="M197" s="107" t="s">
        <v>70</v>
      </c>
      <c r="N197" s="10">
        <v>182</v>
      </c>
      <c r="O197" s="10">
        <v>3</v>
      </c>
      <c r="P197" s="10">
        <v>0</v>
      </c>
    </row>
    <row r="198" spans="4:16" x14ac:dyDescent="0.25">
      <c r="D198" s="95">
        <v>194</v>
      </c>
      <c r="E198" s="10">
        <v>184</v>
      </c>
      <c r="F198" s="10">
        <v>2</v>
      </c>
      <c r="G198" s="10">
        <v>0</v>
      </c>
      <c r="H198" s="5" t="str">
        <f t="shared" si="9"/>
        <v>det_184</v>
      </c>
      <c r="I198" s="5" t="str">
        <f t="shared" si="10"/>
        <v>W:\Performance Measurement\1. Freeway\1. raw data\2013\data files\det_184.txt</v>
      </c>
      <c r="J198" s="5" t="str">
        <f t="shared" si="11"/>
        <v>W:\Performance Measurement\1. Freeway\1. raw data\2013\data files\det_184.xlsx</v>
      </c>
      <c r="K198" s="5"/>
      <c r="M198" s="107" t="s">
        <v>70</v>
      </c>
      <c r="N198" s="10">
        <v>184</v>
      </c>
      <c r="O198" s="10">
        <v>2</v>
      </c>
      <c r="P198" s="10">
        <v>0</v>
      </c>
    </row>
    <row r="199" spans="4:16" x14ac:dyDescent="0.25">
      <c r="D199" s="95">
        <v>195</v>
      </c>
      <c r="E199" s="10">
        <v>187</v>
      </c>
      <c r="F199" s="10">
        <v>2</v>
      </c>
      <c r="G199" s="10">
        <v>0</v>
      </c>
      <c r="H199" s="5" t="str">
        <f t="shared" si="9"/>
        <v>det_187</v>
      </c>
      <c r="I199" s="5" t="str">
        <f t="shared" si="10"/>
        <v>W:\Performance Measurement\1. Freeway\1. raw data\2013\data files\det_187.txt</v>
      </c>
      <c r="J199" s="5" t="str">
        <f t="shared" si="11"/>
        <v>W:\Performance Measurement\1. Freeway\1. raw data\2013\data files\det_187.xlsx</v>
      </c>
      <c r="K199" s="5"/>
      <c r="M199" s="107" t="s">
        <v>70</v>
      </c>
      <c r="N199" s="10">
        <v>187</v>
      </c>
      <c r="O199" s="10">
        <v>2</v>
      </c>
      <c r="P199" s="10">
        <v>0</v>
      </c>
    </row>
    <row r="200" spans="4:16" x14ac:dyDescent="0.25">
      <c r="D200" s="95">
        <v>196</v>
      </c>
      <c r="E200" s="10">
        <v>176</v>
      </c>
      <c r="F200" s="10">
        <v>2</v>
      </c>
      <c r="G200" s="10">
        <v>0</v>
      </c>
      <c r="H200" s="5" t="str">
        <f t="shared" si="9"/>
        <v>det_176</v>
      </c>
      <c r="I200" s="5" t="str">
        <f t="shared" si="10"/>
        <v>W:\Performance Measurement\1. Freeway\1. raw data\2013\data files\det_176.txt</v>
      </c>
      <c r="J200" s="5" t="str">
        <f t="shared" si="11"/>
        <v>W:\Performance Measurement\1. Freeway\1. raw data\2013\data files\det_176.xlsx</v>
      </c>
      <c r="K200" s="5"/>
      <c r="M200" s="107" t="s">
        <v>70</v>
      </c>
      <c r="N200" s="10">
        <v>176</v>
      </c>
      <c r="O200" s="10">
        <v>2</v>
      </c>
      <c r="P200" s="10">
        <v>0</v>
      </c>
    </row>
    <row r="201" spans="4:16" x14ac:dyDescent="0.25">
      <c r="D201" s="95">
        <v>197</v>
      </c>
      <c r="E201" s="10">
        <v>171</v>
      </c>
      <c r="F201" s="10">
        <v>3</v>
      </c>
      <c r="G201" s="10">
        <v>0</v>
      </c>
      <c r="H201" s="5" t="str">
        <f t="shared" si="9"/>
        <v>det_171</v>
      </c>
      <c r="I201" s="5" t="str">
        <f t="shared" si="10"/>
        <v>W:\Performance Measurement\1. Freeway\1. raw data\2013\data files\det_171.txt</v>
      </c>
      <c r="J201" s="5" t="str">
        <f t="shared" si="11"/>
        <v>W:\Performance Measurement\1. Freeway\1. raw data\2013\data files\det_171.xlsx</v>
      </c>
      <c r="K201" s="5"/>
      <c r="M201" s="107" t="s">
        <v>70</v>
      </c>
      <c r="N201" s="10">
        <v>171</v>
      </c>
      <c r="O201" s="10">
        <v>3</v>
      </c>
      <c r="P201" s="10">
        <v>0</v>
      </c>
    </row>
    <row r="202" spans="4:16" x14ac:dyDescent="0.25">
      <c r="D202" s="95">
        <v>198</v>
      </c>
      <c r="E202" s="10">
        <v>169</v>
      </c>
      <c r="F202" s="10">
        <v>3</v>
      </c>
      <c r="G202" s="10">
        <v>0</v>
      </c>
      <c r="H202" s="5" t="str">
        <f t="shared" si="9"/>
        <v>det_169</v>
      </c>
      <c r="I202" s="5" t="str">
        <f t="shared" si="10"/>
        <v>W:\Performance Measurement\1. Freeway\1. raw data\2013\data files\det_169.txt</v>
      </c>
      <c r="J202" s="5" t="str">
        <f t="shared" si="11"/>
        <v>W:\Performance Measurement\1. Freeway\1. raw data\2013\data files\det_169.xlsx</v>
      </c>
      <c r="K202" s="5"/>
      <c r="M202" s="107" t="s">
        <v>70</v>
      </c>
      <c r="N202" s="10">
        <v>169</v>
      </c>
      <c r="O202" s="10">
        <v>3</v>
      </c>
      <c r="P202" s="10">
        <v>0</v>
      </c>
    </row>
    <row r="203" spans="4:16" x14ac:dyDescent="0.25">
      <c r="D203" s="95">
        <v>199</v>
      </c>
      <c r="E203" s="10">
        <v>167</v>
      </c>
      <c r="F203" s="10">
        <v>2</v>
      </c>
      <c r="G203" s="10">
        <v>0</v>
      </c>
      <c r="H203" s="5" t="str">
        <f t="shared" si="9"/>
        <v>det_167</v>
      </c>
      <c r="I203" s="5" t="str">
        <f t="shared" si="10"/>
        <v>W:\Performance Measurement\1. Freeway\1. raw data\2013\data files\det_167.txt</v>
      </c>
      <c r="J203" s="5" t="str">
        <f t="shared" si="11"/>
        <v>W:\Performance Measurement\1. Freeway\1. raw data\2013\data files\det_167.xlsx</v>
      </c>
      <c r="K203" s="5"/>
      <c r="M203" s="107" t="s">
        <v>70</v>
      </c>
      <c r="N203" s="10">
        <v>167</v>
      </c>
      <c r="O203" s="10">
        <v>2</v>
      </c>
      <c r="P203" s="10">
        <v>0</v>
      </c>
    </row>
    <row r="204" spans="4:16" x14ac:dyDescent="0.25">
      <c r="D204" s="95">
        <v>200</v>
      </c>
      <c r="E204" s="10">
        <v>539</v>
      </c>
      <c r="F204" s="10">
        <v>0</v>
      </c>
      <c r="G204" s="10">
        <v>0</v>
      </c>
      <c r="H204" s="5" t="str">
        <f t="shared" si="9"/>
        <v>det_539</v>
      </c>
      <c r="I204" s="5" t="str">
        <f t="shared" si="10"/>
        <v>W:\Performance Measurement\1. Freeway\1. raw data\2013\data files\det_539.txt</v>
      </c>
      <c r="J204" s="5" t="str">
        <f t="shared" si="11"/>
        <v>W:\Performance Measurement\1. Freeway\1. raw data\2013\data files\det_539.xlsx</v>
      </c>
      <c r="K204" s="5"/>
      <c r="M204" s="107" t="s">
        <v>71</v>
      </c>
      <c r="N204" s="10">
        <v>539</v>
      </c>
      <c r="O204" s="10">
        <v>0</v>
      </c>
      <c r="P204" s="10">
        <v>0</v>
      </c>
    </row>
    <row r="205" spans="4:16" x14ac:dyDescent="0.25">
      <c r="D205" s="95">
        <v>201</v>
      </c>
      <c r="E205" s="10">
        <v>540</v>
      </c>
      <c r="F205" s="10">
        <v>3</v>
      </c>
      <c r="G205" s="10">
        <v>1</v>
      </c>
      <c r="H205" s="5" t="str">
        <f t="shared" si="9"/>
        <v>det_540</v>
      </c>
      <c r="I205" s="5" t="str">
        <f t="shared" si="10"/>
        <v>W:\Performance Measurement\1. Freeway\1. raw data\2013\data files\det_540.txt</v>
      </c>
      <c r="J205" s="5" t="str">
        <f t="shared" si="11"/>
        <v>W:\Performance Measurement\1. Freeway\1. raw data\2013\data files\det_540.xlsx</v>
      </c>
      <c r="K205" s="5"/>
      <c r="M205" s="107" t="s">
        <v>71</v>
      </c>
      <c r="N205" s="10">
        <v>540</v>
      </c>
      <c r="O205" s="10">
        <v>3</v>
      </c>
      <c r="P205" s="10">
        <v>1</v>
      </c>
    </row>
    <row r="206" spans="4:16" x14ac:dyDescent="0.25">
      <c r="D206" s="95">
        <v>202</v>
      </c>
      <c r="E206" s="10">
        <v>541</v>
      </c>
      <c r="F206" s="10">
        <v>3</v>
      </c>
      <c r="G206" s="10">
        <v>1</v>
      </c>
      <c r="H206" s="5" t="str">
        <f t="shared" si="9"/>
        <v>det_541</v>
      </c>
      <c r="I206" s="5" t="str">
        <f t="shared" si="10"/>
        <v>W:\Performance Measurement\1. Freeway\1. raw data\2013\data files\det_541.txt</v>
      </c>
      <c r="J206" s="5" t="str">
        <f t="shared" si="11"/>
        <v>W:\Performance Measurement\1. Freeway\1. raw data\2013\data files\det_541.xlsx</v>
      </c>
      <c r="K206" s="5"/>
      <c r="M206" s="107" t="s">
        <v>71</v>
      </c>
      <c r="N206" s="10">
        <v>541</v>
      </c>
      <c r="O206" s="10">
        <v>3</v>
      </c>
      <c r="P206" s="10">
        <v>1</v>
      </c>
    </row>
    <row r="207" spans="4:16" x14ac:dyDescent="0.25">
      <c r="D207" s="95">
        <v>203</v>
      </c>
      <c r="E207" s="10">
        <v>542</v>
      </c>
      <c r="F207" s="10">
        <v>3</v>
      </c>
      <c r="G207" s="10">
        <v>1</v>
      </c>
      <c r="H207" s="5" t="str">
        <f t="shared" si="9"/>
        <v>det_542</v>
      </c>
      <c r="I207" s="5" t="str">
        <f t="shared" si="10"/>
        <v>W:\Performance Measurement\1. Freeway\1. raw data\2013\data files\det_542.txt</v>
      </c>
      <c r="J207" s="5" t="str">
        <f t="shared" si="11"/>
        <v>W:\Performance Measurement\1. Freeway\1. raw data\2013\data files\det_542.xlsx</v>
      </c>
      <c r="K207" s="5"/>
      <c r="M207" s="107" t="s">
        <v>71</v>
      </c>
      <c r="N207" s="10">
        <v>542</v>
      </c>
      <c r="O207" s="10">
        <v>3</v>
      </c>
      <c r="P207" s="10">
        <v>1</v>
      </c>
    </row>
    <row r="208" spans="4:16" x14ac:dyDescent="0.25">
      <c r="D208" s="95">
        <v>204</v>
      </c>
      <c r="E208" s="10">
        <v>543</v>
      </c>
      <c r="F208" s="10">
        <v>3</v>
      </c>
      <c r="G208" s="10">
        <v>1</v>
      </c>
      <c r="H208" s="5" t="str">
        <f t="shared" si="9"/>
        <v>det_543</v>
      </c>
      <c r="I208" s="5" t="str">
        <f t="shared" si="10"/>
        <v>W:\Performance Measurement\1. Freeway\1. raw data\2013\data files\det_543.txt</v>
      </c>
      <c r="J208" s="5" t="str">
        <f t="shared" si="11"/>
        <v>W:\Performance Measurement\1. Freeway\1. raw data\2013\data files\det_543.xlsx</v>
      </c>
      <c r="K208" s="5"/>
      <c r="M208" s="107" t="s">
        <v>71</v>
      </c>
      <c r="N208" s="10">
        <v>543</v>
      </c>
      <c r="O208" s="10">
        <v>3</v>
      </c>
      <c r="P208" s="10">
        <v>1</v>
      </c>
    </row>
    <row r="209" spans="4:16" x14ac:dyDescent="0.25">
      <c r="D209" s="95">
        <v>205</v>
      </c>
      <c r="E209" s="10">
        <v>514</v>
      </c>
      <c r="F209" s="10">
        <v>4</v>
      </c>
      <c r="G209" s="10">
        <v>1</v>
      </c>
      <c r="H209" s="5" t="str">
        <f t="shared" si="9"/>
        <v>det_514</v>
      </c>
      <c r="I209" s="5" t="str">
        <f t="shared" si="10"/>
        <v>W:\Performance Measurement\1. Freeway\1. raw data\2013\data files\det_514.txt</v>
      </c>
      <c r="J209" s="5" t="str">
        <f t="shared" si="11"/>
        <v>W:\Performance Measurement\1. Freeway\1. raw data\2013\data files\det_514.xlsx</v>
      </c>
      <c r="K209" s="5"/>
      <c r="M209" s="107" t="s">
        <v>71</v>
      </c>
      <c r="N209" s="10">
        <v>514</v>
      </c>
      <c r="O209" s="10">
        <v>4</v>
      </c>
      <c r="P209" s="10">
        <v>1</v>
      </c>
    </row>
    <row r="210" spans="4:16" x14ac:dyDescent="0.25">
      <c r="D210" s="95">
        <v>206</v>
      </c>
      <c r="E210" s="10">
        <v>518</v>
      </c>
      <c r="F210" s="10">
        <v>3</v>
      </c>
      <c r="G210" s="10">
        <v>1</v>
      </c>
      <c r="H210" s="5" t="str">
        <f t="shared" si="9"/>
        <v>det_518</v>
      </c>
      <c r="I210" s="5" t="str">
        <f t="shared" si="10"/>
        <v>W:\Performance Measurement\1. Freeway\1. raw data\2013\data files\det_518.txt</v>
      </c>
      <c r="J210" s="5" t="str">
        <f t="shared" si="11"/>
        <v>W:\Performance Measurement\1. Freeway\1. raw data\2013\data files\det_518.xlsx</v>
      </c>
      <c r="K210" s="5"/>
      <c r="M210" s="107" t="s">
        <v>71</v>
      </c>
      <c r="N210" s="10">
        <v>518</v>
      </c>
      <c r="O210" s="10">
        <v>3</v>
      </c>
      <c r="P210" s="10">
        <v>1</v>
      </c>
    </row>
    <row r="211" spans="4:16" x14ac:dyDescent="0.25">
      <c r="D211" s="95">
        <v>207</v>
      </c>
      <c r="E211" s="10">
        <v>510</v>
      </c>
      <c r="F211" s="10">
        <v>4</v>
      </c>
      <c r="G211" s="10">
        <v>1</v>
      </c>
      <c r="H211" s="5" t="str">
        <f t="shared" si="9"/>
        <v>det_510</v>
      </c>
      <c r="I211" s="5" t="str">
        <f t="shared" si="10"/>
        <v>W:\Performance Measurement\1. Freeway\1. raw data\2013\data files\det_510.txt</v>
      </c>
      <c r="J211" s="5" t="str">
        <f t="shared" si="11"/>
        <v>W:\Performance Measurement\1. Freeway\1. raw data\2013\data files\det_510.xlsx</v>
      </c>
      <c r="K211" s="5"/>
      <c r="M211" s="107" t="s">
        <v>71</v>
      </c>
      <c r="N211" s="10">
        <v>510</v>
      </c>
      <c r="O211" s="10">
        <v>4</v>
      </c>
      <c r="P211" s="10">
        <v>1</v>
      </c>
    </row>
    <row r="212" spans="4:16" x14ac:dyDescent="0.25">
      <c r="D212" s="95">
        <v>208</v>
      </c>
      <c r="E212" s="42">
        <v>513</v>
      </c>
      <c r="F212" s="42">
        <v>3</v>
      </c>
      <c r="G212" s="42">
        <v>0</v>
      </c>
      <c r="H212" s="5" t="str">
        <f t="shared" si="9"/>
        <v>det_513</v>
      </c>
      <c r="I212" s="5" t="str">
        <f t="shared" si="10"/>
        <v>W:\Performance Measurement\1. Freeway\1. raw data\2013\data files\det_513.txt</v>
      </c>
      <c r="J212" s="5" t="str">
        <f t="shared" si="11"/>
        <v>W:\Performance Measurement\1. Freeway\1. raw data\2013\data files\det_513.xlsx</v>
      </c>
      <c r="K212" s="5"/>
      <c r="M212" s="104" t="s">
        <v>71</v>
      </c>
      <c r="N212" s="42">
        <v>513</v>
      </c>
      <c r="O212" s="42">
        <v>3</v>
      </c>
      <c r="P212" s="42">
        <v>0</v>
      </c>
    </row>
    <row r="213" spans="4:16" x14ac:dyDescent="0.25">
      <c r="D213" s="95">
        <v>209</v>
      </c>
      <c r="E213" s="10">
        <v>544</v>
      </c>
      <c r="F213" s="10">
        <v>3</v>
      </c>
      <c r="G213" s="10">
        <v>1</v>
      </c>
      <c r="H213" s="5" t="str">
        <f t="shared" si="9"/>
        <v>det_544</v>
      </c>
      <c r="I213" s="5" t="str">
        <f t="shared" si="10"/>
        <v>W:\Performance Measurement\1. Freeway\1. raw data\2013\data files\det_544.txt</v>
      </c>
      <c r="J213" s="5" t="str">
        <f t="shared" si="11"/>
        <v>W:\Performance Measurement\1. Freeway\1. raw data\2013\data files\det_544.xlsx</v>
      </c>
      <c r="K213" s="5"/>
      <c r="M213" s="107" t="s">
        <v>71</v>
      </c>
      <c r="N213" s="10">
        <v>544</v>
      </c>
      <c r="O213" s="10">
        <v>3</v>
      </c>
      <c r="P213" s="10">
        <v>1</v>
      </c>
    </row>
    <row r="214" spans="4:16" x14ac:dyDescent="0.25">
      <c r="D214" s="95">
        <v>210</v>
      </c>
      <c r="E214" s="10">
        <v>545</v>
      </c>
      <c r="F214" s="10">
        <v>3</v>
      </c>
      <c r="G214" s="10">
        <v>1</v>
      </c>
      <c r="H214" s="5" t="str">
        <f t="shared" si="9"/>
        <v>det_545</v>
      </c>
      <c r="I214" s="5" t="str">
        <f t="shared" si="10"/>
        <v>W:\Performance Measurement\1. Freeway\1. raw data\2013\data files\det_545.txt</v>
      </c>
      <c r="J214" s="5" t="str">
        <f t="shared" si="11"/>
        <v>W:\Performance Measurement\1. Freeway\1. raw data\2013\data files\det_545.xlsx</v>
      </c>
      <c r="K214" s="5"/>
      <c r="M214" s="107" t="s">
        <v>71</v>
      </c>
      <c r="N214" s="10">
        <v>545</v>
      </c>
      <c r="O214" s="10">
        <v>3</v>
      </c>
      <c r="P214" s="10">
        <v>1</v>
      </c>
    </row>
    <row r="215" spans="4:16" x14ac:dyDescent="0.25">
      <c r="D215" s="95">
        <v>211</v>
      </c>
      <c r="E215" s="10">
        <v>546</v>
      </c>
      <c r="F215" s="10">
        <v>3</v>
      </c>
      <c r="G215" s="10">
        <v>1</v>
      </c>
      <c r="H215" s="5" t="str">
        <f t="shared" si="9"/>
        <v>det_546</v>
      </c>
      <c r="I215" s="5" t="str">
        <f t="shared" si="10"/>
        <v>W:\Performance Measurement\1. Freeway\1. raw data\2013\data files\det_546.txt</v>
      </c>
      <c r="J215" s="5" t="str">
        <f t="shared" si="11"/>
        <v>W:\Performance Measurement\1. Freeway\1. raw data\2013\data files\det_546.xlsx</v>
      </c>
      <c r="K215" s="5"/>
      <c r="M215" s="107" t="s">
        <v>71</v>
      </c>
      <c r="N215" s="10">
        <v>546</v>
      </c>
      <c r="O215" s="10">
        <v>3</v>
      </c>
      <c r="P215" s="10">
        <v>1</v>
      </c>
    </row>
    <row r="216" spans="4:16" x14ac:dyDescent="0.25">
      <c r="D216" s="95">
        <v>212</v>
      </c>
      <c r="E216" s="10">
        <v>547</v>
      </c>
      <c r="F216" s="10">
        <v>3</v>
      </c>
      <c r="G216" s="10">
        <v>1</v>
      </c>
      <c r="H216" s="5" t="str">
        <f t="shared" si="9"/>
        <v>det_547</v>
      </c>
      <c r="I216" s="5" t="str">
        <f t="shared" si="10"/>
        <v>W:\Performance Measurement\1. Freeway\1. raw data\2013\data files\det_547.txt</v>
      </c>
      <c r="J216" s="5" t="str">
        <f t="shared" si="11"/>
        <v>W:\Performance Measurement\1. Freeway\1. raw data\2013\data files\det_547.xlsx</v>
      </c>
      <c r="K216" s="5"/>
      <c r="M216" s="107" t="s">
        <v>71</v>
      </c>
      <c r="N216" s="10">
        <v>547</v>
      </c>
      <c r="O216" s="10">
        <v>3</v>
      </c>
      <c r="P216" s="10">
        <v>1</v>
      </c>
    </row>
    <row r="217" spans="4:16" x14ac:dyDescent="0.25">
      <c r="D217" s="95">
        <v>213</v>
      </c>
      <c r="E217" s="10">
        <v>548</v>
      </c>
      <c r="F217" s="10">
        <v>2</v>
      </c>
      <c r="G217" s="10">
        <v>0</v>
      </c>
      <c r="H217" s="5" t="str">
        <f t="shared" si="9"/>
        <v>det_548</v>
      </c>
      <c r="I217" s="5" t="str">
        <f t="shared" si="10"/>
        <v>W:\Performance Measurement\1. Freeway\1. raw data\2013\data files\det_548.txt</v>
      </c>
      <c r="J217" s="5" t="str">
        <f t="shared" si="11"/>
        <v>W:\Performance Measurement\1. Freeway\1. raw data\2013\data files\det_548.xlsx</v>
      </c>
      <c r="K217" s="5"/>
      <c r="M217" s="107" t="s">
        <v>71</v>
      </c>
      <c r="N217" s="10">
        <v>548</v>
      </c>
      <c r="O217" s="10">
        <v>2</v>
      </c>
      <c r="P217" s="10">
        <v>0</v>
      </c>
    </row>
    <row r="218" spans="4:16" x14ac:dyDescent="0.25">
      <c r="D218" s="95">
        <v>214</v>
      </c>
      <c r="E218" s="10">
        <v>264</v>
      </c>
      <c r="F218" s="10">
        <v>5</v>
      </c>
      <c r="G218" s="10">
        <v>1</v>
      </c>
      <c r="H218" s="5" t="str">
        <f t="shared" si="9"/>
        <v>det_264</v>
      </c>
      <c r="I218" s="5" t="str">
        <f t="shared" si="10"/>
        <v>W:\Performance Measurement\1. Freeway\1. raw data\2013\data files\det_264.txt</v>
      </c>
      <c r="J218" s="5" t="str">
        <f t="shared" si="11"/>
        <v>W:\Performance Measurement\1. Freeway\1. raw data\2013\data files\det_264.xlsx</v>
      </c>
      <c r="K218" s="5"/>
      <c r="M218" s="107" t="s">
        <v>72</v>
      </c>
      <c r="N218" s="10">
        <v>264</v>
      </c>
      <c r="O218" s="10">
        <v>5</v>
      </c>
      <c r="P218" s="10">
        <v>1</v>
      </c>
    </row>
    <row r="219" spans="4:16" x14ac:dyDescent="0.25">
      <c r="D219" s="95">
        <v>215</v>
      </c>
      <c r="E219" s="10">
        <v>267</v>
      </c>
      <c r="F219" s="10">
        <v>4</v>
      </c>
      <c r="G219" s="10">
        <v>1</v>
      </c>
      <c r="H219" s="5" t="str">
        <f t="shared" si="9"/>
        <v>det_267</v>
      </c>
      <c r="I219" s="5" t="str">
        <f t="shared" si="10"/>
        <v>W:\Performance Measurement\1. Freeway\1. raw data\2013\data files\det_267.txt</v>
      </c>
      <c r="J219" s="5" t="str">
        <f t="shared" si="11"/>
        <v>W:\Performance Measurement\1. Freeway\1. raw data\2013\data files\det_267.xlsx</v>
      </c>
      <c r="K219" s="5"/>
      <c r="M219" s="107" t="s">
        <v>72</v>
      </c>
      <c r="N219" s="10">
        <v>267</v>
      </c>
      <c r="O219" s="10">
        <v>4</v>
      </c>
      <c r="P219" s="10">
        <v>1</v>
      </c>
    </row>
    <row r="220" spans="4:16" x14ac:dyDescent="0.25">
      <c r="D220" s="95">
        <v>216</v>
      </c>
      <c r="E220" s="10">
        <v>270</v>
      </c>
      <c r="F220" s="10">
        <v>3</v>
      </c>
      <c r="G220" s="10">
        <v>1</v>
      </c>
      <c r="H220" s="5" t="str">
        <f t="shared" si="9"/>
        <v>det_270</v>
      </c>
      <c r="I220" s="5" t="str">
        <f t="shared" si="10"/>
        <v>W:\Performance Measurement\1. Freeway\1. raw data\2013\data files\det_270.txt</v>
      </c>
      <c r="J220" s="5" t="str">
        <f t="shared" si="11"/>
        <v>W:\Performance Measurement\1. Freeway\1. raw data\2013\data files\det_270.xlsx</v>
      </c>
      <c r="K220" s="5"/>
      <c r="M220" s="107" t="s">
        <v>72</v>
      </c>
      <c r="N220" s="10">
        <v>270</v>
      </c>
      <c r="O220" s="10">
        <v>3</v>
      </c>
      <c r="P220" s="10">
        <v>1</v>
      </c>
    </row>
    <row r="221" spans="4:16" x14ac:dyDescent="0.25">
      <c r="D221" s="95">
        <v>217</v>
      </c>
      <c r="E221" s="10">
        <v>271</v>
      </c>
      <c r="F221" s="10">
        <v>3</v>
      </c>
      <c r="G221" s="10">
        <v>0</v>
      </c>
      <c r="H221" s="5" t="str">
        <f t="shared" si="9"/>
        <v>det_271</v>
      </c>
      <c r="I221" s="5" t="str">
        <f t="shared" si="10"/>
        <v>W:\Performance Measurement\1. Freeway\1. raw data\2013\data files\det_271.txt</v>
      </c>
      <c r="J221" s="5" t="str">
        <f t="shared" si="11"/>
        <v>W:\Performance Measurement\1. Freeway\1. raw data\2013\data files\det_271.xlsx</v>
      </c>
      <c r="K221" s="5"/>
      <c r="M221" s="107" t="s">
        <v>273</v>
      </c>
      <c r="N221" s="10">
        <v>271</v>
      </c>
      <c r="O221" s="10">
        <v>3</v>
      </c>
      <c r="P221" s="10">
        <v>0</v>
      </c>
    </row>
    <row r="222" spans="4:16" x14ac:dyDescent="0.25">
      <c r="D222" s="95">
        <v>218</v>
      </c>
      <c r="E222" s="10">
        <v>256</v>
      </c>
      <c r="F222" s="10">
        <v>3</v>
      </c>
      <c r="G222" s="10">
        <v>1</v>
      </c>
      <c r="H222" s="5" t="str">
        <f t="shared" si="9"/>
        <v>det_256</v>
      </c>
      <c r="I222" s="5" t="str">
        <f t="shared" si="10"/>
        <v>W:\Performance Measurement\1. Freeway\1. raw data\2013\data files\det_256.txt</v>
      </c>
      <c r="J222" s="5" t="str">
        <f t="shared" si="11"/>
        <v>W:\Performance Measurement\1. Freeway\1. raw data\2013\data files\det_256.xlsx</v>
      </c>
      <c r="K222" s="5"/>
      <c r="M222" s="107" t="s">
        <v>72</v>
      </c>
      <c r="N222" s="10">
        <v>256</v>
      </c>
      <c r="O222" s="10">
        <v>3</v>
      </c>
      <c r="P222" s="10">
        <v>1</v>
      </c>
    </row>
    <row r="223" spans="4:16" x14ac:dyDescent="0.25">
      <c r="D223" s="95">
        <v>219</v>
      </c>
      <c r="E223" s="10">
        <v>258</v>
      </c>
      <c r="F223" s="10">
        <v>5</v>
      </c>
      <c r="G223" s="10">
        <v>1</v>
      </c>
      <c r="H223" s="5" t="str">
        <f t="shared" si="9"/>
        <v>det_258</v>
      </c>
      <c r="I223" s="5" t="str">
        <f t="shared" si="10"/>
        <v>W:\Performance Measurement\1. Freeway\1. raw data\2013\data files\det_258.txt</v>
      </c>
      <c r="J223" s="5" t="str">
        <f t="shared" si="11"/>
        <v>W:\Performance Measurement\1. Freeway\1. raw data\2013\data files\det_258.xlsx</v>
      </c>
      <c r="K223" s="5"/>
      <c r="M223" s="107" t="s">
        <v>72</v>
      </c>
      <c r="N223" s="10">
        <v>258</v>
      </c>
      <c r="O223" s="10">
        <v>5</v>
      </c>
      <c r="P223" s="10">
        <v>1</v>
      </c>
    </row>
    <row r="224" spans="4:16" x14ac:dyDescent="0.25">
      <c r="D224" s="95">
        <v>220</v>
      </c>
      <c r="E224" s="10">
        <v>261</v>
      </c>
      <c r="F224" s="10">
        <v>4</v>
      </c>
      <c r="G224" s="10">
        <v>1</v>
      </c>
      <c r="H224" s="5" t="str">
        <f t="shared" si="9"/>
        <v>det_261</v>
      </c>
      <c r="I224" s="5" t="str">
        <f t="shared" si="10"/>
        <v>W:\Performance Measurement\1. Freeway\1. raw data\2013\data files\det_261.txt</v>
      </c>
      <c r="J224" s="5" t="str">
        <f t="shared" si="11"/>
        <v>W:\Performance Measurement\1. Freeway\1. raw data\2013\data files\det_261.xlsx</v>
      </c>
      <c r="K224" s="5"/>
      <c r="M224" s="107" t="s">
        <v>72</v>
      </c>
      <c r="N224" s="10">
        <v>261</v>
      </c>
      <c r="O224" s="10">
        <v>4</v>
      </c>
      <c r="P224" s="10">
        <v>1</v>
      </c>
    </row>
    <row r="225" spans="4:16" x14ac:dyDescent="0.25">
      <c r="D225" s="95">
        <v>221</v>
      </c>
      <c r="E225" s="10">
        <v>263</v>
      </c>
      <c r="F225" s="10">
        <v>4</v>
      </c>
      <c r="G225" s="10">
        <v>1</v>
      </c>
      <c r="H225" s="5" t="str">
        <f t="shared" si="9"/>
        <v>det_263</v>
      </c>
      <c r="I225" s="5" t="str">
        <f t="shared" si="10"/>
        <v>W:\Performance Measurement\1. Freeway\1. raw data\2013\data files\det_263.txt</v>
      </c>
      <c r="J225" s="5" t="str">
        <f t="shared" si="11"/>
        <v>W:\Performance Measurement\1. Freeway\1. raw data\2013\data files\det_263.xlsx</v>
      </c>
      <c r="K225" s="5"/>
      <c r="M225" s="107" t="s">
        <v>72</v>
      </c>
      <c r="N225" s="10">
        <v>263</v>
      </c>
      <c r="O225" s="10">
        <v>4</v>
      </c>
      <c r="P225" s="10">
        <v>1</v>
      </c>
    </row>
    <row r="226" spans="4:16" x14ac:dyDescent="0.25">
      <c r="D226" s="95">
        <v>222</v>
      </c>
      <c r="E226" s="10">
        <v>507</v>
      </c>
      <c r="F226" s="10">
        <v>3</v>
      </c>
      <c r="G226" s="10">
        <v>1</v>
      </c>
      <c r="H226" s="5" t="str">
        <f t="shared" si="9"/>
        <v>det_507</v>
      </c>
      <c r="I226" s="5" t="str">
        <f t="shared" si="10"/>
        <v>W:\Performance Measurement\1. Freeway\1. raw data\2013\data files\det_507.txt</v>
      </c>
      <c r="J226" s="5" t="str">
        <f t="shared" si="11"/>
        <v>W:\Performance Measurement\1. Freeway\1. raw data\2013\data files\det_507.xlsx</v>
      </c>
      <c r="K226" s="5"/>
      <c r="M226" s="107" t="s">
        <v>72</v>
      </c>
      <c r="N226" s="10">
        <v>507</v>
      </c>
      <c r="O226" s="10">
        <v>3</v>
      </c>
      <c r="P226" s="10">
        <v>1</v>
      </c>
    </row>
    <row r="227" spans="4:16" x14ac:dyDescent="0.25">
      <c r="D227" s="95">
        <v>223</v>
      </c>
      <c r="E227" s="10">
        <v>549</v>
      </c>
      <c r="F227" s="10">
        <v>4</v>
      </c>
      <c r="G227" s="10">
        <v>1</v>
      </c>
      <c r="H227" s="5" t="str">
        <f t="shared" si="9"/>
        <v>det_549</v>
      </c>
      <c r="I227" s="5" t="str">
        <f t="shared" si="10"/>
        <v>W:\Performance Measurement\1. Freeway\1. raw data\2013\data files\det_549.txt</v>
      </c>
      <c r="J227" s="5" t="str">
        <f t="shared" si="11"/>
        <v>W:\Performance Measurement\1. Freeway\1. raw data\2013\data files\det_549.xlsx</v>
      </c>
      <c r="K227" s="5"/>
      <c r="M227" s="107" t="s">
        <v>73</v>
      </c>
      <c r="N227" s="10">
        <v>549</v>
      </c>
      <c r="O227" s="10">
        <v>4</v>
      </c>
      <c r="P227" s="10">
        <v>1</v>
      </c>
    </row>
    <row r="228" spans="4:16" x14ac:dyDescent="0.25">
      <c r="D228" s="95">
        <v>224</v>
      </c>
      <c r="E228" s="10">
        <v>550</v>
      </c>
      <c r="F228" s="10">
        <v>3</v>
      </c>
      <c r="G228" s="10">
        <v>1</v>
      </c>
      <c r="H228" s="5" t="str">
        <f t="shared" si="9"/>
        <v>det_550</v>
      </c>
      <c r="I228" s="5" t="str">
        <f t="shared" si="10"/>
        <v>W:\Performance Measurement\1. Freeway\1. raw data\2013\data files\det_550.txt</v>
      </c>
      <c r="J228" s="5" t="str">
        <f t="shared" si="11"/>
        <v>W:\Performance Measurement\1. Freeway\1. raw data\2013\data files\det_550.xlsx</v>
      </c>
      <c r="K228" s="5"/>
      <c r="M228" s="107" t="s">
        <v>74</v>
      </c>
      <c r="N228" s="10">
        <v>550</v>
      </c>
      <c r="O228" s="10">
        <v>3</v>
      </c>
      <c r="P228" s="10">
        <v>1</v>
      </c>
    </row>
    <row r="229" spans="4:16" x14ac:dyDescent="0.25">
      <c r="D229" s="95">
        <v>225</v>
      </c>
      <c r="E229" s="10">
        <v>551</v>
      </c>
      <c r="F229" s="10">
        <v>3</v>
      </c>
      <c r="G229" s="10">
        <v>1</v>
      </c>
      <c r="H229" s="5" t="str">
        <f t="shared" si="9"/>
        <v>det_551</v>
      </c>
      <c r="I229" s="5" t="str">
        <f t="shared" si="10"/>
        <v>W:\Performance Measurement\1. Freeway\1. raw data\2013\data files\det_551.txt</v>
      </c>
      <c r="J229" s="5" t="str">
        <f t="shared" si="11"/>
        <v>W:\Performance Measurement\1. Freeway\1. raw data\2013\data files\det_551.xlsx</v>
      </c>
      <c r="K229" s="5"/>
      <c r="M229" s="107" t="s">
        <v>73</v>
      </c>
      <c r="N229" s="10">
        <v>551</v>
      </c>
      <c r="O229" s="10">
        <v>3</v>
      </c>
      <c r="P229" s="10">
        <v>1</v>
      </c>
    </row>
    <row r="230" spans="4:16" x14ac:dyDescent="0.25">
      <c r="D230" s="95">
        <v>226</v>
      </c>
      <c r="E230" s="10">
        <v>552</v>
      </c>
      <c r="F230" s="10">
        <v>3</v>
      </c>
      <c r="G230" s="10">
        <v>1</v>
      </c>
      <c r="H230" s="5" t="str">
        <f t="shared" si="9"/>
        <v>det_552</v>
      </c>
      <c r="I230" s="5" t="str">
        <f t="shared" si="10"/>
        <v>W:\Performance Measurement\1. Freeway\1. raw data\2013\data files\det_552.txt</v>
      </c>
      <c r="J230" s="5" t="str">
        <f t="shared" si="11"/>
        <v>W:\Performance Measurement\1. Freeway\1. raw data\2013\data files\det_552.xlsx</v>
      </c>
      <c r="K230" s="5"/>
      <c r="M230" s="107" t="s">
        <v>74</v>
      </c>
      <c r="N230" s="10">
        <v>552</v>
      </c>
      <c r="O230" s="10">
        <v>3</v>
      </c>
      <c r="P230" s="10">
        <v>1</v>
      </c>
    </row>
    <row r="231" spans="4:16" x14ac:dyDescent="0.25">
      <c r="D231" s="95">
        <v>227</v>
      </c>
      <c r="E231" s="10">
        <v>553</v>
      </c>
      <c r="F231" s="10">
        <v>3</v>
      </c>
      <c r="G231" s="10">
        <v>1</v>
      </c>
      <c r="H231" s="5" t="str">
        <f t="shared" si="9"/>
        <v>det_553</v>
      </c>
      <c r="I231" s="5" t="str">
        <f t="shared" si="10"/>
        <v>W:\Performance Measurement\1. Freeway\1. raw data\2013\data files\det_553.txt</v>
      </c>
      <c r="J231" s="5" t="str">
        <f t="shared" si="11"/>
        <v>W:\Performance Measurement\1. Freeway\1. raw data\2013\data files\det_553.xlsx</v>
      </c>
      <c r="K231" s="5"/>
      <c r="M231" s="107" t="s">
        <v>73</v>
      </c>
      <c r="N231" s="10">
        <v>553</v>
      </c>
      <c r="O231" s="10">
        <v>3</v>
      </c>
      <c r="P231" s="10">
        <v>1</v>
      </c>
    </row>
    <row r="232" spans="4:16" x14ac:dyDescent="0.25">
      <c r="D232" s="95">
        <v>228</v>
      </c>
      <c r="E232" s="10">
        <v>554</v>
      </c>
      <c r="F232" s="10">
        <v>3</v>
      </c>
      <c r="G232" s="10">
        <v>1</v>
      </c>
      <c r="H232" s="5" t="str">
        <f t="shared" si="9"/>
        <v>det_554</v>
      </c>
      <c r="I232" s="5" t="str">
        <f t="shared" si="10"/>
        <v>W:\Performance Measurement\1. Freeway\1. raw data\2013\data files\det_554.txt</v>
      </c>
      <c r="J232" s="5" t="str">
        <f t="shared" si="11"/>
        <v>W:\Performance Measurement\1. Freeway\1. raw data\2013\data files\det_554.xlsx</v>
      </c>
      <c r="K232" s="5"/>
      <c r="M232" s="107" t="s">
        <v>74</v>
      </c>
      <c r="N232" s="10">
        <v>554</v>
      </c>
      <c r="O232" s="10">
        <v>3</v>
      </c>
      <c r="P232" s="10">
        <v>1</v>
      </c>
    </row>
    <row r="233" spans="4:16" x14ac:dyDescent="0.25">
      <c r="D233" s="95">
        <v>229</v>
      </c>
      <c r="E233" s="10">
        <v>555</v>
      </c>
      <c r="F233" s="10">
        <v>3</v>
      </c>
      <c r="G233" s="10">
        <v>1</v>
      </c>
      <c r="H233" s="5" t="str">
        <f t="shared" si="9"/>
        <v>det_555</v>
      </c>
      <c r="I233" s="5" t="str">
        <f t="shared" si="10"/>
        <v>W:\Performance Measurement\1. Freeway\1. raw data\2013\data files\det_555.txt</v>
      </c>
      <c r="J233" s="5" t="str">
        <f t="shared" si="11"/>
        <v>W:\Performance Measurement\1. Freeway\1. raw data\2013\data files\det_555.xlsx</v>
      </c>
      <c r="K233" s="5"/>
      <c r="M233" s="107" t="s">
        <v>73</v>
      </c>
      <c r="N233" s="10">
        <v>555</v>
      </c>
      <c r="O233" s="10">
        <v>3</v>
      </c>
      <c r="P233" s="10">
        <v>1</v>
      </c>
    </row>
    <row r="234" spans="4:16" x14ac:dyDescent="0.25">
      <c r="D234" s="95">
        <v>230</v>
      </c>
      <c r="E234" s="10">
        <v>556</v>
      </c>
      <c r="F234" s="10">
        <v>3</v>
      </c>
      <c r="G234" s="10">
        <v>1</v>
      </c>
      <c r="H234" s="5" t="str">
        <f t="shared" si="9"/>
        <v>det_556</v>
      </c>
      <c r="I234" s="5" t="str">
        <f t="shared" si="10"/>
        <v>W:\Performance Measurement\1. Freeway\1. raw data\2013\data files\det_556.txt</v>
      </c>
      <c r="J234" s="5" t="str">
        <f t="shared" si="11"/>
        <v>W:\Performance Measurement\1. Freeway\1. raw data\2013\data files\det_556.xlsx</v>
      </c>
      <c r="K234" s="5"/>
      <c r="M234" s="107" t="s">
        <v>74</v>
      </c>
      <c r="N234" s="10">
        <v>556</v>
      </c>
      <c r="O234" s="10">
        <v>3</v>
      </c>
      <c r="P234" s="10">
        <v>1</v>
      </c>
    </row>
    <row r="235" spans="4:16" x14ac:dyDescent="0.25">
      <c r="D235" s="95">
        <v>231</v>
      </c>
      <c r="E235" s="10">
        <v>557</v>
      </c>
      <c r="F235" s="10">
        <v>3</v>
      </c>
      <c r="G235" s="10">
        <v>1</v>
      </c>
      <c r="H235" s="5" t="str">
        <f t="shared" si="9"/>
        <v>det_557</v>
      </c>
      <c r="I235" s="5" t="str">
        <f t="shared" si="10"/>
        <v>W:\Performance Measurement\1. Freeway\1. raw data\2013\data files\det_557.txt</v>
      </c>
      <c r="J235" s="5" t="str">
        <f t="shared" si="11"/>
        <v>W:\Performance Measurement\1. Freeway\1. raw data\2013\data files\det_557.xlsx</v>
      </c>
      <c r="K235" s="5"/>
      <c r="M235" s="107" t="s">
        <v>73</v>
      </c>
      <c r="N235" s="10">
        <v>557</v>
      </c>
      <c r="O235" s="10">
        <v>3</v>
      </c>
      <c r="P235" s="10">
        <v>1</v>
      </c>
    </row>
    <row r="236" spans="4:16" x14ac:dyDescent="0.25">
      <c r="D236" s="95">
        <v>232</v>
      </c>
      <c r="E236" s="10">
        <v>570</v>
      </c>
      <c r="F236" s="10">
        <v>3</v>
      </c>
      <c r="G236" s="10">
        <v>1</v>
      </c>
      <c r="H236" s="5" t="str">
        <f t="shared" si="9"/>
        <v>det_570</v>
      </c>
      <c r="I236" s="5" t="str">
        <f t="shared" si="10"/>
        <v>W:\Performance Measurement\1. Freeway\1. raw data\2013\data files\det_570.txt</v>
      </c>
      <c r="J236" s="5" t="str">
        <f t="shared" si="11"/>
        <v>W:\Performance Measurement\1. Freeway\1. raw data\2013\data files\det_570.xlsx</v>
      </c>
      <c r="K236" s="5"/>
      <c r="M236" s="107" t="s">
        <v>74</v>
      </c>
      <c r="N236" s="10">
        <v>570</v>
      </c>
      <c r="O236" s="10">
        <v>3</v>
      </c>
      <c r="P236" s="10">
        <v>1</v>
      </c>
    </row>
    <row r="237" spans="4:16" x14ac:dyDescent="0.25">
      <c r="D237" s="95">
        <v>233</v>
      </c>
      <c r="E237" s="10">
        <v>571</v>
      </c>
      <c r="F237" s="10">
        <v>3</v>
      </c>
      <c r="G237" s="10">
        <v>1</v>
      </c>
      <c r="H237" s="5" t="str">
        <f t="shared" si="9"/>
        <v>det_571</v>
      </c>
      <c r="I237" s="5" t="str">
        <f t="shared" si="10"/>
        <v>W:\Performance Measurement\1. Freeway\1. raw data\2013\data files\det_571.txt</v>
      </c>
      <c r="J237" s="5" t="str">
        <f t="shared" si="11"/>
        <v>W:\Performance Measurement\1. Freeway\1. raw data\2013\data files\det_571.xlsx</v>
      </c>
      <c r="K237" s="5"/>
      <c r="M237" s="107" t="s">
        <v>74</v>
      </c>
      <c r="N237" s="10">
        <v>571</v>
      </c>
      <c r="O237" s="10">
        <v>3</v>
      </c>
      <c r="P237" s="10">
        <v>1</v>
      </c>
    </row>
    <row r="238" spans="4:16" x14ac:dyDescent="0.25">
      <c r="D238" s="95">
        <v>234</v>
      </c>
      <c r="E238" s="10">
        <v>572</v>
      </c>
      <c r="F238" s="10">
        <v>3</v>
      </c>
      <c r="G238" s="10">
        <v>1</v>
      </c>
      <c r="H238" s="5" t="str">
        <f t="shared" si="9"/>
        <v>det_572</v>
      </c>
      <c r="I238" s="5" t="str">
        <f t="shared" si="10"/>
        <v>W:\Performance Measurement\1. Freeway\1. raw data\2013\data files\det_572.txt</v>
      </c>
      <c r="J238" s="5" t="str">
        <f t="shared" si="11"/>
        <v>W:\Performance Measurement\1. Freeway\1. raw data\2013\data files\det_572.xlsx</v>
      </c>
      <c r="K238" s="5"/>
      <c r="M238" s="107" t="s">
        <v>74</v>
      </c>
      <c r="N238" s="10">
        <v>572</v>
      </c>
      <c r="O238" s="10">
        <v>3</v>
      </c>
      <c r="P238" s="10">
        <v>1</v>
      </c>
    </row>
    <row r="239" spans="4:16" x14ac:dyDescent="0.25">
      <c r="D239" s="95">
        <v>235</v>
      </c>
      <c r="E239" s="10">
        <v>573</v>
      </c>
      <c r="F239" s="10">
        <v>3</v>
      </c>
      <c r="G239" s="10">
        <v>1</v>
      </c>
      <c r="H239" s="5" t="str">
        <f t="shared" si="9"/>
        <v>det_573</v>
      </c>
      <c r="I239" s="5" t="str">
        <f t="shared" si="10"/>
        <v>W:\Performance Measurement\1. Freeway\1. raw data\2013\data files\det_573.txt</v>
      </c>
      <c r="J239" s="5" t="str">
        <f t="shared" si="11"/>
        <v>W:\Performance Measurement\1. Freeway\1. raw data\2013\data files\det_573.xlsx</v>
      </c>
      <c r="K239" s="5"/>
      <c r="M239" s="107" t="s">
        <v>74</v>
      </c>
      <c r="N239" s="10">
        <v>573</v>
      </c>
      <c r="O239" s="10">
        <v>3</v>
      </c>
      <c r="P239" s="10">
        <v>1</v>
      </c>
    </row>
    <row r="240" spans="4:16" x14ac:dyDescent="0.25">
      <c r="D240" s="95">
        <v>236</v>
      </c>
      <c r="E240" s="10">
        <v>574</v>
      </c>
      <c r="F240" s="10">
        <v>3</v>
      </c>
      <c r="G240" s="10">
        <v>1</v>
      </c>
      <c r="H240" s="5" t="str">
        <f t="shared" si="9"/>
        <v>det_574</v>
      </c>
      <c r="I240" s="5" t="str">
        <f t="shared" si="10"/>
        <v>W:\Performance Measurement\1. Freeway\1. raw data\2013\data files\det_574.txt</v>
      </c>
      <c r="J240" s="5" t="str">
        <f t="shared" si="11"/>
        <v>W:\Performance Measurement\1. Freeway\1. raw data\2013\data files\det_574.xlsx</v>
      </c>
      <c r="K240" s="5"/>
      <c r="M240" s="107" t="s">
        <v>74</v>
      </c>
      <c r="N240" s="10">
        <v>574</v>
      </c>
      <c r="O240" s="10">
        <v>3</v>
      </c>
      <c r="P240" s="10">
        <v>1</v>
      </c>
    </row>
    <row r="241" spans="4:16" x14ac:dyDescent="0.25">
      <c r="D241" s="95">
        <v>237</v>
      </c>
      <c r="E241" s="10">
        <v>575</v>
      </c>
      <c r="F241" s="10">
        <v>3</v>
      </c>
      <c r="G241" s="10">
        <v>1</v>
      </c>
      <c r="H241" s="5" t="str">
        <f t="shared" si="9"/>
        <v>det_575</v>
      </c>
      <c r="I241" s="5" t="str">
        <f t="shared" si="10"/>
        <v>W:\Performance Measurement\1. Freeway\1. raw data\2013\data files\det_575.txt</v>
      </c>
      <c r="J241" s="5" t="str">
        <f t="shared" si="11"/>
        <v>W:\Performance Measurement\1. Freeway\1. raw data\2013\data files\det_575.xlsx</v>
      </c>
      <c r="K241" s="5"/>
      <c r="M241" s="107" t="s">
        <v>74</v>
      </c>
      <c r="N241" s="10">
        <v>575</v>
      </c>
      <c r="O241" s="10">
        <v>3</v>
      </c>
      <c r="P241" s="10">
        <v>1</v>
      </c>
    </row>
    <row r="242" spans="4:16" x14ac:dyDescent="0.25">
      <c r="D242" s="95">
        <v>238</v>
      </c>
      <c r="E242" s="10">
        <v>576</v>
      </c>
      <c r="F242" s="10">
        <v>3</v>
      </c>
      <c r="G242" s="10">
        <v>1</v>
      </c>
      <c r="H242" s="5" t="str">
        <f t="shared" si="9"/>
        <v>det_576</v>
      </c>
      <c r="I242" s="5" t="str">
        <f t="shared" si="10"/>
        <v>W:\Performance Measurement\1. Freeway\1. raw data\2013\data files\det_576.txt</v>
      </c>
      <c r="J242" s="5" t="str">
        <f t="shared" si="11"/>
        <v>W:\Performance Measurement\1. Freeway\1. raw data\2013\data files\det_576.xlsx</v>
      </c>
      <c r="K242" s="5"/>
      <c r="M242" s="107" t="s">
        <v>74</v>
      </c>
      <c r="N242" s="10">
        <v>576</v>
      </c>
      <c r="O242" s="10">
        <v>3</v>
      </c>
      <c r="P242" s="10">
        <v>1</v>
      </c>
    </row>
    <row r="243" spans="4:16" x14ac:dyDescent="0.25">
      <c r="D243" s="95">
        <v>239</v>
      </c>
      <c r="E243" s="10">
        <v>577</v>
      </c>
      <c r="F243" s="10">
        <v>3</v>
      </c>
      <c r="G243" s="10">
        <v>1</v>
      </c>
      <c r="H243" s="5" t="str">
        <f t="shared" si="9"/>
        <v>det_577</v>
      </c>
      <c r="I243" s="5" t="str">
        <f t="shared" si="10"/>
        <v>W:\Performance Measurement\1. Freeway\1. raw data\2013\data files\det_577.txt</v>
      </c>
      <c r="J243" s="5" t="str">
        <f t="shared" si="11"/>
        <v>W:\Performance Measurement\1. Freeway\1. raw data\2013\data files\det_577.xlsx</v>
      </c>
      <c r="K243" s="5"/>
      <c r="M243" s="107" t="s">
        <v>74</v>
      </c>
      <c r="N243" s="10">
        <v>577</v>
      </c>
      <c r="O243" s="10">
        <v>3</v>
      </c>
      <c r="P243" s="10">
        <v>1</v>
      </c>
    </row>
    <row r="244" spans="4:16" x14ac:dyDescent="0.25">
      <c r="D244" s="95">
        <v>240</v>
      </c>
      <c r="E244" s="10">
        <v>578</v>
      </c>
      <c r="F244" s="10">
        <v>4</v>
      </c>
      <c r="G244" s="10">
        <v>1</v>
      </c>
      <c r="H244" s="5" t="str">
        <f t="shared" si="9"/>
        <v>det_578</v>
      </c>
      <c r="I244" s="5" t="str">
        <f t="shared" si="10"/>
        <v>W:\Performance Measurement\1. Freeway\1. raw data\2013\data files\det_578.txt</v>
      </c>
      <c r="J244" s="5" t="str">
        <f t="shared" si="11"/>
        <v>W:\Performance Measurement\1. Freeway\1. raw data\2013\data files\det_578.xlsx</v>
      </c>
      <c r="K244" s="5"/>
      <c r="M244" s="107" t="s">
        <v>74</v>
      </c>
      <c r="N244" s="10">
        <v>578</v>
      </c>
      <c r="O244" s="10">
        <v>4</v>
      </c>
      <c r="P244" s="10">
        <v>1</v>
      </c>
    </row>
    <row r="245" spans="4:16" x14ac:dyDescent="0.25">
      <c r="D245" s="95">
        <v>241</v>
      </c>
      <c r="E245" s="42">
        <v>255</v>
      </c>
      <c r="F245" s="42">
        <v>4</v>
      </c>
      <c r="G245" s="42">
        <v>0</v>
      </c>
      <c r="H245" s="5" t="str">
        <f t="shared" si="9"/>
        <v>det_255</v>
      </c>
      <c r="I245" s="5" t="str">
        <f t="shared" si="10"/>
        <v>W:\Performance Measurement\1. Freeway\1. raw data\2013\data files\det_255.txt</v>
      </c>
      <c r="J245" s="5" t="str">
        <f t="shared" si="11"/>
        <v>W:\Performance Measurement\1. Freeway\1. raw data\2013\data files\det_255.xlsx</v>
      </c>
      <c r="K245" s="5"/>
      <c r="M245" s="104" t="s">
        <v>73</v>
      </c>
      <c r="N245" s="42">
        <v>255</v>
      </c>
      <c r="O245" s="42">
        <v>4</v>
      </c>
      <c r="P245" s="42">
        <v>0</v>
      </c>
    </row>
    <row r="246" spans="4:16" x14ac:dyDescent="0.25">
      <c r="D246" s="95">
        <v>242</v>
      </c>
      <c r="E246" s="10">
        <v>558</v>
      </c>
      <c r="F246" s="10">
        <v>3</v>
      </c>
      <c r="G246" s="10">
        <v>1</v>
      </c>
      <c r="H246" s="5" t="str">
        <f t="shared" si="9"/>
        <v>det_558</v>
      </c>
      <c r="I246" s="5" t="str">
        <f t="shared" si="10"/>
        <v>W:\Performance Measurement\1. Freeway\1. raw data\2013\data files\det_558.txt</v>
      </c>
      <c r="J246" s="5" t="str">
        <f t="shared" si="11"/>
        <v>W:\Performance Measurement\1. Freeway\1. raw data\2013\data files\det_558.xlsx</v>
      </c>
      <c r="K246" s="5"/>
      <c r="M246" s="107" t="s">
        <v>75</v>
      </c>
      <c r="N246" s="10">
        <v>558</v>
      </c>
      <c r="O246" s="10">
        <v>3</v>
      </c>
      <c r="P246" s="10">
        <v>1</v>
      </c>
    </row>
    <row r="247" spans="4:16" x14ac:dyDescent="0.25">
      <c r="D247" s="95">
        <v>243</v>
      </c>
      <c r="E247" s="10">
        <v>559</v>
      </c>
      <c r="F247" s="10">
        <v>3</v>
      </c>
      <c r="G247" s="10">
        <v>1</v>
      </c>
      <c r="H247" s="5" t="str">
        <f t="shared" si="9"/>
        <v>det_559</v>
      </c>
      <c r="I247" s="5" t="str">
        <f t="shared" si="10"/>
        <v>W:\Performance Measurement\1. Freeway\1. raw data\2013\data files\det_559.txt</v>
      </c>
      <c r="J247" s="5" t="str">
        <f t="shared" si="11"/>
        <v>W:\Performance Measurement\1. Freeway\1. raw data\2013\data files\det_559.xlsx</v>
      </c>
      <c r="K247" s="5"/>
      <c r="M247" s="107" t="s">
        <v>75</v>
      </c>
      <c r="N247" s="10">
        <v>559</v>
      </c>
      <c r="O247" s="10">
        <v>3</v>
      </c>
      <c r="P247" s="10">
        <v>1</v>
      </c>
    </row>
    <row r="248" spans="4:16" x14ac:dyDescent="0.25">
      <c r="D248" s="95">
        <v>244</v>
      </c>
      <c r="E248" s="10">
        <v>560</v>
      </c>
      <c r="F248" s="10">
        <v>3</v>
      </c>
      <c r="G248" s="10">
        <v>1</v>
      </c>
      <c r="H248" s="5" t="str">
        <f t="shared" si="9"/>
        <v>det_560</v>
      </c>
      <c r="I248" s="5" t="str">
        <f t="shared" si="10"/>
        <v>W:\Performance Measurement\1. Freeway\1. raw data\2013\data files\det_560.txt</v>
      </c>
      <c r="J248" s="5" t="str">
        <f t="shared" si="11"/>
        <v>W:\Performance Measurement\1. Freeway\1. raw data\2013\data files\det_560.xlsx</v>
      </c>
      <c r="K248" s="5"/>
      <c r="M248" s="107" t="s">
        <v>75</v>
      </c>
      <c r="N248" s="10">
        <v>560</v>
      </c>
      <c r="O248" s="10">
        <v>3</v>
      </c>
      <c r="P248" s="10">
        <v>1</v>
      </c>
    </row>
    <row r="249" spans="4:16" x14ac:dyDescent="0.25">
      <c r="D249" s="95">
        <v>245</v>
      </c>
      <c r="E249" s="10">
        <v>561</v>
      </c>
      <c r="F249" s="10">
        <v>4</v>
      </c>
      <c r="G249" s="10">
        <v>1</v>
      </c>
      <c r="H249" s="5" t="str">
        <f t="shared" si="9"/>
        <v>det_561</v>
      </c>
      <c r="I249" s="5" t="str">
        <f t="shared" si="10"/>
        <v>W:\Performance Measurement\1. Freeway\1. raw data\2013\data files\det_561.txt</v>
      </c>
      <c r="J249" s="5" t="str">
        <f t="shared" si="11"/>
        <v>W:\Performance Measurement\1. Freeway\1. raw data\2013\data files\det_561.xlsx</v>
      </c>
      <c r="K249" s="5"/>
      <c r="M249" s="107" t="s">
        <v>75</v>
      </c>
      <c r="N249" s="10">
        <v>561</v>
      </c>
      <c r="O249" s="10">
        <v>4</v>
      </c>
      <c r="P249" s="10">
        <v>1</v>
      </c>
    </row>
    <row r="250" spans="4:16" x14ac:dyDescent="0.25">
      <c r="D250" s="95">
        <v>246</v>
      </c>
      <c r="E250" s="10">
        <v>562</v>
      </c>
      <c r="F250" s="10">
        <v>3</v>
      </c>
      <c r="G250" s="10">
        <v>1</v>
      </c>
      <c r="H250" s="5" t="str">
        <f t="shared" si="9"/>
        <v>det_562</v>
      </c>
      <c r="I250" s="5" t="str">
        <f t="shared" si="10"/>
        <v>W:\Performance Measurement\1. Freeway\1. raw data\2013\data files\det_562.txt</v>
      </c>
      <c r="J250" s="5" t="str">
        <f t="shared" si="11"/>
        <v>W:\Performance Measurement\1. Freeway\1. raw data\2013\data files\det_562.xlsx</v>
      </c>
      <c r="M250" s="107" t="s">
        <v>75</v>
      </c>
      <c r="N250" s="10">
        <v>562</v>
      </c>
      <c r="O250" s="10">
        <v>3</v>
      </c>
      <c r="P250" s="10">
        <v>1</v>
      </c>
    </row>
    <row r="251" spans="4:16" x14ac:dyDescent="0.25">
      <c r="D251" s="95">
        <v>247</v>
      </c>
      <c r="E251" s="10">
        <v>563</v>
      </c>
      <c r="F251" s="10">
        <v>4</v>
      </c>
      <c r="G251" s="10">
        <v>1</v>
      </c>
      <c r="H251" s="5" t="str">
        <f t="shared" si="9"/>
        <v>det_563</v>
      </c>
      <c r="I251" s="5" t="str">
        <f t="shared" si="10"/>
        <v>W:\Performance Measurement\1. Freeway\1. raw data\2013\data files\det_563.txt</v>
      </c>
      <c r="J251" s="5" t="str">
        <f t="shared" si="11"/>
        <v>W:\Performance Measurement\1. Freeway\1. raw data\2013\data files\det_563.xlsx</v>
      </c>
      <c r="M251" s="107" t="s">
        <v>75</v>
      </c>
      <c r="N251" s="10">
        <v>563</v>
      </c>
      <c r="O251" s="10">
        <v>4</v>
      </c>
      <c r="P251" s="10">
        <v>1</v>
      </c>
    </row>
    <row r="252" spans="4:16" x14ac:dyDescent="0.25">
      <c r="D252" s="95">
        <v>248</v>
      </c>
      <c r="E252" s="10">
        <v>564</v>
      </c>
      <c r="F252" s="10">
        <v>3</v>
      </c>
      <c r="G252" s="10">
        <v>1</v>
      </c>
      <c r="H252" s="5" t="str">
        <f t="shared" si="9"/>
        <v>det_564</v>
      </c>
      <c r="I252" s="5" t="str">
        <f t="shared" si="10"/>
        <v>W:\Performance Measurement\1. Freeway\1. raw data\2013\data files\det_564.txt</v>
      </c>
      <c r="J252" s="5" t="str">
        <f t="shared" si="11"/>
        <v>W:\Performance Measurement\1. Freeway\1. raw data\2013\data files\det_564.xlsx</v>
      </c>
      <c r="M252" s="107" t="s">
        <v>75</v>
      </c>
      <c r="N252" s="10">
        <v>564</v>
      </c>
      <c r="O252" s="10">
        <v>3</v>
      </c>
      <c r="P252" s="10">
        <v>1</v>
      </c>
    </row>
    <row r="253" spans="4:16" x14ac:dyDescent="0.25">
      <c r="D253" s="95">
        <v>249</v>
      </c>
      <c r="E253" s="10">
        <v>565</v>
      </c>
      <c r="F253" s="10">
        <v>4</v>
      </c>
      <c r="G253" s="10">
        <v>1</v>
      </c>
      <c r="H253" s="5" t="str">
        <f t="shared" si="9"/>
        <v>det_565</v>
      </c>
      <c r="I253" s="5" t="str">
        <f t="shared" si="10"/>
        <v>W:\Performance Measurement\1. Freeway\1. raw data\2013\data files\det_565.txt</v>
      </c>
      <c r="J253" s="5" t="str">
        <f t="shared" si="11"/>
        <v>W:\Performance Measurement\1. Freeway\1. raw data\2013\data files\det_565.xlsx</v>
      </c>
      <c r="M253" s="107" t="s">
        <v>75</v>
      </c>
      <c r="N253" s="10">
        <v>565</v>
      </c>
      <c r="O253" s="10">
        <v>4</v>
      </c>
      <c r="P253" s="10">
        <v>1</v>
      </c>
    </row>
    <row r="254" spans="4:16" x14ac:dyDescent="0.25">
      <c r="D254" s="95">
        <v>250</v>
      </c>
      <c r="E254" s="10">
        <v>566</v>
      </c>
      <c r="F254" s="10">
        <v>3</v>
      </c>
      <c r="G254" s="10">
        <v>1</v>
      </c>
      <c r="H254" s="5" t="str">
        <f t="shared" si="9"/>
        <v>det_566</v>
      </c>
      <c r="I254" s="5" t="str">
        <f t="shared" si="10"/>
        <v>W:\Performance Measurement\1. Freeway\1. raw data\2013\data files\det_566.txt</v>
      </c>
      <c r="J254" s="5" t="str">
        <f t="shared" si="11"/>
        <v>W:\Performance Measurement\1. Freeway\1. raw data\2013\data files\det_566.xlsx</v>
      </c>
      <c r="M254" s="107" t="s">
        <v>75</v>
      </c>
      <c r="N254" s="10">
        <v>566</v>
      </c>
      <c r="O254" s="10">
        <v>3</v>
      </c>
      <c r="P254" s="10">
        <v>1</v>
      </c>
    </row>
    <row r="255" spans="4:16" x14ac:dyDescent="0.25">
      <c r="D255" s="95">
        <v>251</v>
      </c>
      <c r="E255" s="10">
        <v>567</v>
      </c>
      <c r="F255" s="10">
        <v>4</v>
      </c>
      <c r="G255" s="10">
        <v>1</v>
      </c>
      <c r="H255" s="5" t="str">
        <f t="shared" si="9"/>
        <v>det_567</v>
      </c>
      <c r="I255" s="5" t="str">
        <f t="shared" si="10"/>
        <v>W:\Performance Measurement\1. Freeway\1. raw data\2013\data files\det_567.txt</v>
      </c>
      <c r="J255" s="5" t="str">
        <f t="shared" si="11"/>
        <v>W:\Performance Measurement\1. Freeway\1. raw data\2013\data files\det_567.xlsx</v>
      </c>
      <c r="M255" s="107" t="s">
        <v>75</v>
      </c>
      <c r="N255" s="10">
        <v>567</v>
      </c>
      <c r="O255" s="10">
        <v>4</v>
      </c>
      <c r="P255" s="10">
        <v>1</v>
      </c>
    </row>
    <row r="256" spans="4:16" x14ac:dyDescent="0.25">
      <c r="D256" s="95">
        <v>252</v>
      </c>
      <c r="E256" s="10">
        <v>568</v>
      </c>
      <c r="F256" s="10">
        <v>3</v>
      </c>
      <c r="G256" s="10">
        <v>1</v>
      </c>
      <c r="H256" s="5" t="str">
        <f t="shared" si="9"/>
        <v>det_568</v>
      </c>
      <c r="I256" s="5" t="str">
        <f t="shared" si="10"/>
        <v>W:\Performance Measurement\1. Freeway\1. raw data\2013\data files\det_568.txt</v>
      </c>
      <c r="J256" s="5" t="str">
        <f t="shared" si="11"/>
        <v>W:\Performance Measurement\1. Freeway\1. raw data\2013\data files\det_568.xlsx</v>
      </c>
      <c r="M256" s="107" t="s">
        <v>75</v>
      </c>
      <c r="N256" s="10">
        <v>568</v>
      </c>
      <c r="O256" s="10">
        <v>3</v>
      </c>
      <c r="P256" s="10">
        <v>1</v>
      </c>
    </row>
    <row r="257" spans="4:16" x14ac:dyDescent="0.25">
      <c r="D257" s="95">
        <v>253</v>
      </c>
      <c r="E257" s="10">
        <v>569</v>
      </c>
      <c r="F257" s="10">
        <v>3</v>
      </c>
      <c r="G257" s="10">
        <v>1</v>
      </c>
      <c r="H257" s="5" t="str">
        <f t="shared" si="9"/>
        <v>det_569</v>
      </c>
      <c r="I257" s="5" t="str">
        <f t="shared" si="10"/>
        <v>W:\Performance Measurement\1. Freeway\1. raw data\2013\data files\det_569.txt</v>
      </c>
      <c r="J257" s="5" t="str">
        <f t="shared" si="11"/>
        <v>W:\Performance Measurement\1. Freeway\1. raw data\2013\data files\det_569.xlsx</v>
      </c>
      <c r="M257" s="107" t="s">
        <v>75</v>
      </c>
      <c r="N257" s="10">
        <v>569</v>
      </c>
      <c r="O257" s="10">
        <v>3</v>
      </c>
      <c r="P257" s="10">
        <v>1</v>
      </c>
    </row>
    <row r="258" spans="4:16" x14ac:dyDescent="0.25">
      <c r="D258" s="95">
        <v>254</v>
      </c>
      <c r="E258" s="42">
        <v>601</v>
      </c>
      <c r="F258" s="42">
        <v>4</v>
      </c>
      <c r="G258" s="42">
        <v>0</v>
      </c>
      <c r="H258" s="5" t="str">
        <f t="shared" si="9"/>
        <v>det_601</v>
      </c>
      <c r="I258" s="5" t="str">
        <f t="shared" si="10"/>
        <v>W:\Performance Measurement\1. Freeway\1. raw data\2013\data files\det_601.txt</v>
      </c>
      <c r="J258" s="5" t="str">
        <f t="shared" si="11"/>
        <v>W:\Performance Measurement\1. Freeway\1. raw data\2013\data files\det_601.xlsx</v>
      </c>
      <c r="K258" s="5"/>
      <c r="M258" s="104" t="s">
        <v>76</v>
      </c>
      <c r="N258" s="42">
        <v>601</v>
      </c>
      <c r="O258" s="42">
        <v>4</v>
      </c>
      <c r="P258" s="42">
        <v>0</v>
      </c>
    </row>
    <row r="259" spans="4:16" x14ac:dyDescent="0.25">
      <c r="D259" s="95">
        <v>255</v>
      </c>
      <c r="E259" s="10">
        <v>602</v>
      </c>
      <c r="F259" s="10">
        <v>3</v>
      </c>
      <c r="G259" s="10">
        <v>1</v>
      </c>
      <c r="H259" s="5" t="str">
        <f t="shared" si="9"/>
        <v>det_602</v>
      </c>
      <c r="I259" s="5" t="str">
        <f t="shared" si="10"/>
        <v>W:\Performance Measurement\1. Freeway\1. raw data\2013\data files\det_602.txt</v>
      </c>
      <c r="J259" s="5" t="str">
        <f t="shared" si="11"/>
        <v>W:\Performance Measurement\1. Freeway\1. raw data\2013\data files\det_602.xlsx</v>
      </c>
      <c r="M259" s="107" t="s">
        <v>76</v>
      </c>
      <c r="N259" s="10">
        <v>602</v>
      </c>
      <c r="O259" s="10">
        <v>3</v>
      </c>
      <c r="P259" s="10">
        <v>1</v>
      </c>
    </row>
    <row r="260" spans="4:16" x14ac:dyDescent="0.25">
      <c r="D260" s="95">
        <v>256</v>
      </c>
      <c r="E260" s="10">
        <v>603</v>
      </c>
      <c r="F260" s="10">
        <v>3</v>
      </c>
      <c r="G260" s="10">
        <v>1</v>
      </c>
      <c r="H260" s="5" t="str">
        <f t="shared" si="9"/>
        <v>det_603</v>
      </c>
      <c r="I260" s="5" t="str">
        <f t="shared" si="10"/>
        <v>W:\Performance Measurement\1. Freeway\1. raw data\2013\data files\det_603.txt</v>
      </c>
      <c r="J260" s="5" t="str">
        <f t="shared" si="11"/>
        <v>W:\Performance Measurement\1. Freeway\1. raw data\2013\data files\det_603.xlsx</v>
      </c>
      <c r="M260" s="107" t="s">
        <v>76</v>
      </c>
      <c r="N260" s="10">
        <v>603</v>
      </c>
      <c r="O260" s="10">
        <v>3</v>
      </c>
      <c r="P260" s="10">
        <v>1</v>
      </c>
    </row>
    <row r="261" spans="4:16" x14ac:dyDescent="0.25">
      <c r="D261" s="95">
        <v>257</v>
      </c>
      <c r="E261" s="10">
        <v>604</v>
      </c>
      <c r="F261" s="10">
        <v>3</v>
      </c>
      <c r="G261" s="10">
        <v>1</v>
      </c>
      <c r="H261" s="5" t="str">
        <f t="shared" ref="H261:H305" si="12">"det_"&amp;E261&amp;""</f>
        <v>det_604</v>
      </c>
      <c r="I261" s="5" t="str">
        <f t="shared" ref="I261:I305" si="13">$B$5&amp;"\"&amp;H261&amp;".txt"</f>
        <v>W:\Performance Measurement\1. Freeway\1. raw data\2013\data files\det_604.txt</v>
      </c>
      <c r="J261" s="5" t="str">
        <f t="shared" ref="J261:J305" si="14">$B$5&amp;"\"&amp;H261&amp;".xlsx"</f>
        <v>W:\Performance Measurement\1. Freeway\1. raw data\2013\data files\det_604.xlsx</v>
      </c>
      <c r="M261" s="107" t="s">
        <v>76</v>
      </c>
      <c r="N261" s="10">
        <v>604</v>
      </c>
      <c r="O261" s="10">
        <v>3</v>
      </c>
      <c r="P261" s="10">
        <v>1</v>
      </c>
    </row>
    <row r="262" spans="4:16" x14ac:dyDescent="0.25">
      <c r="D262" s="95">
        <v>258</v>
      </c>
      <c r="E262" s="10">
        <v>605</v>
      </c>
      <c r="F262" s="10">
        <v>3</v>
      </c>
      <c r="G262" s="10">
        <v>1</v>
      </c>
      <c r="H262" s="5" t="str">
        <f t="shared" si="12"/>
        <v>det_605</v>
      </c>
      <c r="I262" s="5" t="str">
        <f t="shared" si="13"/>
        <v>W:\Performance Measurement\1. Freeway\1. raw data\2013\data files\det_605.txt</v>
      </c>
      <c r="J262" s="5" t="str">
        <f t="shared" si="14"/>
        <v>W:\Performance Measurement\1. Freeway\1. raw data\2013\data files\det_605.xlsx</v>
      </c>
      <c r="M262" s="107" t="s">
        <v>76</v>
      </c>
      <c r="N262" s="10">
        <v>605</v>
      </c>
      <c r="O262" s="10">
        <v>3</v>
      </c>
      <c r="P262" s="10">
        <v>1</v>
      </c>
    </row>
    <row r="263" spans="4:16" x14ac:dyDescent="0.25">
      <c r="D263" s="95">
        <v>259</v>
      </c>
      <c r="E263" s="10">
        <v>606</v>
      </c>
      <c r="F263" s="10">
        <v>3</v>
      </c>
      <c r="G263" s="10">
        <v>1</v>
      </c>
      <c r="H263" s="5" t="str">
        <f t="shared" si="12"/>
        <v>det_606</v>
      </c>
      <c r="I263" s="5" t="str">
        <f t="shared" si="13"/>
        <v>W:\Performance Measurement\1. Freeway\1. raw data\2013\data files\det_606.txt</v>
      </c>
      <c r="J263" s="5" t="str">
        <f t="shared" si="14"/>
        <v>W:\Performance Measurement\1. Freeway\1. raw data\2013\data files\det_606.xlsx</v>
      </c>
      <c r="M263" s="107" t="s">
        <v>76</v>
      </c>
      <c r="N263" s="10">
        <v>606</v>
      </c>
      <c r="O263" s="10">
        <v>3</v>
      </c>
      <c r="P263" s="10">
        <v>1</v>
      </c>
    </row>
    <row r="264" spans="4:16" x14ac:dyDescent="0.25">
      <c r="D264" s="95">
        <v>260</v>
      </c>
      <c r="E264" s="10">
        <v>594</v>
      </c>
      <c r="F264" s="10">
        <v>3</v>
      </c>
      <c r="G264" s="10">
        <v>1</v>
      </c>
      <c r="H264" s="5" t="str">
        <f t="shared" si="12"/>
        <v>det_594</v>
      </c>
      <c r="I264" s="5" t="str">
        <f t="shared" si="13"/>
        <v>W:\Performance Measurement\1. Freeway\1. raw data\2013\data files\det_594.txt</v>
      </c>
      <c r="J264" s="5" t="str">
        <f t="shared" si="14"/>
        <v>W:\Performance Measurement\1. Freeway\1. raw data\2013\data files\det_594.xlsx</v>
      </c>
      <c r="M264" s="107" t="s">
        <v>76</v>
      </c>
      <c r="N264" s="10">
        <v>594</v>
      </c>
      <c r="O264" s="10">
        <v>3</v>
      </c>
      <c r="P264" s="10">
        <v>1</v>
      </c>
    </row>
    <row r="265" spans="4:16" x14ac:dyDescent="0.25">
      <c r="D265" s="95">
        <v>261</v>
      </c>
      <c r="E265" s="10">
        <v>595</v>
      </c>
      <c r="F265" s="10">
        <v>3</v>
      </c>
      <c r="G265" s="10">
        <v>1</v>
      </c>
      <c r="H265" s="5" t="str">
        <f t="shared" si="12"/>
        <v>det_595</v>
      </c>
      <c r="I265" s="5" t="str">
        <f t="shared" si="13"/>
        <v>W:\Performance Measurement\1. Freeway\1. raw data\2013\data files\det_595.txt</v>
      </c>
      <c r="J265" s="5" t="str">
        <f t="shared" si="14"/>
        <v>W:\Performance Measurement\1. Freeway\1. raw data\2013\data files\det_595.xlsx</v>
      </c>
      <c r="M265" s="107" t="s">
        <v>76</v>
      </c>
      <c r="N265" s="10">
        <v>595</v>
      </c>
      <c r="O265" s="10">
        <v>3</v>
      </c>
      <c r="P265" s="10">
        <v>1</v>
      </c>
    </row>
    <row r="266" spans="4:16" x14ac:dyDescent="0.25">
      <c r="D266" s="95">
        <v>262</v>
      </c>
      <c r="E266" s="10">
        <v>596</v>
      </c>
      <c r="F266" s="10">
        <v>3</v>
      </c>
      <c r="G266" s="10">
        <v>1</v>
      </c>
      <c r="H266" s="5" t="str">
        <f t="shared" si="12"/>
        <v>det_596</v>
      </c>
      <c r="I266" s="5" t="str">
        <f t="shared" si="13"/>
        <v>W:\Performance Measurement\1. Freeway\1. raw data\2013\data files\det_596.txt</v>
      </c>
      <c r="J266" s="5" t="str">
        <f t="shared" si="14"/>
        <v>W:\Performance Measurement\1. Freeway\1. raw data\2013\data files\det_596.xlsx</v>
      </c>
      <c r="M266" s="107" t="s">
        <v>76</v>
      </c>
      <c r="N266" s="10">
        <v>596</v>
      </c>
      <c r="O266" s="10">
        <v>3</v>
      </c>
      <c r="P266" s="10">
        <v>1</v>
      </c>
    </row>
    <row r="267" spans="4:16" x14ac:dyDescent="0.25">
      <c r="D267" s="95">
        <v>263</v>
      </c>
      <c r="E267" s="10">
        <v>597</v>
      </c>
      <c r="F267" s="10">
        <v>3</v>
      </c>
      <c r="G267" s="10">
        <v>1</v>
      </c>
      <c r="H267" s="5" t="str">
        <f t="shared" si="12"/>
        <v>det_597</v>
      </c>
      <c r="I267" s="5" t="str">
        <f t="shared" si="13"/>
        <v>W:\Performance Measurement\1. Freeway\1. raw data\2013\data files\det_597.txt</v>
      </c>
      <c r="J267" s="5" t="str">
        <f t="shared" si="14"/>
        <v>W:\Performance Measurement\1. Freeway\1. raw data\2013\data files\det_597.xlsx</v>
      </c>
      <c r="M267" s="107" t="s">
        <v>76</v>
      </c>
      <c r="N267" s="10">
        <v>597</v>
      </c>
      <c r="O267" s="10">
        <v>3</v>
      </c>
      <c r="P267" s="10">
        <v>1</v>
      </c>
    </row>
    <row r="268" spans="4:16" x14ac:dyDescent="0.25">
      <c r="D268" s="95">
        <v>264</v>
      </c>
      <c r="E268" s="10">
        <v>598</v>
      </c>
      <c r="F268" s="10">
        <v>3</v>
      </c>
      <c r="G268" s="10">
        <v>1</v>
      </c>
      <c r="H268" s="5" t="str">
        <f t="shared" si="12"/>
        <v>det_598</v>
      </c>
      <c r="I268" s="5" t="str">
        <f t="shared" si="13"/>
        <v>W:\Performance Measurement\1. Freeway\1. raw data\2013\data files\det_598.txt</v>
      </c>
      <c r="J268" s="5" t="str">
        <f t="shared" si="14"/>
        <v>W:\Performance Measurement\1. Freeway\1. raw data\2013\data files\det_598.xlsx</v>
      </c>
      <c r="M268" s="107" t="s">
        <v>76</v>
      </c>
      <c r="N268" s="10">
        <v>598</v>
      </c>
      <c r="O268" s="10">
        <v>3</v>
      </c>
      <c r="P268" s="10">
        <v>1</v>
      </c>
    </row>
    <row r="269" spans="4:16" x14ac:dyDescent="0.25">
      <c r="D269" s="95">
        <v>265</v>
      </c>
      <c r="E269" s="10">
        <v>599</v>
      </c>
      <c r="F269" s="10">
        <v>3</v>
      </c>
      <c r="G269" s="10">
        <v>1</v>
      </c>
      <c r="H269" s="5" t="str">
        <f t="shared" si="12"/>
        <v>det_599</v>
      </c>
      <c r="I269" s="5" t="str">
        <f t="shared" si="13"/>
        <v>W:\Performance Measurement\1. Freeway\1. raw data\2013\data files\det_599.txt</v>
      </c>
      <c r="J269" s="5" t="str">
        <f t="shared" si="14"/>
        <v>W:\Performance Measurement\1. Freeway\1. raw data\2013\data files\det_599.xlsx</v>
      </c>
      <c r="M269" s="107" t="s">
        <v>76</v>
      </c>
      <c r="N269" s="10">
        <v>599</v>
      </c>
      <c r="O269" s="10">
        <v>3</v>
      </c>
      <c r="P269" s="10">
        <v>1</v>
      </c>
    </row>
    <row r="270" spans="4:16" x14ac:dyDescent="0.25">
      <c r="D270" s="95">
        <v>266</v>
      </c>
      <c r="E270" s="10">
        <v>600</v>
      </c>
      <c r="F270" s="10">
        <v>3</v>
      </c>
      <c r="G270" s="10">
        <v>1</v>
      </c>
      <c r="H270" s="5" t="str">
        <f t="shared" si="12"/>
        <v>det_600</v>
      </c>
      <c r="I270" s="5" t="str">
        <f t="shared" si="13"/>
        <v>W:\Performance Measurement\1. Freeway\1. raw data\2013\data files\det_600.txt</v>
      </c>
      <c r="J270" s="5" t="str">
        <f t="shared" si="14"/>
        <v>W:\Performance Measurement\1. Freeway\1. raw data\2013\data files\det_600.xlsx</v>
      </c>
      <c r="M270" s="107" t="s">
        <v>76</v>
      </c>
      <c r="N270" s="10">
        <v>600</v>
      </c>
      <c r="O270" s="10">
        <v>3</v>
      </c>
      <c r="P270" s="10">
        <v>1</v>
      </c>
    </row>
    <row r="271" spans="4:16" x14ac:dyDescent="0.25">
      <c r="D271" s="95">
        <v>267</v>
      </c>
      <c r="E271" s="42">
        <v>586</v>
      </c>
      <c r="F271" s="42">
        <v>4</v>
      </c>
      <c r="G271" s="42">
        <v>0</v>
      </c>
      <c r="H271" s="5" t="str">
        <f t="shared" si="12"/>
        <v>det_586</v>
      </c>
      <c r="I271" s="5" t="str">
        <f t="shared" si="13"/>
        <v>W:\Performance Measurement\1. Freeway\1. raw data\2013\data files\det_586.txt</v>
      </c>
      <c r="J271" s="5" t="str">
        <f t="shared" si="14"/>
        <v>W:\Performance Measurement\1. Freeway\1. raw data\2013\data files\det_586.xlsx</v>
      </c>
      <c r="K271" s="5"/>
      <c r="M271" s="104" t="s">
        <v>77</v>
      </c>
      <c r="N271" s="42">
        <v>586</v>
      </c>
      <c r="O271" s="42">
        <v>4</v>
      </c>
      <c r="P271" s="42">
        <v>0</v>
      </c>
    </row>
    <row r="272" spans="4:16" x14ac:dyDescent="0.25">
      <c r="D272" s="95">
        <v>268</v>
      </c>
      <c r="E272" s="42">
        <v>587</v>
      </c>
      <c r="F272" s="42">
        <v>4</v>
      </c>
      <c r="G272" s="42">
        <v>0</v>
      </c>
      <c r="H272" s="5" t="str">
        <f t="shared" si="12"/>
        <v>det_587</v>
      </c>
      <c r="I272" s="5" t="str">
        <f t="shared" si="13"/>
        <v>W:\Performance Measurement\1. Freeway\1. raw data\2013\data files\det_587.txt</v>
      </c>
      <c r="J272" s="5" t="str">
        <f t="shared" si="14"/>
        <v>W:\Performance Measurement\1. Freeway\1. raw data\2013\data files\det_587.xlsx</v>
      </c>
      <c r="K272" s="5"/>
      <c r="M272" s="104" t="s">
        <v>77</v>
      </c>
      <c r="N272" s="42">
        <v>587</v>
      </c>
      <c r="O272" s="42">
        <v>4</v>
      </c>
      <c r="P272" s="42">
        <v>0</v>
      </c>
    </row>
    <row r="273" spans="4:16" x14ac:dyDescent="0.25">
      <c r="D273" s="95">
        <v>269</v>
      </c>
      <c r="E273" s="42">
        <v>588</v>
      </c>
      <c r="F273" s="42">
        <v>4</v>
      </c>
      <c r="G273" s="42">
        <v>0</v>
      </c>
      <c r="H273" s="5" t="str">
        <f t="shared" si="12"/>
        <v>det_588</v>
      </c>
      <c r="I273" s="5" t="str">
        <f t="shared" si="13"/>
        <v>W:\Performance Measurement\1. Freeway\1. raw data\2013\data files\det_588.txt</v>
      </c>
      <c r="J273" s="5" t="str">
        <f t="shared" si="14"/>
        <v>W:\Performance Measurement\1. Freeway\1. raw data\2013\data files\det_588.xlsx</v>
      </c>
      <c r="K273" s="5"/>
      <c r="M273" s="104" t="s">
        <v>77</v>
      </c>
      <c r="N273" s="42">
        <v>588</v>
      </c>
      <c r="O273" s="42">
        <v>4</v>
      </c>
      <c r="P273" s="42">
        <v>0</v>
      </c>
    </row>
    <row r="274" spans="4:16" x14ac:dyDescent="0.25">
      <c r="D274" s="95">
        <v>270</v>
      </c>
      <c r="E274" s="42">
        <v>589</v>
      </c>
      <c r="F274" s="42">
        <v>4</v>
      </c>
      <c r="G274" s="42">
        <v>0</v>
      </c>
      <c r="H274" s="5" t="str">
        <f t="shared" si="12"/>
        <v>det_589</v>
      </c>
      <c r="I274" s="5" t="str">
        <f t="shared" si="13"/>
        <v>W:\Performance Measurement\1. Freeway\1. raw data\2013\data files\det_589.txt</v>
      </c>
      <c r="J274" s="5" t="str">
        <f t="shared" si="14"/>
        <v>W:\Performance Measurement\1. Freeway\1. raw data\2013\data files\det_589.xlsx</v>
      </c>
      <c r="K274" s="5"/>
      <c r="M274" s="104" t="s">
        <v>77</v>
      </c>
      <c r="N274" s="42">
        <v>589</v>
      </c>
      <c r="O274" s="42">
        <v>4</v>
      </c>
      <c r="P274" s="42">
        <v>0</v>
      </c>
    </row>
    <row r="275" spans="4:16" x14ac:dyDescent="0.25">
      <c r="D275" s="95">
        <v>271</v>
      </c>
      <c r="E275" s="42">
        <v>590</v>
      </c>
      <c r="F275" s="42">
        <v>4</v>
      </c>
      <c r="G275" s="42">
        <v>0</v>
      </c>
      <c r="H275" s="5" t="str">
        <f t="shared" si="12"/>
        <v>det_590</v>
      </c>
      <c r="I275" s="5" t="str">
        <f t="shared" si="13"/>
        <v>W:\Performance Measurement\1. Freeway\1. raw data\2013\data files\det_590.txt</v>
      </c>
      <c r="J275" s="5" t="str">
        <f t="shared" si="14"/>
        <v>W:\Performance Measurement\1. Freeway\1. raw data\2013\data files\det_590.xlsx</v>
      </c>
      <c r="K275" s="5"/>
      <c r="M275" s="104" t="s">
        <v>77</v>
      </c>
      <c r="N275" s="42">
        <v>590</v>
      </c>
      <c r="O275" s="42">
        <v>4</v>
      </c>
      <c r="P275" s="42">
        <v>0</v>
      </c>
    </row>
    <row r="276" spans="4:16" x14ac:dyDescent="0.25">
      <c r="D276" s="95">
        <v>272</v>
      </c>
      <c r="E276" s="42">
        <v>591</v>
      </c>
      <c r="F276" s="42">
        <v>4</v>
      </c>
      <c r="G276" s="42">
        <v>0</v>
      </c>
      <c r="H276" s="5" t="str">
        <f t="shared" si="12"/>
        <v>det_591</v>
      </c>
      <c r="I276" s="5" t="str">
        <f t="shared" si="13"/>
        <v>W:\Performance Measurement\1. Freeway\1. raw data\2013\data files\det_591.txt</v>
      </c>
      <c r="J276" s="5" t="str">
        <f t="shared" si="14"/>
        <v>W:\Performance Measurement\1. Freeway\1. raw data\2013\data files\det_591.xlsx</v>
      </c>
      <c r="K276" s="5"/>
      <c r="M276" s="104" t="s">
        <v>77</v>
      </c>
      <c r="N276" s="42">
        <v>591</v>
      </c>
      <c r="O276" s="42">
        <v>4</v>
      </c>
      <c r="P276" s="42">
        <v>0</v>
      </c>
    </row>
    <row r="277" spans="4:16" x14ac:dyDescent="0.25">
      <c r="D277" s="95">
        <v>273</v>
      </c>
      <c r="E277" s="42">
        <v>592</v>
      </c>
      <c r="F277" s="42">
        <v>5</v>
      </c>
      <c r="G277" s="42">
        <v>0</v>
      </c>
      <c r="H277" s="5" t="str">
        <f t="shared" si="12"/>
        <v>det_592</v>
      </c>
      <c r="I277" s="5" t="str">
        <f t="shared" si="13"/>
        <v>W:\Performance Measurement\1. Freeway\1. raw data\2013\data files\det_592.txt</v>
      </c>
      <c r="J277" s="5" t="str">
        <f t="shared" si="14"/>
        <v>W:\Performance Measurement\1. Freeway\1. raw data\2013\data files\det_592.xlsx</v>
      </c>
      <c r="K277" s="5"/>
      <c r="M277" s="104" t="s">
        <v>77</v>
      </c>
      <c r="N277" s="42">
        <v>592</v>
      </c>
      <c r="O277" s="42">
        <v>5</v>
      </c>
      <c r="P277" s="42">
        <v>0</v>
      </c>
    </row>
    <row r="278" spans="4:16" x14ac:dyDescent="0.25">
      <c r="D278" s="95">
        <v>274</v>
      </c>
      <c r="E278" s="42">
        <v>593</v>
      </c>
      <c r="F278" s="42">
        <v>4</v>
      </c>
      <c r="G278" s="42">
        <v>0</v>
      </c>
      <c r="H278" s="5" t="str">
        <f t="shared" si="12"/>
        <v>det_593</v>
      </c>
      <c r="I278" s="5" t="str">
        <f t="shared" si="13"/>
        <v>W:\Performance Measurement\1. Freeway\1. raw data\2013\data files\det_593.txt</v>
      </c>
      <c r="J278" s="5" t="str">
        <f t="shared" si="14"/>
        <v>W:\Performance Measurement\1. Freeway\1. raw data\2013\data files\det_593.xlsx</v>
      </c>
      <c r="K278" s="5"/>
      <c r="M278" s="104" t="s">
        <v>77</v>
      </c>
      <c r="N278" s="42">
        <v>593</v>
      </c>
      <c r="O278" s="42">
        <v>4</v>
      </c>
      <c r="P278" s="42">
        <v>0</v>
      </c>
    </row>
    <row r="279" spans="4:16" x14ac:dyDescent="0.25">
      <c r="D279" s="95">
        <v>275</v>
      </c>
      <c r="E279" s="42">
        <v>579</v>
      </c>
      <c r="F279" s="42">
        <v>4</v>
      </c>
      <c r="G279" s="42">
        <v>0</v>
      </c>
      <c r="H279" s="5" t="str">
        <f t="shared" si="12"/>
        <v>det_579</v>
      </c>
      <c r="I279" s="5" t="str">
        <f t="shared" si="13"/>
        <v>W:\Performance Measurement\1. Freeway\1. raw data\2013\data files\det_579.txt</v>
      </c>
      <c r="J279" s="5" t="str">
        <f t="shared" si="14"/>
        <v>W:\Performance Measurement\1. Freeway\1. raw data\2013\data files\det_579.xlsx</v>
      </c>
      <c r="K279" s="5"/>
      <c r="M279" s="104" t="s">
        <v>77</v>
      </c>
      <c r="N279" s="42">
        <v>579</v>
      </c>
      <c r="O279" s="42">
        <v>4</v>
      </c>
      <c r="P279" s="42">
        <v>0</v>
      </c>
    </row>
    <row r="280" spans="4:16" x14ac:dyDescent="0.25">
      <c r="D280" s="95">
        <v>276</v>
      </c>
      <c r="E280" s="42">
        <v>580</v>
      </c>
      <c r="F280" s="42">
        <v>5</v>
      </c>
      <c r="G280" s="42">
        <v>0</v>
      </c>
      <c r="H280" s="5" t="str">
        <f t="shared" si="12"/>
        <v>det_580</v>
      </c>
      <c r="I280" s="5" t="str">
        <f t="shared" si="13"/>
        <v>W:\Performance Measurement\1. Freeway\1. raw data\2013\data files\det_580.txt</v>
      </c>
      <c r="J280" s="5" t="str">
        <f t="shared" si="14"/>
        <v>W:\Performance Measurement\1. Freeway\1. raw data\2013\data files\det_580.xlsx</v>
      </c>
      <c r="K280" s="5"/>
      <c r="M280" s="104" t="s">
        <v>77</v>
      </c>
      <c r="N280" s="42">
        <v>580</v>
      </c>
      <c r="O280" s="42">
        <v>5</v>
      </c>
      <c r="P280" s="42">
        <v>0</v>
      </c>
    </row>
    <row r="281" spans="4:16" x14ac:dyDescent="0.25">
      <c r="D281" s="95">
        <v>277</v>
      </c>
      <c r="E281" s="42">
        <v>581</v>
      </c>
      <c r="F281" s="42">
        <v>4</v>
      </c>
      <c r="G281" s="42">
        <v>0</v>
      </c>
      <c r="H281" s="5" t="str">
        <f t="shared" si="12"/>
        <v>det_581</v>
      </c>
      <c r="I281" s="5" t="str">
        <f t="shared" si="13"/>
        <v>W:\Performance Measurement\1. Freeway\1. raw data\2013\data files\det_581.txt</v>
      </c>
      <c r="J281" s="5" t="str">
        <f t="shared" si="14"/>
        <v>W:\Performance Measurement\1. Freeway\1. raw data\2013\data files\det_581.xlsx</v>
      </c>
      <c r="K281" s="5"/>
      <c r="M281" s="104" t="s">
        <v>77</v>
      </c>
      <c r="N281" s="42">
        <v>581</v>
      </c>
      <c r="O281" s="42">
        <v>4</v>
      </c>
      <c r="P281" s="42">
        <v>0</v>
      </c>
    </row>
    <row r="282" spans="4:16" x14ac:dyDescent="0.25">
      <c r="D282" s="95">
        <v>278</v>
      </c>
      <c r="E282" s="42">
        <v>582</v>
      </c>
      <c r="F282" s="42">
        <v>4</v>
      </c>
      <c r="G282" s="42">
        <v>0</v>
      </c>
      <c r="H282" s="5" t="str">
        <f t="shared" si="12"/>
        <v>det_582</v>
      </c>
      <c r="I282" s="5" t="str">
        <f t="shared" si="13"/>
        <v>W:\Performance Measurement\1. Freeway\1. raw data\2013\data files\det_582.txt</v>
      </c>
      <c r="J282" s="5" t="str">
        <f t="shared" si="14"/>
        <v>W:\Performance Measurement\1. Freeway\1. raw data\2013\data files\det_582.xlsx</v>
      </c>
      <c r="K282" s="5"/>
      <c r="M282" s="104" t="s">
        <v>77</v>
      </c>
      <c r="N282" s="42">
        <v>582</v>
      </c>
      <c r="O282" s="42">
        <v>4</v>
      </c>
      <c r="P282" s="42">
        <v>0</v>
      </c>
    </row>
    <row r="283" spans="4:16" x14ac:dyDescent="0.25">
      <c r="D283" s="95">
        <v>279</v>
      </c>
      <c r="E283" s="42">
        <v>583</v>
      </c>
      <c r="F283" s="42">
        <v>4</v>
      </c>
      <c r="G283" s="42">
        <v>0</v>
      </c>
      <c r="H283" s="5" t="str">
        <f t="shared" si="12"/>
        <v>det_583</v>
      </c>
      <c r="I283" s="5" t="str">
        <f t="shared" si="13"/>
        <v>W:\Performance Measurement\1. Freeway\1. raw data\2013\data files\det_583.txt</v>
      </c>
      <c r="J283" s="5" t="str">
        <f t="shared" si="14"/>
        <v>W:\Performance Measurement\1. Freeway\1. raw data\2013\data files\det_583.xlsx</v>
      </c>
      <c r="K283" s="5"/>
      <c r="M283" s="104" t="s">
        <v>77</v>
      </c>
      <c r="N283" s="42">
        <v>583</v>
      </c>
      <c r="O283" s="42">
        <v>4</v>
      </c>
      <c r="P283" s="42">
        <v>0</v>
      </c>
    </row>
    <row r="284" spans="4:16" x14ac:dyDescent="0.25">
      <c r="D284" s="95">
        <v>280</v>
      </c>
      <c r="E284" s="42">
        <v>584</v>
      </c>
      <c r="F284" s="42">
        <v>4</v>
      </c>
      <c r="G284" s="42">
        <v>0</v>
      </c>
      <c r="H284" s="5" t="str">
        <f t="shared" si="12"/>
        <v>det_584</v>
      </c>
      <c r="I284" s="5" t="str">
        <f t="shared" si="13"/>
        <v>W:\Performance Measurement\1. Freeway\1. raw data\2013\data files\det_584.txt</v>
      </c>
      <c r="J284" s="5" t="str">
        <f t="shared" si="14"/>
        <v>W:\Performance Measurement\1. Freeway\1. raw data\2013\data files\det_584.xlsx</v>
      </c>
      <c r="K284" s="5"/>
      <c r="M284" s="104" t="s">
        <v>77</v>
      </c>
      <c r="N284" s="42">
        <v>584</v>
      </c>
      <c r="O284" s="42">
        <v>4</v>
      </c>
      <c r="P284" s="42">
        <v>0</v>
      </c>
    </row>
    <row r="285" spans="4:16" x14ac:dyDescent="0.25">
      <c r="D285" s="95">
        <v>281</v>
      </c>
      <c r="E285" s="42">
        <v>585</v>
      </c>
      <c r="F285" s="42">
        <v>4</v>
      </c>
      <c r="G285" s="42">
        <v>0</v>
      </c>
      <c r="H285" s="5" t="str">
        <f t="shared" si="12"/>
        <v>det_585</v>
      </c>
      <c r="I285" s="5" t="str">
        <f t="shared" si="13"/>
        <v>W:\Performance Measurement\1. Freeway\1. raw data\2013\data files\det_585.txt</v>
      </c>
      <c r="J285" s="5" t="str">
        <f t="shared" si="14"/>
        <v>W:\Performance Measurement\1. Freeway\1. raw data\2013\data files\det_585.xlsx</v>
      </c>
      <c r="K285" s="5"/>
      <c r="M285" s="104" t="s">
        <v>77</v>
      </c>
      <c r="N285" s="42">
        <v>585</v>
      </c>
      <c r="O285" s="42">
        <v>4</v>
      </c>
      <c r="P285" s="42">
        <v>0</v>
      </c>
    </row>
    <row r="286" spans="4:16" x14ac:dyDescent="0.25">
      <c r="D286" s="95">
        <v>282</v>
      </c>
      <c r="E286" s="42">
        <v>607</v>
      </c>
      <c r="F286" s="42">
        <v>2</v>
      </c>
      <c r="G286" s="42">
        <v>1</v>
      </c>
      <c r="H286" s="5" t="str">
        <f t="shared" si="12"/>
        <v>det_607</v>
      </c>
      <c r="I286" s="5" t="str">
        <f t="shared" si="13"/>
        <v>W:\Performance Measurement\1. Freeway\1. raw data\2013\data files\det_607.txt</v>
      </c>
      <c r="J286" s="5" t="str">
        <f t="shared" si="14"/>
        <v>W:\Performance Measurement\1. Freeway\1. raw data\2013\data files\det_607.xlsx</v>
      </c>
      <c r="K286" s="5"/>
      <c r="M286" s="104" t="s">
        <v>78</v>
      </c>
      <c r="N286" s="42">
        <v>607</v>
      </c>
      <c r="O286" s="42">
        <v>2</v>
      </c>
      <c r="P286" s="42">
        <v>1</v>
      </c>
    </row>
    <row r="287" spans="4:16" x14ac:dyDescent="0.25">
      <c r="D287" s="95">
        <v>283</v>
      </c>
      <c r="E287" s="42">
        <v>608</v>
      </c>
      <c r="F287" s="42">
        <v>3</v>
      </c>
      <c r="G287" s="42">
        <v>1</v>
      </c>
      <c r="H287" s="5" t="str">
        <f t="shared" si="12"/>
        <v>det_608</v>
      </c>
      <c r="I287" s="5" t="str">
        <f t="shared" si="13"/>
        <v>W:\Performance Measurement\1. Freeway\1. raw data\2013\data files\det_608.txt</v>
      </c>
      <c r="J287" s="5" t="str">
        <f t="shared" si="14"/>
        <v>W:\Performance Measurement\1. Freeway\1. raw data\2013\data files\det_608.xlsx</v>
      </c>
      <c r="K287" s="5"/>
      <c r="M287" s="104" t="s">
        <v>78</v>
      </c>
      <c r="N287" s="42">
        <v>608</v>
      </c>
      <c r="O287" s="42">
        <v>3</v>
      </c>
      <c r="P287" s="42">
        <v>1</v>
      </c>
    </row>
    <row r="288" spans="4:16" x14ac:dyDescent="0.25">
      <c r="D288" s="95">
        <v>284</v>
      </c>
      <c r="E288" s="42">
        <v>609</v>
      </c>
      <c r="F288" s="42">
        <v>3</v>
      </c>
      <c r="G288" s="42">
        <v>1</v>
      </c>
      <c r="H288" s="5" t="str">
        <f t="shared" si="12"/>
        <v>det_609</v>
      </c>
      <c r="I288" s="5" t="str">
        <f t="shared" si="13"/>
        <v>W:\Performance Measurement\1. Freeway\1. raw data\2013\data files\det_609.txt</v>
      </c>
      <c r="J288" s="5" t="str">
        <f t="shared" si="14"/>
        <v>W:\Performance Measurement\1. Freeway\1. raw data\2013\data files\det_609.xlsx</v>
      </c>
      <c r="K288" s="5"/>
      <c r="M288" s="104" t="s">
        <v>78</v>
      </c>
      <c r="N288" s="42">
        <v>609</v>
      </c>
      <c r="O288" s="42">
        <v>3</v>
      </c>
      <c r="P288" s="42">
        <v>1</v>
      </c>
    </row>
    <row r="289" spans="4:16" x14ac:dyDescent="0.25">
      <c r="D289" s="95">
        <v>285</v>
      </c>
      <c r="E289" s="42">
        <v>610</v>
      </c>
      <c r="F289" s="42">
        <v>3</v>
      </c>
      <c r="G289" s="42">
        <v>1</v>
      </c>
      <c r="H289" s="5" t="str">
        <f t="shared" si="12"/>
        <v>det_610</v>
      </c>
      <c r="I289" s="5" t="str">
        <f t="shared" si="13"/>
        <v>W:\Performance Measurement\1. Freeway\1. raw data\2013\data files\det_610.txt</v>
      </c>
      <c r="J289" s="5" t="str">
        <f t="shared" si="14"/>
        <v>W:\Performance Measurement\1. Freeway\1. raw data\2013\data files\det_610.xlsx</v>
      </c>
      <c r="K289" s="5"/>
      <c r="M289" s="104" t="s">
        <v>78</v>
      </c>
      <c r="N289" s="42">
        <v>610</v>
      </c>
      <c r="O289" s="42">
        <v>3</v>
      </c>
      <c r="P289" s="42">
        <v>1</v>
      </c>
    </row>
    <row r="290" spans="4:16" x14ac:dyDescent="0.25">
      <c r="D290" s="95">
        <v>286</v>
      </c>
      <c r="E290" s="42">
        <v>611</v>
      </c>
      <c r="F290" s="42">
        <v>3</v>
      </c>
      <c r="G290" s="42">
        <v>1</v>
      </c>
      <c r="H290" s="5" t="str">
        <f t="shared" si="12"/>
        <v>det_611</v>
      </c>
      <c r="I290" s="5" t="str">
        <f t="shared" si="13"/>
        <v>W:\Performance Measurement\1. Freeway\1. raw data\2013\data files\det_611.txt</v>
      </c>
      <c r="J290" s="5" t="str">
        <f t="shared" si="14"/>
        <v>W:\Performance Measurement\1. Freeway\1. raw data\2013\data files\det_611.xlsx</v>
      </c>
      <c r="K290" s="5"/>
      <c r="M290" s="104" t="s">
        <v>78</v>
      </c>
      <c r="N290" s="42">
        <v>611</v>
      </c>
      <c r="O290" s="42">
        <v>3</v>
      </c>
      <c r="P290" s="42">
        <v>1</v>
      </c>
    </row>
    <row r="291" spans="4:16" x14ac:dyDescent="0.25">
      <c r="D291" s="95">
        <v>287</v>
      </c>
      <c r="E291" s="42">
        <v>612</v>
      </c>
      <c r="F291" s="42">
        <v>3</v>
      </c>
      <c r="G291" s="42">
        <v>1</v>
      </c>
      <c r="H291" s="5" t="str">
        <f t="shared" si="12"/>
        <v>det_612</v>
      </c>
      <c r="I291" s="5" t="str">
        <f t="shared" si="13"/>
        <v>W:\Performance Measurement\1. Freeway\1. raw data\2013\data files\det_612.txt</v>
      </c>
      <c r="J291" s="5" t="str">
        <f t="shared" si="14"/>
        <v>W:\Performance Measurement\1. Freeway\1. raw data\2013\data files\det_612.xlsx</v>
      </c>
      <c r="K291" s="5"/>
      <c r="M291" s="104" t="s">
        <v>78</v>
      </c>
      <c r="N291" s="42">
        <v>612</v>
      </c>
      <c r="O291" s="42">
        <v>3</v>
      </c>
      <c r="P291" s="42">
        <v>1</v>
      </c>
    </row>
    <row r="292" spans="4:16" x14ac:dyDescent="0.25">
      <c r="D292" s="95">
        <v>288</v>
      </c>
      <c r="E292" s="42">
        <v>613</v>
      </c>
      <c r="F292" s="42">
        <v>3</v>
      </c>
      <c r="G292" s="42">
        <v>1</v>
      </c>
      <c r="H292" s="5" t="str">
        <f t="shared" si="12"/>
        <v>det_613</v>
      </c>
      <c r="I292" s="5" t="str">
        <f t="shared" si="13"/>
        <v>W:\Performance Measurement\1. Freeway\1. raw data\2013\data files\det_613.txt</v>
      </c>
      <c r="J292" s="5" t="str">
        <f t="shared" si="14"/>
        <v>W:\Performance Measurement\1. Freeway\1. raw data\2013\data files\det_613.xlsx</v>
      </c>
      <c r="K292" s="5"/>
      <c r="M292" s="104" t="s">
        <v>78</v>
      </c>
      <c r="N292" s="42">
        <v>613</v>
      </c>
      <c r="O292" s="42">
        <v>3</v>
      </c>
      <c r="P292" s="42">
        <v>1</v>
      </c>
    </row>
    <row r="293" spans="4:16" x14ac:dyDescent="0.25">
      <c r="D293" s="95">
        <v>289</v>
      </c>
      <c r="E293" s="42">
        <v>614</v>
      </c>
      <c r="F293" s="42">
        <v>3</v>
      </c>
      <c r="G293" s="42">
        <v>1</v>
      </c>
      <c r="H293" s="5" t="str">
        <f t="shared" si="12"/>
        <v>det_614</v>
      </c>
      <c r="I293" s="5" t="str">
        <f t="shared" si="13"/>
        <v>W:\Performance Measurement\1. Freeway\1. raw data\2013\data files\det_614.txt</v>
      </c>
      <c r="J293" s="5" t="str">
        <f t="shared" si="14"/>
        <v>W:\Performance Measurement\1. Freeway\1. raw data\2013\data files\det_614.xlsx</v>
      </c>
      <c r="K293" s="5"/>
      <c r="M293" s="104" t="s">
        <v>78</v>
      </c>
      <c r="N293" s="42">
        <v>614</v>
      </c>
      <c r="O293" s="42">
        <v>3</v>
      </c>
      <c r="P293" s="42">
        <v>1</v>
      </c>
    </row>
    <row r="294" spans="4:16" x14ac:dyDescent="0.25">
      <c r="D294" s="95">
        <v>290</v>
      </c>
      <c r="E294" s="42">
        <v>615</v>
      </c>
      <c r="F294" s="42">
        <v>3</v>
      </c>
      <c r="G294" s="42">
        <v>1</v>
      </c>
      <c r="H294" s="5" t="str">
        <f t="shared" si="12"/>
        <v>det_615</v>
      </c>
      <c r="I294" s="5" t="str">
        <f t="shared" si="13"/>
        <v>W:\Performance Measurement\1. Freeway\1. raw data\2013\data files\det_615.txt</v>
      </c>
      <c r="J294" s="5" t="str">
        <f t="shared" si="14"/>
        <v>W:\Performance Measurement\1. Freeway\1. raw data\2013\data files\det_615.xlsx</v>
      </c>
      <c r="K294" s="5"/>
      <c r="M294" s="104" t="s">
        <v>78</v>
      </c>
      <c r="N294" s="42">
        <v>615</v>
      </c>
      <c r="O294" s="42">
        <v>3</v>
      </c>
      <c r="P294" s="42">
        <v>1</v>
      </c>
    </row>
    <row r="295" spans="4:16" x14ac:dyDescent="0.25">
      <c r="D295" s="95">
        <v>291</v>
      </c>
      <c r="E295" s="42">
        <v>616</v>
      </c>
      <c r="F295" s="42">
        <v>3</v>
      </c>
      <c r="G295" s="42">
        <v>1</v>
      </c>
      <c r="H295" s="5" t="str">
        <f t="shared" si="12"/>
        <v>det_616</v>
      </c>
      <c r="I295" s="5" t="str">
        <f t="shared" si="13"/>
        <v>W:\Performance Measurement\1. Freeway\1. raw data\2013\data files\det_616.txt</v>
      </c>
      <c r="J295" s="5" t="str">
        <f t="shared" si="14"/>
        <v>W:\Performance Measurement\1. Freeway\1. raw data\2013\data files\det_616.xlsx</v>
      </c>
      <c r="K295" s="5"/>
      <c r="M295" s="104" t="s">
        <v>78</v>
      </c>
      <c r="N295" s="42">
        <v>616</v>
      </c>
      <c r="O295" s="42">
        <v>3</v>
      </c>
      <c r="P295" s="42">
        <v>1</v>
      </c>
    </row>
    <row r="296" spans="4:16" x14ac:dyDescent="0.25">
      <c r="D296" s="95">
        <v>292</v>
      </c>
      <c r="E296" s="42">
        <v>617</v>
      </c>
      <c r="F296" s="42">
        <v>3</v>
      </c>
      <c r="G296" s="42">
        <v>1</v>
      </c>
      <c r="H296" s="5" t="str">
        <f t="shared" si="12"/>
        <v>det_617</v>
      </c>
      <c r="I296" s="5" t="str">
        <f t="shared" si="13"/>
        <v>W:\Performance Measurement\1. Freeway\1. raw data\2013\data files\det_617.txt</v>
      </c>
      <c r="J296" s="5" t="str">
        <f t="shared" si="14"/>
        <v>W:\Performance Measurement\1. Freeway\1. raw data\2013\data files\det_617.xlsx</v>
      </c>
      <c r="K296" s="5"/>
      <c r="M296" s="104" t="s">
        <v>78</v>
      </c>
      <c r="N296" s="42">
        <v>617</v>
      </c>
      <c r="O296" s="42">
        <v>3</v>
      </c>
      <c r="P296" s="42">
        <v>1</v>
      </c>
    </row>
    <row r="297" spans="4:16" x14ac:dyDescent="0.25">
      <c r="D297" s="95">
        <v>293</v>
      </c>
      <c r="E297" s="42">
        <v>618</v>
      </c>
      <c r="F297" s="42">
        <v>3</v>
      </c>
      <c r="G297" s="42">
        <v>1</v>
      </c>
      <c r="H297" s="5" t="str">
        <f t="shared" si="12"/>
        <v>det_618</v>
      </c>
      <c r="I297" s="5" t="str">
        <f t="shared" si="13"/>
        <v>W:\Performance Measurement\1. Freeway\1. raw data\2013\data files\det_618.txt</v>
      </c>
      <c r="J297" s="5" t="str">
        <f t="shared" si="14"/>
        <v>W:\Performance Measurement\1. Freeway\1. raw data\2013\data files\det_618.xlsx</v>
      </c>
      <c r="K297" s="5"/>
      <c r="M297" s="104" t="s">
        <v>78</v>
      </c>
      <c r="N297" s="42">
        <v>618</v>
      </c>
      <c r="O297" s="42">
        <v>3</v>
      </c>
      <c r="P297" s="42">
        <v>1</v>
      </c>
    </row>
    <row r="298" spans="4:16" x14ac:dyDescent="0.25">
      <c r="D298" s="95">
        <v>294</v>
      </c>
      <c r="E298" s="42">
        <v>619</v>
      </c>
      <c r="F298" s="42">
        <v>3</v>
      </c>
      <c r="G298" s="42">
        <v>1</v>
      </c>
      <c r="H298" s="5" t="str">
        <f t="shared" si="12"/>
        <v>det_619</v>
      </c>
      <c r="I298" s="5" t="str">
        <f t="shared" si="13"/>
        <v>W:\Performance Measurement\1. Freeway\1. raw data\2013\data files\det_619.txt</v>
      </c>
      <c r="J298" s="5" t="str">
        <f t="shared" si="14"/>
        <v>W:\Performance Measurement\1. Freeway\1. raw data\2013\data files\det_619.xlsx</v>
      </c>
      <c r="K298" s="5"/>
      <c r="M298" s="104" t="s">
        <v>78</v>
      </c>
      <c r="N298" s="42">
        <v>619</v>
      </c>
      <c r="O298" s="42">
        <v>3</v>
      </c>
      <c r="P298" s="42">
        <v>1</v>
      </c>
    </row>
    <row r="299" spans="4:16" x14ac:dyDescent="0.25">
      <c r="D299" s="95">
        <v>295</v>
      </c>
      <c r="E299" s="42">
        <v>620</v>
      </c>
      <c r="F299" s="42">
        <v>3</v>
      </c>
      <c r="G299" s="42">
        <v>1</v>
      </c>
      <c r="H299" s="5" t="str">
        <f t="shared" si="12"/>
        <v>det_620</v>
      </c>
      <c r="I299" s="5" t="str">
        <f t="shared" si="13"/>
        <v>W:\Performance Measurement\1. Freeway\1. raw data\2013\data files\det_620.txt</v>
      </c>
      <c r="J299" s="5" t="str">
        <f t="shared" si="14"/>
        <v>W:\Performance Measurement\1. Freeway\1. raw data\2013\data files\det_620.xlsx</v>
      </c>
      <c r="K299" s="5"/>
      <c r="M299" s="104" t="s">
        <v>78</v>
      </c>
      <c r="N299" s="42">
        <v>620</v>
      </c>
      <c r="O299" s="42">
        <v>3</v>
      </c>
      <c r="P299" s="42">
        <v>1</v>
      </c>
    </row>
    <row r="300" spans="4:16" x14ac:dyDescent="0.25">
      <c r="D300" s="95">
        <v>296</v>
      </c>
      <c r="E300" s="42">
        <v>621</v>
      </c>
      <c r="F300" s="42">
        <v>3</v>
      </c>
      <c r="G300" s="42">
        <v>1</v>
      </c>
      <c r="H300" s="5" t="str">
        <f t="shared" si="12"/>
        <v>det_621</v>
      </c>
      <c r="I300" s="5" t="str">
        <f t="shared" si="13"/>
        <v>W:\Performance Measurement\1. Freeway\1. raw data\2013\data files\det_621.txt</v>
      </c>
      <c r="J300" s="5" t="str">
        <f t="shared" si="14"/>
        <v>W:\Performance Measurement\1. Freeway\1. raw data\2013\data files\det_621.xlsx</v>
      </c>
      <c r="K300" s="5"/>
      <c r="M300" s="104" t="s">
        <v>78</v>
      </c>
      <c r="N300" s="42">
        <v>621</v>
      </c>
      <c r="O300" s="42">
        <v>3</v>
      </c>
      <c r="P300" s="42">
        <v>1</v>
      </c>
    </row>
    <row r="301" spans="4:16" x14ac:dyDescent="0.25">
      <c r="D301" s="95">
        <v>297</v>
      </c>
      <c r="E301" s="10">
        <v>527</v>
      </c>
      <c r="F301" s="10">
        <v>3</v>
      </c>
      <c r="G301" s="10">
        <v>1</v>
      </c>
      <c r="H301" s="5" t="str">
        <f t="shared" si="12"/>
        <v>det_527</v>
      </c>
      <c r="I301" s="5" t="str">
        <f t="shared" si="13"/>
        <v>W:\Performance Measurement\1. Freeway\1. raw data\2013\data files\det_527.txt</v>
      </c>
      <c r="J301" s="5" t="str">
        <f t="shared" si="14"/>
        <v>W:\Performance Measurement\1. Freeway\1. raw data\2013\data files\det_527.xlsx</v>
      </c>
      <c r="M301" s="107" t="s">
        <v>79</v>
      </c>
      <c r="N301" s="10">
        <v>527</v>
      </c>
      <c r="O301" s="10">
        <v>3</v>
      </c>
      <c r="P301" s="10">
        <v>1</v>
      </c>
    </row>
    <row r="302" spans="4:16" x14ac:dyDescent="0.25">
      <c r="D302" s="95">
        <v>298</v>
      </c>
      <c r="E302" s="10">
        <v>528</v>
      </c>
      <c r="F302" s="10">
        <v>5</v>
      </c>
      <c r="G302" s="10">
        <v>1</v>
      </c>
      <c r="H302" s="5" t="str">
        <f t="shared" si="12"/>
        <v>det_528</v>
      </c>
      <c r="I302" s="5" t="str">
        <f t="shared" si="13"/>
        <v>W:\Performance Measurement\1. Freeway\1. raw data\2013\data files\det_528.txt</v>
      </c>
      <c r="J302" s="5" t="str">
        <f t="shared" si="14"/>
        <v>W:\Performance Measurement\1. Freeway\1. raw data\2013\data files\det_528.xlsx</v>
      </c>
      <c r="M302" s="107" t="s">
        <v>79</v>
      </c>
      <c r="N302" s="10">
        <v>528</v>
      </c>
      <c r="O302" s="10">
        <v>5</v>
      </c>
      <c r="P302" s="10">
        <v>1</v>
      </c>
    </row>
    <row r="303" spans="4:16" x14ac:dyDescent="0.25">
      <c r="D303" s="95">
        <v>299</v>
      </c>
      <c r="E303" s="10">
        <v>529</v>
      </c>
      <c r="F303" s="10">
        <v>4</v>
      </c>
      <c r="G303" s="10">
        <v>1</v>
      </c>
      <c r="H303" s="5" t="str">
        <f t="shared" si="12"/>
        <v>det_529</v>
      </c>
      <c r="I303" s="5" t="str">
        <f t="shared" si="13"/>
        <v>W:\Performance Measurement\1. Freeway\1. raw data\2013\data files\det_529.txt</v>
      </c>
      <c r="J303" s="5" t="str">
        <f t="shared" si="14"/>
        <v>W:\Performance Measurement\1. Freeway\1. raw data\2013\data files\det_529.xlsx</v>
      </c>
      <c r="M303" s="107" t="s">
        <v>79</v>
      </c>
      <c r="N303" s="10">
        <v>529</v>
      </c>
      <c r="O303" s="10">
        <v>4</v>
      </c>
      <c r="P303" s="10">
        <v>1</v>
      </c>
    </row>
    <row r="304" spans="4:16" x14ac:dyDescent="0.25">
      <c r="D304" s="95">
        <v>300</v>
      </c>
      <c r="E304" s="10">
        <v>530</v>
      </c>
      <c r="F304" s="10">
        <v>3</v>
      </c>
      <c r="G304" s="10">
        <v>1</v>
      </c>
      <c r="H304" s="5" t="str">
        <f t="shared" si="12"/>
        <v>det_530</v>
      </c>
      <c r="I304" s="5" t="str">
        <f t="shared" si="13"/>
        <v>W:\Performance Measurement\1. Freeway\1. raw data\2013\data files\det_530.txt</v>
      </c>
      <c r="J304" s="5" t="str">
        <f t="shared" si="14"/>
        <v>W:\Performance Measurement\1. Freeway\1. raw data\2013\data files\det_530.xlsx</v>
      </c>
      <c r="M304" s="107" t="s">
        <v>79</v>
      </c>
      <c r="N304" s="10">
        <v>530</v>
      </c>
      <c r="O304" s="10">
        <v>3</v>
      </c>
      <c r="P304" s="10">
        <v>1</v>
      </c>
    </row>
    <row r="305" spans="4:16" x14ac:dyDescent="0.25">
      <c r="D305" s="95">
        <v>301</v>
      </c>
      <c r="E305" s="10">
        <v>531</v>
      </c>
      <c r="F305" s="10">
        <v>3</v>
      </c>
      <c r="G305" s="10">
        <v>1</v>
      </c>
      <c r="H305" s="5" t="str">
        <f t="shared" si="12"/>
        <v>det_531</v>
      </c>
      <c r="I305" s="5" t="str">
        <f t="shared" si="13"/>
        <v>W:\Performance Measurement\1. Freeway\1. raw data\2013\data files\det_531.txt</v>
      </c>
      <c r="J305" s="5" t="str">
        <f t="shared" si="14"/>
        <v>W:\Performance Measurement\1. Freeway\1. raw data\2013\data files\det_531.xlsx</v>
      </c>
      <c r="M305" s="107" t="s">
        <v>79</v>
      </c>
      <c r="N305" s="10">
        <v>531</v>
      </c>
      <c r="O305" s="10">
        <v>3</v>
      </c>
      <c r="P305" s="10">
        <v>1</v>
      </c>
    </row>
    <row r="306" spans="4:16" x14ac:dyDescent="0.25">
      <c r="E306" s="10"/>
      <c r="F306" s="10"/>
      <c r="G306" s="10"/>
    </row>
    <row r="307" spans="4:16" x14ac:dyDescent="0.25">
      <c r="E307" s="10"/>
      <c r="F307" s="10"/>
      <c r="G307" s="10"/>
    </row>
    <row r="308" spans="4:16" x14ac:dyDescent="0.25">
      <c r="E308" s="10"/>
      <c r="F308" s="10"/>
      <c r="G308" s="10"/>
    </row>
    <row r="309" spans="4:16" x14ac:dyDescent="0.25">
      <c r="E309" s="10"/>
      <c r="F309" s="10"/>
      <c r="G309" s="10"/>
    </row>
    <row r="310" spans="4:16" x14ac:dyDescent="0.25">
      <c r="E310" s="10"/>
      <c r="F310" s="10"/>
      <c r="G310" s="10"/>
    </row>
    <row r="311" spans="4:16" x14ac:dyDescent="0.25">
      <c r="E311" s="10"/>
      <c r="F311" s="10"/>
      <c r="G311" s="10"/>
    </row>
    <row r="312" spans="4:16" x14ac:dyDescent="0.25">
      <c r="E312" s="10"/>
      <c r="F312" s="10"/>
      <c r="G312" s="10"/>
    </row>
    <row r="313" spans="4:16" x14ac:dyDescent="0.25">
      <c r="E313" s="10"/>
      <c r="F313" s="10"/>
      <c r="G313" s="10"/>
    </row>
    <row r="314" spans="4:16" x14ac:dyDescent="0.25">
      <c r="E314" s="10"/>
      <c r="F314" s="10"/>
      <c r="G314" s="10"/>
    </row>
    <row r="315" spans="4:16" x14ac:dyDescent="0.25">
      <c r="E315" s="85"/>
      <c r="F315" s="22"/>
      <c r="G315" s="91"/>
    </row>
    <row r="316" spans="4:16" x14ac:dyDescent="0.25">
      <c r="E316" s="85"/>
      <c r="F316" s="22"/>
      <c r="G316" s="91"/>
    </row>
    <row r="317" spans="4:16" x14ac:dyDescent="0.25">
      <c r="E317" s="85"/>
      <c r="F317" s="22"/>
      <c r="G317" s="91"/>
    </row>
    <row r="318" spans="4:16" x14ac:dyDescent="0.25">
      <c r="E318" s="85"/>
      <c r="F318" s="22"/>
      <c r="G318" s="91"/>
    </row>
    <row r="319" spans="4:16" x14ac:dyDescent="0.25">
      <c r="E319" s="85"/>
      <c r="F319" s="22"/>
      <c r="G319" s="91"/>
    </row>
    <row r="320" spans="4:16" x14ac:dyDescent="0.25">
      <c r="E320" s="85"/>
      <c r="F320" s="22"/>
      <c r="G320" s="91"/>
    </row>
    <row r="321" spans="5:7" x14ac:dyDescent="0.25">
      <c r="E321" s="85"/>
      <c r="F321" s="22"/>
      <c r="G321" s="91"/>
    </row>
    <row r="322" spans="5:7" x14ac:dyDescent="0.25">
      <c r="E322" s="85"/>
      <c r="F322" s="22"/>
      <c r="G322" s="91"/>
    </row>
    <row r="323" spans="5:7" x14ac:dyDescent="0.25">
      <c r="E323" s="85"/>
      <c r="F323" s="22"/>
      <c r="G323" s="91"/>
    </row>
    <row r="324" spans="5:7" x14ac:dyDescent="0.25">
      <c r="E324" s="85"/>
      <c r="F324" s="22"/>
      <c r="G324" s="91"/>
    </row>
    <row r="325" spans="5:7" x14ac:dyDescent="0.25">
      <c r="E325" s="85"/>
      <c r="F325" s="22"/>
      <c r="G325" s="91"/>
    </row>
    <row r="326" spans="5:7" x14ac:dyDescent="0.25">
      <c r="E326" s="85"/>
      <c r="F326" s="22"/>
      <c r="G326" s="91"/>
    </row>
    <row r="327" spans="5:7" x14ac:dyDescent="0.25">
      <c r="E327" s="85"/>
      <c r="F327" s="22"/>
      <c r="G327" s="91"/>
    </row>
    <row r="328" spans="5:7" x14ac:dyDescent="0.25">
      <c r="E328" s="85"/>
      <c r="F328" s="22"/>
      <c r="G328" s="91"/>
    </row>
    <row r="329" spans="5:7" x14ac:dyDescent="0.25">
      <c r="E329" s="85"/>
      <c r="F329" s="22"/>
      <c r="G329" s="91"/>
    </row>
    <row r="330" spans="5:7" x14ac:dyDescent="0.25">
      <c r="E330" s="10"/>
      <c r="F330" s="10"/>
      <c r="G330" s="10"/>
    </row>
    <row r="331" spans="5:7" x14ac:dyDescent="0.25">
      <c r="E331" s="10"/>
      <c r="F331" s="10"/>
      <c r="G331" s="10"/>
    </row>
    <row r="332" spans="5:7" x14ac:dyDescent="0.25">
      <c r="E332" s="10"/>
      <c r="F332" s="10"/>
      <c r="G332" s="10"/>
    </row>
    <row r="333" spans="5:7" x14ac:dyDescent="0.25">
      <c r="E333" s="10"/>
      <c r="F333" s="10"/>
      <c r="G333" s="10"/>
    </row>
    <row r="334" spans="5:7" x14ac:dyDescent="0.25">
      <c r="E334" s="10"/>
      <c r="F334" s="10"/>
      <c r="G334" s="10"/>
    </row>
    <row r="335" spans="5:7" x14ac:dyDescent="0.25">
      <c r="E335" s="48"/>
      <c r="F335" s="10"/>
      <c r="G335" s="10"/>
    </row>
    <row r="336" spans="5:7" x14ac:dyDescent="0.25">
      <c r="E336" s="48"/>
      <c r="F336" s="10"/>
      <c r="G336" s="10"/>
    </row>
    <row r="337" spans="5:7" x14ac:dyDescent="0.25">
      <c r="E337" s="48"/>
      <c r="F337" s="10"/>
      <c r="G337" s="10"/>
    </row>
    <row r="338" spans="5:7" x14ac:dyDescent="0.25">
      <c r="E338" s="48"/>
      <c r="F338" s="10"/>
      <c r="G338" s="10"/>
    </row>
    <row r="339" spans="5:7" x14ac:dyDescent="0.25">
      <c r="E339" s="48"/>
      <c r="F339" s="10"/>
      <c r="G339" s="10"/>
    </row>
    <row r="340" spans="5:7" x14ac:dyDescent="0.25">
      <c r="E340" s="48"/>
      <c r="F340" s="10"/>
      <c r="G340" s="10"/>
    </row>
    <row r="341" spans="5:7" x14ac:dyDescent="0.25">
      <c r="E341" s="48"/>
      <c r="F341" s="10"/>
      <c r="G341"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locked="0" defaultSize="0" print="0" autoFill="0" autoPict="0" macro="[0]!Step3">
                <anchor moveWithCells="1" sizeWithCells="1">
                  <from>
                    <xdr:col>1</xdr:col>
                    <xdr:colOff>0</xdr:colOff>
                    <xdr:row>2</xdr:row>
                    <xdr:rowOff>0</xdr:rowOff>
                  </from>
                  <to>
                    <xdr:col>2</xdr:col>
                    <xdr:colOff>638175</xdr:colOff>
                    <xdr:row>3</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P504"/>
  <sheetViews>
    <sheetView zoomScaleNormal="100" workbookViewId="0">
      <selection activeCell="B12" sqref="B12"/>
    </sheetView>
  </sheetViews>
  <sheetFormatPr defaultRowHeight="15" x14ac:dyDescent="0.25"/>
  <cols>
    <col min="1" max="1" width="4.140625" style="95" customWidth="1"/>
    <col min="2" max="2" width="10.7109375" style="95" customWidth="1"/>
    <col min="3" max="3" width="21.7109375" style="95" customWidth="1"/>
    <col min="4" max="4" width="8.7109375" style="95" customWidth="1"/>
    <col min="5" max="8" width="10.7109375" style="95" customWidth="1"/>
    <col min="9" max="10" width="24" style="95" customWidth="1"/>
    <col min="11" max="11" width="10.5703125" style="95" customWidth="1"/>
    <col min="12" max="12" width="41" style="95" customWidth="1"/>
    <col min="13" max="16384" width="9.140625" style="95"/>
  </cols>
  <sheetData>
    <row r="1" spans="2:16" ht="18.75" x14ac:dyDescent="0.3">
      <c r="B1" s="13" t="s">
        <v>21</v>
      </c>
      <c r="C1" s="13"/>
      <c r="D1" s="13"/>
      <c r="E1" s="13"/>
      <c r="H1" s="13"/>
      <c r="I1" s="12" t="s">
        <v>20</v>
      </c>
    </row>
    <row r="2" spans="2:16" x14ac:dyDescent="0.25">
      <c r="E2" s="6"/>
      <c r="F2" s="6"/>
      <c r="G2" s="6"/>
      <c r="H2" s="6"/>
      <c r="I2" s="6"/>
      <c r="J2" s="6"/>
      <c r="K2" s="6"/>
    </row>
    <row r="3" spans="2:16" x14ac:dyDescent="0.25">
      <c r="E3" s="6"/>
      <c r="F3" s="6"/>
      <c r="G3" s="6"/>
      <c r="M3" s="95" t="s">
        <v>279</v>
      </c>
    </row>
    <row r="4" spans="2:16" x14ac:dyDescent="0.25">
      <c r="D4" s="95" t="s">
        <v>19</v>
      </c>
      <c r="E4" s="95" t="s">
        <v>18</v>
      </c>
      <c r="F4" s="95" t="s">
        <v>38</v>
      </c>
      <c r="G4" s="95" t="s">
        <v>39</v>
      </c>
      <c r="H4" s="95" t="s">
        <v>17</v>
      </c>
      <c r="I4" s="95" t="s">
        <v>16</v>
      </c>
      <c r="J4" s="95" t="s">
        <v>15</v>
      </c>
      <c r="M4" s="95" t="s">
        <v>275</v>
      </c>
      <c r="N4" s="95" t="s">
        <v>18</v>
      </c>
      <c r="O4" s="95" t="s">
        <v>38</v>
      </c>
      <c r="P4" s="95" t="s">
        <v>39</v>
      </c>
    </row>
    <row r="5" spans="2:16" x14ac:dyDescent="0.25">
      <c r="B5" s="2" t="s">
        <v>280</v>
      </c>
      <c r="C5" s="95" t="s">
        <v>14</v>
      </c>
      <c r="D5" s="95">
        <v>1</v>
      </c>
      <c r="E5" s="10">
        <v>2</v>
      </c>
      <c r="F5" s="10">
        <v>5</v>
      </c>
      <c r="G5" s="10">
        <v>1</v>
      </c>
      <c r="H5" s="5" t="str">
        <f t="shared" ref="H5:H68" si="0">"det_"&amp;E5&amp;""</f>
        <v>det_2</v>
      </c>
      <c r="I5" s="5" t="str">
        <f t="shared" ref="I5:I68" si="1">$B$5&amp;"\"&amp;H5&amp;".txt"</f>
        <v>W:\Performance Measurement\1. Freeway\1. raw data\2014\data files\det_2.txt</v>
      </c>
      <c r="J5" s="5" t="str">
        <f t="shared" ref="J5:J68" si="2">$B$5&amp;"\"&amp;H5&amp;".xlsx"</f>
        <v>W:\Performance Measurement\1. Freeway\1. raw data\2014\data files\det_2.xlsx</v>
      </c>
      <c r="K5" s="5"/>
      <c r="M5" s="108" t="s">
        <v>58</v>
      </c>
      <c r="N5" s="10">
        <v>2</v>
      </c>
      <c r="O5" s="10">
        <v>5</v>
      </c>
      <c r="P5" s="10">
        <v>1</v>
      </c>
    </row>
    <row r="6" spans="2:16" x14ac:dyDescent="0.25">
      <c r="B6" s="2" t="s">
        <v>47</v>
      </c>
      <c r="C6" s="95" t="s">
        <v>13</v>
      </c>
      <c r="D6" s="95">
        <v>2</v>
      </c>
      <c r="E6" s="10">
        <v>8</v>
      </c>
      <c r="F6" s="10">
        <v>4</v>
      </c>
      <c r="G6" s="10">
        <v>1</v>
      </c>
      <c r="H6" s="5" t="str">
        <f t="shared" si="0"/>
        <v>det_8</v>
      </c>
      <c r="I6" s="5" t="str">
        <f t="shared" si="1"/>
        <v>W:\Performance Measurement\1. Freeway\1. raw data\2014\data files\det_8.txt</v>
      </c>
      <c r="J6" s="5" t="str">
        <f t="shared" si="2"/>
        <v>W:\Performance Measurement\1. Freeway\1. raw data\2014\data files\det_8.xlsx</v>
      </c>
      <c r="K6" s="5"/>
      <c r="M6" s="108" t="s">
        <v>58</v>
      </c>
      <c r="N6" s="10">
        <v>8</v>
      </c>
      <c r="O6" s="10">
        <v>4</v>
      </c>
      <c r="P6" s="10">
        <v>1</v>
      </c>
    </row>
    <row r="7" spans="2:16" x14ac:dyDescent="0.25">
      <c r="B7" s="2" t="s">
        <v>281</v>
      </c>
      <c r="C7" s="95" t="s">
        <v>11</v>
      </c>
      <c r="D7" s="95">
        <v>3</v>
      </c>
      <c r="E7" s="10">
        <v>14</v>
      </c>
      <c r="F7" s="10">
        <v>4</v>
      </c>
      <c r="G7" s="10">
        <v>1</v>
      </c>
      <c r="H7" s="5" t="str">
        <f t="shared" si="0"/>
        <v>det_14</v>
      </c>
      <c r="I7" s="5" t="str">
        <f t="shared" si="1"/>
        <v>W:\Performance Measurement\1. Freeway\1. raw data\2014\data files\det_14.txt</v>
      </c>
      <c r="J7" s="5" t="str">
        <f t="shared" si="2"/>
        <v>W:\Performance Measurement\1. Freeway\1. raw data\2014\data files\det_14.xlsx</v>
      </c>
      <c r="K7" s="5"/>
      <c r="M7" s="108" t="s">
        <v>58</v>
      </c>
      <c r="N7" s="10">
        <v>14</v>
      </c>
      <c r="O7" s="10">
        <v>4</v>
      </c>
      <c r="P7" s="10">
        <v>1</v>
      </c>
    </row>
    <row r="8" spans="2:16" x14ac:dyDescent="0.25">
      <c r="B8" s="2" t="s">
        <v>260</v>
      </c>
      <c r="C8" s="1" t="s">
        <v>10</v>
      </c>
      <c r="D8" s="95">
        <v>4</v>
      </c>
      <c r="E8" s="10">
        <v>20</v>
      </c>
      <c r="F8" s="10">
        <v>4</v>
      </c>
      <c r="G8" s="10">
        <v>1</v>
      </c>
      <c r="H8" s="5" t="str">
        <f t="shared" si="0"/>
        <v>det_20</v>
      </c>
      <c r="I8" s="5" t="str">
        <f t="shared" si="1"/>
        <v>W:\Performance Measurement\1. Freeway\1. raw data\2014\data files\det_20.txt</v>
      </c>
      <c r="J8" s="5" t="str">
        <f t="shared" si="2"/>
        <v>W:\Performance Measurement\1. Freeway\1. raw data\2014\data files\det_20.xlsx</v>
      </c>
      <c r="K8" s="5"/>
      <c r="M8" s="108" t="s">
        <v>58</v>
      </c>
      <c r="N8" s="10">
        <v>20</v>
      </c>
      <c r="O8" s="10">
        <v>4</v>
      </c>
      <c r="P8" s="10">
        <v>1</v>
      </c>
    </row>
    <row r="9" spans="2:16" x14ac:dyDescent="0.25">
      <c r="D9" s="95">
        <v>5</v>
      </c>
      <c r="E9" s="10">
        <v>25</v>
      </c>
      <c r="F9" s="10">
        <v>4</v>
      </c>
      <c r="G9" s="10">
        <v>1</v>
      </c>
      <c r="H9" s="5" t="str">
        <f t="shared" si="0"/>
        <v>det_25</v>
      </c>
      <c r="I9" s="5" t="str">
        <f t="shared" si="1"/>
        <v>W:\Performance Measurement\1. Freeway\1. raw data\2014\data files\det_25.txt</v>
      </c>
      <c r="J9" s="5" t="str">
        <f t="shared" si="2"/>
        <v>W:\Performance Measurement\1. Freeway\1. raw data\2014\data files\det_25.xlsx</v>
      </c>
      <c r="K9" s="5"/>
      <c r="M9" s="108" t="s">
        <v>58</v>
      </c>
      <c r="N9" s="10">
        <v>25</v>
      </c>
      <c r="O9" s="10">
        <v>4</v>
      </c>
      <c r="P9" s="10">
        <v>1</v>
      </c>
    </row>
    <row r="10" spans="2:16" x14ac:dyDescent="0.25">
      <c r="B10" s="3">
        <v>2014</v>
      </c>
      <c r="C10" s="95" t="s">
        <v>9</v>
      </c>
      <c r="D10" s="95">
        <v>6</v>
      </c>
      <c r="E10" s="10">
        <v>30</v>
      </c>
      <c r="F10" s="10">
        <v>4</v>
      </c>
      <c r="G10" s="10">
        <v>1</v>
      </c>
      <c r="H10" s="5" t="str">
        <f t="shared" si="0"/>
        <v>det_30</v>
      </c>
      <c r="I10" s="5" t="str">
        <f t="shared" si="1"/>
        <v>W:\Performance Measurement\1. Freeway\1. raw data\2014\data files\det_30.txt</v>
      </c>
      <c r="J10" s="5" t="str">
        <f t="shared" si="2"/>
        <v>W:\Performance Measurement\1. Freeway\1. raw data\2014\data files\det_30.xlsx</v>
      </c>
      <c r="K10" s="5"/>
      <c r="M10" s="108" t="s">
        <v>58</v>
      </c>
      <c r="N10" s="10">
        <v>30</v>
      </c>
      <c r="O10" s="10">
        <v>4</v>
      </c>
      <c r="P10" s="10">
        <v>1</v>
      </c>
    </row>
    <row r="11" spans="2:16" x14ac:dyDescent="0.25">
      <c r="B11" s="3">
        <v>365</v>
      </c>
      <c r="C11" s="95" t="s">
        <v>0</v>
      </c>
      <c r="D11" s="95">
        <v>7</v>
      </c>
      <c r="E11" s="10">
        <v>68</v>
      </c>
      <c r="F11" s="10">
        <v>4</v>
      </c>
      <c r="G11" s="10">
        <v>1</v>
      </c>
      <c r="H11" s="5" t="str">
        <f t="shared" si="0"/>
        <v>det_68</v>
      </c>
      <c r="I11" s="5" t="str">
        <f t="shared" si="1"/>
        <v>W:\Performance Measurement\1. Freeway\1. raw data\2014\data files\det_68.txt</v>
      </c>
      <c r="J11" s="5" t="str">
        <f t="shared" si="2"/>
        <v>W:\Performance Measurement\1. Freeway\1. raw data\2014\data files\det_68.xlsx</v>
      </c>
      <c r="K11" s="5"/>
      <c r="M11" s="108" t="s">
        <v>58</v>
      </c>
      <c r="N11" s="10">
        <v>68</v>
      </c>
      <c r="O11" s="10">
        <v>4</v>
      </c>
      <c r="P11" s="10">
        <v>1</v>
      </c>
    </row>
    <row r="12" spans="2:16" x14ac:dyDescent="0.25">
      <c r="B12" s="3">
        <v>251</v>
      </c>
      <c r="C12" s="95" t="s">
        <v>1</v>
      </c>
      <c r="D12" s="95">
        <v>8</v>
      </c>
      <c r="E12" s="10">
        <v>133</v>
      </c>
      <c r="F12" s="10">
        <v>5</v>
      </c>
      <c r="G12" s="10">
        <v>1</v>
      </c>
      <c r="H12" s="5" t="str">
        <f t="shared" si="0"/>
        <v>det_133</v>
      </c>
      <c r="I12" s="5" t="str">
        <f t="shared" si="1"/>
        <v>W:\Performance Measurement\1. Freeway\1. raw data\2014\data files\det_133.txt</v>
      </c>
      <c r="J12" s="5" t="str">
        <f t="shared" si="2"/>
        <v>W:\Performance Measurement\1. Freeway\1. raw data\2014\data files\det_133.xlsx</v>
      </c>
      <c r="K12" s="5"/>
      <c r="M12" s="108" t="s">
        <v>58</v>
      </c>
      <c r="N12" s="10">
        <v>133</v>
      </c>
      <c r="O12" s="10">
        <v>5</v>
      </c>
      <c r="P12" s="10">
        <v>1</v>
      </c>
    </row>
    <row r="13" spans="2:16" x14ac:dyDescent="0.25">
      <c r="D13" s="95">
        <v>9</v>
      </c>
      <c r="E13" s="10">
        <v>73</v>
      </c>
      <c r="F13" s="10">
        <v>5</v>
      </c>
      <c r="G13" s="10">
        <v>1</v>
      </c>
      <c r="H13" s="5" t="str">
        <f t="shared" si="0"/>
        <v>det_73</v>
      </c>
      <c r="I13" s="5" t="str">
        <f t="shared" si="1"/>
        <v>W:\Performance Measurement\1. Freeway\1. raw data\2014\data files\det_73.txt</v>
      </c>
      <c r="J13" s="5" t="str">
        <f t="shared" si="2"/>
        <v>W:\Performance Measurement\1. Freeway\1. raw data\2014\data files\det_73.xlsx</v>
      </c>
      <c r="K13" s="5"/>
      <c r="M13" s="108" t="s">
        <v>58</v>
      </c>
      <c r="N13" s="10">
        <v>73</v>
      </c>
      <c r="O13" s="10">
        <v>5</v>
      </c>
      <c r="P13" s="10">
        <v>1</v>
      </c>
    </row>
    <row r="14" spans="2:16" x14ac:dyDescent="0.25">
      <c r="B14" s="3">
        <v>1</v>
      </c>
      <c r="C14" s="1" t="s">
        <v>8</v>
      </c>
      <c r="D14" s="95">
        <v>10</v>
      </c>
      <c r="E14" s="10">
        <v>35</v>
      </c>
      <c r="F14" s="10">
        <v>4</v>
      </c>
      <c r="G14" s="10">
        <v>1</v>
      </c>
      <c r="H14" s="5" t="str">
        <f t="shared" si="0"/>
        <v>det_35</v>
      </c>
      <c r="I14" s="5" t="str">
        <f t="shared" si="1"/>
        <v>W:\Performance Measurement\1. Freeway\1. raw data\2014\data files\det_35.txt</v>
      </c>
      <c r="J14" s="5" t="str">
        <f t="shared" si="2"/>
        <v>W:\Performance Measurement\1. Freeway\1. raw data\2014\data files\det_35.xlsx</v>
      </c>
      <c r="K14" s="5"/>
      <c r="M14" s="108" t="s">
        <v>58</v>
      </c>
      <c r="N14" s="10">
        <v>35</v>
      </c>
      <c r="O14" s="10">
        <v>4</v>
      </c>
      <c r="P14" s="10">
        <v>1</v>
      </c>
    </row>
    <row r="15" spans="2:16" x14ac:dyDescent="0.25">
      <c r="D15" s="95">
        <v>11</v>
      </c>
      <c r="E15" s="10">
        <v>29</v>
      </c>
      <c r="F15" s="10">
        <v>4</v>
      </c>
      <c r="G15" s="10">
        <v>1</v>
      </c>
      <c r="H15" s="5" t="str">
        <f t="shared" si="0"/>
        <v>det_29</v>
      </c>
      <c r="I15" s="5" t="str">
        <f t="shared" si="1"/>
        <v>W:\Performance Measurement\1. Freeway\1. raw data\2014\data files\det_29.txt</v>
      </c>
      <c r="J15" s="5" t="str">
        <f t="shared" si="2"/>
        <v>W:\Performance Measurement\1. Freeway\1. raw data\2014\data files\det_29.xlsx</v>
      </c>
      <c r="K15" s="5"/>
      <c r="M15" s="108" t="s">
        <v>58</v>
      </c>
      <c r="N15" s="10">
        <v>29</v>
      </c>
      <c r="O15" s="10">
        <v>4</v>
      </c>
      <c r="P15" s="10">
        <v>1</v>
      </c>
    </row>
    <row r="16" spans="2:16" x14ac:dyDescent="0.25">
      <c r="B16" s="3">
        <v>1</v>
      </c>
      <c r="C16" s="95" t="s">
        <v>7</v>
      </c>
      <c r="D16" s="95">
        <v>12</v>
      </c>
      <c r="E16" s="10">
        <v>24</v>
      </c>
      <c r="F16" s="10">
        <v>4</v>
      </c>
      <c r="G16" s="10">
        <v>1</v>
      </c>
      <c r="H16" s="5" t="str">
        <f t="shared" si="0"/>
        <v>det_24</v>
      </c>
      <c r="I16" s="5" t="str">
        <f t="shared" si="1"/>
        <v>W:\Performance Measurement\1. Freeway\1. raw data\2014\data files\det_24.txt</v>
      </c>
      <c r="J16" s="5" t="str">
        <f t="shared" si="2"/>
        <v>W:\Performance Measurement\1. Freeway\1. raw data\2014\data files\det_24.xlsx</v>
      </c>
      <c r="K16" s="5"/>
      <c r="M16" s="108" t="s">
        <v>58</v>
      </c>
      <c r="N16" s="10">
        <v>24</v>
      </c>
      <c r="O16" s="10">
        <v>4</v>
      </c>
      <c r="P16" s="10">
        <v>1</v>
      </c>
    </row>
    <row r="17" spans="1:16" x14ac:dyDescent="0.25">
      <c r="B17" s="3">
        <v>354</v>
      </c>
      <c r="C17" s="95" t="s">
        <v>6</v>
      </c>
      <c r="D17" s="95">
        <v>13</v>
      </c>
      <c r="E17" s="10">
        <v>17</v>
      </c>
      <c r="F17" s="10">
        <v>4</v>
      </c>
      <c r="G17" s="10">
        <v>1</v>
      </c>
      <c r="H17" s="5" t="str">
        <f t="shared" si="0"/>
        <v>det_17</v>
      </c>
      <c r="I17" s="5" t="str">
        <f t="shared" si="1"/>
        <v>W:\Performance Measurement\1. Freeway\1. raw data\2014\data files\det_17.txt</v>
      </c>
      <c r="J17" s="5" t="str">
        <f t="shared" si="2"/>
        <v>W:\Performance Measurement\1. Freeway\1. raw data\2014\data files\det_17.xlsx</v>
      </c>
      <c r="K17" s="5"/>
      <c r="M17" s="108" t="s">
        <v>58</v>
      </c>
      <c r="N17" s="10">
        <v>17</v>
      </c>
      <c r="O17" s="10">
        <v>4</v>
      </c>
      <c r="P17" s="10">
        <v>1</v>
      </c>
    </row>
    <row r="18" spans="1:16" x14ac:dyDescent="0.25">
      <c r="C18" s="1"/>
      <c r="D18" s="95">
        <v>14</v>
      </c>
      <c r="E18" s="10">
        <v>11</v>
      </c>
      <c r="F18" s="10">
        <v>4</v>
      </c>
      <c r="G18" s="10">
        <v>1</v>
      </c>
      <c r="H18" s="5" t="str">
        <f t="shared" si="0"/>
        <v>det_11</v>
      </c>
      <c r="I18" s="5" t="str">
        <f t="shared" si="1"/>
        <v>W:\Performance Measurement\1. Freeway\1. raw data\2014\data files\det_11.txt</v>
      </c>
      <c r="J18" s="5" t="str">
        <f t="shared" si="2"/>
        <v>W:\Performance Measurement\1. Freeway\1. raw data\2014\data files\det_11.xlsx</v>
      </c>
      <c r="K18" s="5"/>
      <c r="M18" s="108" t="s">
        <v>58</v>
      </c>
      <c r="N18" s="10">
        <v>11</v>
      </c>
      <c r="O18" s="10">
        <v>4</v>
      </c>
      <c r="P18" s="10">
        <v>1</v>
      </c>
    </row>
    <row r="19" spans="1:16" x14ac:dyDescent="0.25">
      <c r="B19" s="7" t="str">
        <f>"E1:X"&amp;B$11*36/B14+1</f>
        <v>E1:X13141</v>
      </c>
      <c r="C19" s="1" t="s">
        <v>5</v>
      </c>
      <c r="D19" s="95">
        <v>15</v>
      </c>
      <c r="E19" s="10">
        <v>4</v>
      </c>
      <c r="F19" s="10">
        <v>4</v>
      </c>
      <c r="G19" s="10">
        <v>1</v>
      </c>
      <c r="H19" s="5" t="str">
        <f t="shared" si="0"/>
        <v>det_4</v>
      </c>
      <c r="I19" s="5" t="str">
        <f t="shared" si="1"/>
        <v>W:\Performance Measurement\1. Freeway\1. raw data\2014\data files\det_4.txt</v>
      </c>
      <c r="J19" s="5" t="str">
        <f t="shared" si="2"/>
        <v>W:\Performance Measurement\1. Freeway\1. raw data\2014\data files\det_4.xlsx</v>
      </c>
      <c r="K19" s="5"/>
      <c r="M19" s="108" t="s">
        <v>58</v>
      </c>
      <c r="N19" s="10">
        <v>4</v>
      </c>
      <c r="O19" s="10">
        <v>4</v>
      </c>
      <c r="P19" s="10">
        <v>1</v>
      </c>
    </row>
    <row r="20" spans="1:16" x14ac:dyDescent="0.25">
      <c r="B20" s="7" t="str">
        <f>"E1:X"&amp;B$11*72/B14+1</f>
        <v>E1:X26281</v>
      </c>
      <c r="C20" s="1" t="s">
        <v>4</v>
      </c>
      <c r="D20" s="95">
        <v>16</v>
      </c>
      <c r="E20" s="10">
        <v>1</v>
      </c>
      <c r="F20" s="10">
        <v>4</v>
      </c>
      <c r="G20" s="10">
        <v>1</v>
      </c>
      <c r="H20" s="5" t="str">
        <f t="shared" si="0"/>
        <v>det_1</v>
      </c>
      <c r="I20" s="5" t="str">
        <f t="shared" si="1"/>
        <v>W:\Performance Measurement\1. Freeway\1. raw data\2014\data files\det_1.txt</v>
      </c>
      <c r="J20" s="5" t="str">
        <f t="shared" si="2"/>
        <v>W:\Performance Measurement\1. Freeway\1. raw data\2014\data files\det_1.xlsx</v>
      </c>
      <c r="K20" s="5"/>
      <c r="M20" s="108" t="s">
        <v>58</v>
      </c>
      <c r="N20" s="10">
        <v>1</v>
      </c>
      <c r="O20" s="10">
        <v>4</v>
      </c>
      <c r="P20" s="10">
        <v>1</v>
      </c>
    </row>
    <row r="21" spans="1:16" x14ac:dyDescent="0.25">
      <c r="B21" s="7" t="str">
        <f>"E1:X"&amp;B$11*48/B14+1</f>
        <v>E1:X17521</v>
      </c>
      <c r="C21" s="1" t="s">
        <v>3</v>
      </c>
      <c r="D21" s="95">
        <v>17</v>
      </c>
      <c r="E21" s="10">
        <v>75</v>
      </c>
      <c r="F21" s="10">
        <v>5</v>
      </c>
      <c r="G21" s="10">
        <v>1</v>
      </c>
      <c r="H21" s="5" t="str">
        <f t="shared" si="0"/>
        <v>det_75</v>
      </c>
      <c r="I21" s="5" t="str">
        <f t="shared" si="1"/>
        <v>W:\Performance Measurement\1. Freeway\1. raw data\2014\data files\det_75.txt</v>
      </c>
      <c r="J21" s="5" t="str">
        <f t="shared" si="2"/>
        <v>W:\Performance Measurement\1. Freeway\1. raw data\2014\data files\det_75.xlsx</v>
      </c>
      <c r="K21" s="5"/>
      <c r="M21" s="108" t="s">
        <v>59</v>
      </c>
      <c r="N21" s="10">
        <v>75</v>
      </c>
      <c r="O21" s="10">
        <v>5</v>
      </c>
      <c r="P21" s="10">
        <v>1</v>
      </c>
    </row>
    <row r="22" spans="1:16" x14ac:dyDescent="0.25">
      <c r="B22" s="7" t="str">
        <f>"E1:X"&amp;B$11*132/B14+1</f>
        <v>E1:X48181</v>
      </c>
      <c r="C22" s="1" t="s">
        <v>2</v>
      </c>
      <c r="D22" s="95">
        <v>18</v>
      </c>
      <c r="E22" s="10">
        <v>80</v>
      </c>
      <c r="F22" s="10">
        <v>4</v>
      </c>
      <c r="G22" s="10">
        <v>1</v>
      </c>
      <c r="H22" s="5" t="str">
        <f t="shared" si="0"/>
        <v>det_80</v>
      </c>
      <c r="I22" s="5" t="str">
        <f t="shared" si="1"/>
        <v>W:\Performance Measurement\1. Freeway\1. raw data\2014\data files\det_80.txt</v>
      </c>
      <c r="J22" s="5" t="str">
        <f t="shared" si="2"/>
        <v>W:\Performance Measurement\1. Freeway\1. raw data\2014\data files\det_80.xlsx</v>
      </c>
      <c r="K22" s="5"/>
      <c r="M22" s="108" t="s">
        <v>59</v>
      </c>
      <c r="N22" s="10">
        <v>80</v>
      </c>
      <c r="O22" s="10">
        <v>4</v>
      </c>
      <c r="P22" s="10">
        <v>1</v>
      </c>
    </row>
    <row r="23" spans="1:16" x14ac:dyDescent="0.25">
      <c r="D23" s="95">
        <v>19</v>
      </c>
      <c r="E23" s="10">
        <v>85</v>
      </c>
      <c r="F23" s="10">
        <v>4</v>
      </c>
      <c r="G23" s="10">
        <v>1</v>
      </c>
      <c r="H23" s="5" t="str">
        <f t="shared" si="0"/>
        <v>det_85</v>
      </c>
      <c r="I23" s="5" t="str">
        <f t="shared" si="1"/>
        <v>W:\Performance Measurement\1. Freeway\1. raw data\2014\data files\det_85.txt</v>
      </c>
      <c r="J23" s="5" t="str">
        <f t="shared" si="2"/>
        <v>W:\Performance Measurement\1. Freeway\1. raw data\2014\data files\det_85.xlsx</v>
      </c>
      <c r="K23" s="5"/>
      <c r="M23" s="108" t="s">
        <v>59</v>
      </c>
      <c r="N23" s="10">
        <v>85</v>
      </c>
      <c r="O23" s="10">
        <v>4</v>
      </c>
      <c r="P23" s="10">
        <v>1</v>
      </c>
    </row>
    <row r="24" spans="1:16" x14ac:dyDescent="0.25">
      <c r="B24" s="4" t="str">
        <f>B6&amp;"\"&amp;B7</f>
        <v>W:\Performance Measurement\1. Freeway\2. processed data_quality control\a. template files\blank2014.xlsx</v>
      </c>
      <c r="D24" s="95">
        <v>20</v>
      </c>
      <c r="E24" s="10">
        <v>87</v>
      </c>
      <c r="F24" s="10">
        <v>3</v>
      </c>
      <c r="G24" s="10">
        <v>1</v>
      </c>
      <c r="H24" s="5" t="str">
        <f t="shared" si="0"/>
        <v>det_87</v>
      </c>
      <c r="I24" s="5" t="str">
        <f t="shared" si="1"/>
        <v>W:\Performance Measurement\1. Freeway\1. raw data\2014\data files\det_87.txt</v>
      </c>
      <c r="J24" s="5" t="str">
        <f t="shared" si="2"/>
        <v>W:\Performance Measurement\1. Freeway\1. raw data\2014\data files\det_87.xlsx</v>
      </c>
      <c r="K24" s="5"/>
      <c r="M24" s="108" t="s">
        <v>59</v>
      </c>
      <c r="N24" s="10">
        <v>87</v>
      </c>
      <c r="O24" s="10">
        <v>3</v>
      </c>
      <c r="P24" s="10">
        <v>1</v>
      </c>
    </row>
    <row r="25" spans="1:16" x14ac:dyDescent="0.25">
      <c r="B25" s="4" t="str">
        <f>B6&amp;"\"&amp;B8</f>
        <v>W:\Performance Measurement\1. Freeway\2. processed data_quality control\a. template files\Template.xlsx</v>
      </c>
      <c r="C25" s="1"/>
      <c r="D25" s="95">
        <v>21</v>
      </c>
      <c r="E25" s="10">
        <v>139</v>
      </c>
      <c r="F25" s="10">
        <v>5</v>
      </c>
      <c r="G25" s="10">
        <v>1</v>
      </c>
      <c r="H25" s="5" t="str">
        <f t="shared" si="0"/>
        <v>det_139</v>
      </c>
      <c r="I25" s="5" t="str">
        <f t="shared" si="1"/>
        <v>W:\Performance Measurement\1. Freeway\1. raw data\2014\data files\det_139.txt</v>
      </c>
      <c r="J25" s="5" t="str">
        <f t="shared" si="2"/>
        <v>W:\Performance Measurement\1. Freeway\1. raw data\2014\data files\det_139.xlsx</v>
      </c>
      <c r="K25" s="5"/>
      <c r="M25" s="108" t="s">
        <v>59</v>
      </c>
      <c r="N25" s="10">
        <v>139</v>
      </c>
      <c r="O25" s="10">
        <v>5</v>
      </c>
      <c r="P25" s="10">
        <v>1</v>
      </c>
    </row>
    <row r="26" spans="1:16" x14ac:dyDescent="0.25">
      <c r="B26" s="4"/>
      <c r="D26" s="95">
        <v>22</v>
      </c>
      <c r="E26" s="10">
        <v>84</v>
      </c>
      <c r="F26" s="10">
        <v>4</v>
      </c>
      <c r="G26" s="10">
        <v>1</v>
      </c>
      <c r="H26" s="5" t="str">
        <f t="shared" si="0"/>
        <v>det_84</v>
      </c>
      <c r="I26" s="5" t="str">
        <f t="shared" si="1"/>
        <v>W:\Performance Measurement\1. Freeway\1. raw data\2014\data files\det_84.txt</v>
      </c>
      <c r="J26" s="5" t="str">
        <f t="shared" si="2"/>
        <v>W:\Performance Measurement\1. Freeway\1. raw data\2014\data files\det_84.xlsx</v>
      </c>
      <c r="K26" s="5"/>
      <c r="M26" s="108" t="s">
        <v>59</v>
      </c>
      <c r="N26" s="10">
        <v>84</v>
      </c>
      <c r="O26" s="10">
        <v>4</v>
      </c>
      <c r="P26" s="10">
        <v>1</v>
      </c>
    </row>
    <row r="27" spans="1:16" x14ac:dyDescent="0.25">
      <c r="D27" s="95">
        <v>23</v>
      </c>
      <c r="E27" s="10">
        <v>78</v>
      </c>
      <c r="F27" s="10">
        <v>4</v>
      </c>
      <c r="G27" s="10">
        <v>1</v>
      </c>
      <c r="H27" s="5" t="str">
        <f t="shared" si="0"/>
        <v>det_78</v>
      </c>
      <c r="I27" s="5" t="str">
        <f t="shared" si="1"/>
        <v>W:\Performance Measurement\1. Freeway\1. raw data\2014\data files\det_78.txt</v>
      </c>
      <c r="J27" s="5" t="str">
        <f t="shared" si="2"/>
        <v>W:\Performance Measurement\1. Freeway\1. raw data\2014\data files\det_78.xlsx</v>
      </c>
      <c r="K27" s="5"/>
      <c r="M27" s="108" t="s">
        <v>59</v>
      </c>
      <c r="N27" s="10">
        <v>78</v>
      </c>
      <c r="O27" s="10">
        <v>4</v>
      </c>
      <c r="P27" s="10">
        <v>1</v>
      </c>
    </row>
    <row r="28" spans="1:16" x14ac:dyDescent="0.25">
      <c r="D28" s="95">
        <v>24</v>
      </c>
      <c r="E28" s="10">
        <v>137</v>
      </c>
      <c r="F28" s="10">
        <v>3</v>
      </c>
      <c r="G28" s="10">
        <v>1</v>
      </c>
      <c r="H28" s="5" t="str">
        <f t="shared" si="0"/>
        <v>det_137</v>
      </c>
      <c r="I28" s="5" t="str">
        <f t="shared" si="1"/>
        <v>W:\Performance Measurement\1. Freeway\1. raw data\2014\data files\det_137.txt</v>
      </c>
      <c r="J28" s="5" t="str">
        <f t="shared" si="2"/>
        <v>W:\Performance Measurement\1. Freeway\1. raw data\2014\data files\det_137.xlsx</v>
      </c>
      <c r="K28" s="5"/>
      <c r="M28" s="108" t="s">
        <v>59</v>
      </c>
      <c r="N28" s="10">
        <v>137</v>
      </c>
      <c r="O28" s="10">
        <v>3</v>
      </c>
      <c r="P28" s="10">
        <v>1</v>
      </c>
    </row>
    <row r="29" spans="1:16" x14ac:dyDescent="0.25">
      <c r="A29" s="1"/>
      <c r="C29" s="1"/>
      <c r="D29" s="95">
        <v>25</v>
      </c>
      <c r="E29" s="10">
        <v>89</v>
      </c>
      <c r="F29" s="10">
        <v>4</v>
      </c>
      <c r="G29" s="10">
        <v>1</v>
      </c>
      <c r="H29" s="5" t="str">
        <f t="shared" si="0"/>
        <v>det_89</v>
      </c>
      <c r="I29" s="5" t="str">
        <f t="shared" si="1"/>
        <v>W:\Performance Measurement\1. Freeway\1. raw data\2014\data files\det_89.txt</v>
      </c>
      <c r="J29" s="5" t="str">
        <f t="shared" si="2"/>
        <v>W:\Performance Measurement\1. Freeway\1. raw data\2014\data files\det_89.xlsx</v>
      </c>
      <c r="K29" s="5"/>
      <c r="M29" s="108" t="s">
        <v>60</v>
      </c>
      <c r="N29" s="10">
        <v>89</v>
      </c>
      <c r="O29" s="10">
        <v>4</v>
      </c>
      <c r="P29" s="10">
        <v>1</v>
      </c>
    </row>
    <row r="30" spans="1:16" x14ac:dyDescent="0.25">
      <c r="A30" s="1"/>
      <c r="C30" s="1"/>
      <c r="D30" s="95">
        <v>26</v>
      </c>
      <c r="E30" s="10">
        <v>149</v>
      </c>
      <c r="F30" s="10">
        <v>3</v>
      </c>
      <c r="G30" s="10">
        <v>1</v>
      </c>
      <c r="H30" s="5" t="str">
        <f t="shared" si="0"/>
        <v>det_149</v>
      </c>
      <c r="I30" s="5" t="str">
        <f t="shared" si="1"/>
        <v>W:\Performance Measurement\1. Freeway\1. raw data\2014\data files\det_149.txt</v>
      </c>
      <c r="J30" s="5" t="str">
        <f t="shared" si="2"/>
        <v>W:\Performance Measurement\1. Freeway\1. raw data\2014\data files\det_149.xlsx</v>
      </c>
      <c r="K30" s="5"/>
      <c r="M30" s="108" t="s">
        <v>60</v>
      </c>
      <c r="N30" s="10">
        <v>149</v>
      </c>
      <c r="O30" s="10">
        <v>3</v>
      </c>
      <c r="P30" s="10">
        <v>1</v>
      </c>
    </row>
    <row r="31" spans="1:16" x14ac:dyDescent="0.25">
      <c r="A31" s="1"/>
      <c r="C31" s="1"/>
      <c r="D31" s="95">
        <v>27</v>
      </c>
      <c r="E31" s="10">
        <v>93</v>
      </c>
      <c r="F31" s="10">
        <v>3</v>
      </c>
      <c r="G31" s="10">
        <v>1</v>
      </c>
      <c r="H31" s="5" t="str">
        <f t="shared" si="0"/>
        <v>det_93</v>
      </c>
      <c r="I31" s="5" t="str">
        <f t="shared" si="1"/>
        <v>W:\Performance Measurement\1. Freeway\1. raw data\2014\data files\det_93.txt</v>
      </c>
      <c r="J31" s="5" t="str">
        <f t="shared" si="2"/>
        <v>W:\Performance Measurement\1. Freeway\1. raw data\2014\data files\det_93.xlsx</v>
      </c>
      <c r="K31" s="5"/>
      <c r="M31" s="108" t="s">
        <v>60</v>
      </c>
      <c r="N31" s="10">
        <v>93</v>
      </c>
      <c r="O31" s="10">
        <v>3</v>
      </c>
      <c r="P31" s="10">
        <v>1</v>
      </c>
    </row>
    <row r="32" spans="1:16" x14ac:dyDescent="0.25">
      <c r="A32" s="1"/>
      <c r="C32" s="1"/>
      <c r="D32" s="95">
        <v>28</v>
      </c>
      <c r="E32" s="10">
        <v>40</v>
      </c>
      <c r="F32" s="10">
        <v>5</v>
      </c>
      <c r="G32" s="10">
        <v>1</v>
      </c>
      <c r="H32" s="5" t="str">
        <f t="shared" si="0"/>
        <v>det_40</v>
      </c>
      <c r="I32" s="5" t="str">
        <f t="shared" si="1"/>
        <v>W:\Performance Measurement\1. Freeway\1. raw data\2014\data files\det_40.txt</v>
      </c>
      <c r="J32" s="5" t="str">
        <f t="shared" si="2"/>
        <v>W:\Performance Measurement\1. Freeway\1. raw data\2014\data files\det_40.xlsx</v>
      </c>
      <c r="K32" s="5"/>
      <c r="M32" s="108" t="s">
        <v>60</v>
      </c>
      <c r="N32" s="10">
        <v>40</v>
      </c>
      <c r="O32" s="10">
        <v>5</v>
      </c>
      <c r="P32" s="10">
        <v>1</v>
      </c>
    </row>
    <row r="33" spans="1:16" x14ac:dyDescent="0.25">
      <c r="A33" s="1"/>
      <c r="C33" s="1"/>
      <c r="D33" s="95">
        <v>29</v>
      </c>
      <c r="E33" s="10">
        <v>46</v>
      </c>
      <c r="F33" s="10">
        <v>5</v>
      </c>
      <c r="G33" s="10">
        <v>1</v>
      </c>
      <c r="H33" s="5" t="str">
        <f t="shared" si="0"/>
        <v>det_46</v>
      </c>
      <c r="I33" s="5" t="str">
        <f t="shared" si="1"/>
        <v>W:\Performance Measurement\1. Freeway\1. raw data\2014\data files\det_46.txt</v>
      </c>
      <c r="J33" s="5" t="str">
        <f t="shared" si="2"/>
        <v>W:\Performance Measurement\1. Freeway\1. raw data\2014\data files\det_46.xlsx</v>
      </c>
      <c r="K33" s="5"/>
      <c r="M33" s="108" t="s">
        <v>60</v>
      </c>
      <c r="N33" s="10">
        <v>46</v>
      </c>
      <c r="O33" s="10">
        <v>5</v>
      </c>
      <c r="P33" s="10">
        <v>1</v>
      </c>
    </row>
    <row r="34" spans="1:16" x14ac:dyDescent="0.25">
      <c r="A34" s="1"/>
      <c r="C34" s="1"/>
      <c r="D34" s="95">
        <v>30</v>
      </c>
      <c r="E34" s="10">
        <v>50</v>
      </c>
      <c r="F34" s="10">
        <v>4</v>
      </c>
      <c r="G34" s="10">
        <v>1</v>
      </c>
      <c r="H34" s="5" t="str">
        <f t="shared" si="0"/>
        <v>det_50</v>
      </c>
      <c r="I34" s="5" t="str">
        <f t="shared" si="1"/>
        <v>W:\Performance Measurement\1. Freeway\1. raw data\2014\data files\det_50.txt</v>
      </c>
      <c r="J34" s="5" t="str">
        <f t="shared" si="2"/>
        <v>W:\Performance Measurement\1. Freeway\1. raw data\2014\data files\det_50.xlsx</v>
      </c>
      <c r="K34" s="5"/>
      <c r="M34" s="108" t="s">
        <v>60</v>
      </c>
      <c r="N34" s="10">
        <v>50</v>
      </c>
      <c r="O34" s="10">
        <v>4</v>
      </c>
      <c r="P34" s="10">
        <v>1</v>
      </c>
    </row>
    <row r="35" spans="1:16" x14ac:dyDescent="0.25">
      <c r="A35" s="1"/>
      <c r="C35" s="1"/>
      <c r="D35" s="95">
        <v>31</v>
      </c>
      <c r="E35" s="10">
        <v>55</v>
      </c>
      <c r="F35" s="10">
        <v>5</v>
      </c>
      <c r="G35" s="10">
        <v>1</v>
      </c>
      <c r="H35" s="5" t="str">
        <f t="shared" si="0"/>
        <v>det_55</v>
      </c>
      <c r="I35" s="5" t="str">
        <f t="shared" si="1"/>
        <v>W:\Performance Measurement\1. Freeway\1. raw data\2014\data files\det_55.txt</v>
      </c>
      <c r="J35" s="5" t="str">
        <f t="shared" si="2"/>
        <v>W:\Performance Measurement\1. Freeway\1. raw data\2014\data files\det_55.xlsx</v>
      </c>
      <c r="K35" s="5"/>
      <c r="M35" s="108" t="s">
        <v>60</v>
      </c>
      <c r="N35" s="10">
        <v>55</v>
      </c>
      <c r="O35" s="10">
        <v>5</v>
      </c>
      <c r="P35" s="10">
        <v>1</v>
      </c>
    </row>
    <row r="36" spans="1:16" x14ac:dyDescent="0.25">
      <c r="A36" s="1"/>
      <c r="D36" s="95">
        <v>32</v>
      </c>
      <c r="E36" s="10">
        <v>59</v>
      </c>
      <c r="F36" s="10">
        <v>4</v>
      </c>
      <c r="G36" s="10">
        <v>1</v>
      </c>
      <c r="H36" s="5" t="str">
        <f t="shared" si="0"/>
        <v>det_59</v>
      </c>
      <c r="I36" s="5" t="str">
        <f t="shared" si="1"/>
        <v>W:\Performance Measurement\1. Freeway\1. raw data\2014\data files\det_59.txt</v>
      </c>
      <c r="J36" s="5" t="str">
        <f t="shared" si="2"/>
        <v>W:\Performance Measurement\1. Freeway\1. raw data\2014\data files\det_59.xlsx</v>
      </c>
      <c r="K36" s="5"/>
      <c r="M36" s="108" t="s">
        <v>60</v>
      </c>
      <c r="N36" s="10">
        <v>59</v>
      </c>
      <c r="O36" s="10">
        <v>4</v>
      </c>
      <c r="P36" s="10">
        <v>1</v>
      </c>
    </row>
    <row r="37" spans="1:16" x14ac:dyDescent="0.25">
      <c r="D37" s="95">
        <v>33</v>
      </c>
      <c r="E37" s="10">
        <v>64</v>
      </c>
      <c r="F37" s="10">
        <v>5</v>
      </c>
      <c r="G37" s="10">
        <v>1</v>
      </c>
      <c r="H37" s="5" t="str">
        <f t="shared" si="0"/>
        <v>det_64</v>
      </c>
      <c r="I37" s="5" t="str">
        <f t="shared" si="1"/>
        <v>W:\Performance Measurement\1. Freeway\1. raw data\2014\data files\det_64.txt</v>
      </c>
      <c r="J37" s="5" t="str">
        <f t="shared" si="2"/>
        <v>W:\Performance Measurement\1. Freeway\1. raw data\2014\data files\det_64.xlsx</v>
      </c>
      <c r="K37" s="5"/>
      <c r="M37" s="108" t="s">
        <v>60</v>
      </c>
      <c r="N37" s="10">
        <v>64</v>
      </c>
      <c r="O37" s="10">
        <v>5</v>
      </c>
      <c r="P37" s="10">
        <v>1</v>
      </c>
    </row>
    <row r="38" spans="1:16" x14ac:dyDescent="0.25">
      <c r="D38" s="95">
        <v>34</v>
      </c>
      <c r="E38" s="10">
        <v>393</v>
      </c>
      <c r="F38" s="10">
        <v>3</v>
      </c>
      <c r="G38" s="10">
        <v>1</v>
      </c>
      <c r="H38" s="5" t="str">
        <f t="shared" si="0"/>
        <v>det_393</v>
      </c>
      <c r="I38" s="5" t="str">
        <f t="shared" si="1"/>
        <v>W:\Performance Measurement\1. Freeway\1. raw data\2014\data files\det_393.txt</v>
      </c>
      <c r="J38" s="5" t="str">
        <f t="shared" si="2"/>
        <v>W:\Performance Measurement\1. Freeway\1. raw data\2014\data files\det_393.xlsx</v>
      </c>
      <c r="K38" s="5"/>
      <c r="M38" s="108" t="s">
        <v>60</v>
      </c>
      <c r="N38" s="10">
        <v>393</v>
      </c>
      <c r="O38" s="10">
        <v>3</v>
      </c>
      <c r="P38" s="10">
        <v>1</v>
      </c>
    </row>
    <row r="39" spans="1:16" x14ac:dyDescent="0.25">
      <c r="D39" s="95">
        <v>35</v>
      </c>
      <c r="E39" s="10">
        <v>425</v>
      </c>
      <c r="F39" s="10">
        <v>3</v>
      </c>
      <c r="G39" s="10">
        <v>1</v>
      </c>
      <c r="H39" s="5" t="str">
        <f t="shared" si="0"/>
        <v>det_425</v>
      </c>
      <c r="I39" s="5" t="str">
        <f t="shared" si="1"/>
        <v>W:\Performance Measurement\1. Freeway\1. raw data\2014\data files\det_425.txt</v>
      </c>
      <c r="J39" s="5" t="str">
        <f t="shared" si="2"/>
        <v>W:\Performance Measurement\1. Freeway\1. raw data\2014\data files\det_425.xlsx</v>
      </c>
      <c r="K39" s="5"/>
      <c r="M39" s="108" t="s">
        <v>60</v>
      </c>
      <c r="N39" s="10">
        <v>425</v>
      </c>
      <c r="O39" s="10">
        <v>3</v>
      </c>
      <c r="P39" s="10">
        <v>1</v>
      </c>
    </row>
    <row r="40" spans="1:16" x14ac:dyDescent="0.25">
      <c r="D40" s="95">
        <v>36</v>
      </c>
      <c r="E40" s="10">
        <v>66</v>
      </c>
      <c r="F40" s="10">
        <v>6</v>
      </c>
      <c r="G40" s="10">
        <v>1</v>
      </c>
      <c r="H40" s="5" t="str">
        <f t="shared" si="0"/>
        <v>det_66</v>
      </c>
      <c r="I40" s="5" t="str">
        <f t="shared" si="1"/>
        <v>W:\Performance Measurement\1. Freeway\1. raw data\2014\data files\det_66.txt</v>
      </c>
      <c r="J40" s="5" t="str">
        <f t="shared" si="2"/>
        <v>W:\Performance Measurement\1. Freeway\1. raw data\2014\data files\det_66.xlsx</v>
      </c>
      <c r="K40" s="5"/>
      <c r="M40" s="108" t="s">
        <v>60</v>
      </c>
      <c r="N40" s="10">
        <v>66</v>
      </c>
      <c r="O40" s="10">
        <v>6</v>
      </c>
      <c r="P40" s="10">
        <v>1</v>
      </c>
    </row>
    <row r="41" spans="1:16" x14ac:dyDescent="0.25">
      <c r="D41" s="95">
        <v>37</v>
      </c>
      <c r="E41" s="10">
        <v>63</v>
      </c>
      <c r="F41" s="10">
        <v>4</v>
      </c>
      <c r="G41" s="10">
        <v>1</v>
      </c>
      <c r="H41" s="5" t="str">
        <f t="shared" si="0"/>
        <v>det_63</v>
      </c>
      <c r="I41" s="5" t="str">
        <f t="shared" si="1"/>
        <v>W:\Performance Measurement\1. Freeway\1. raw data\2014\data files\det_63.txt</v>
      </c>
      <c r="J41" s="5" t="str">
        <f t="shared" si="2"/>
        <v>W:\Performance Measurement\1. Freeway\1. raw data\2014\data files\det_63.xlsx</v>
      </c>
      <c r="K41" s="5"/>
      <c r="M41" s="108" t="s">
        <v>60</v>
      </c>
      <c r="N41" s="10">
        <v>63</v>
      </c>
      <c r="O41" s="10">
        <v>4</v>
      </c>
      <c r="P41" s="10">
        <v>1</v>
      </c>
    </row>
    <row r="42" spans="1:16" x14ac:dyDescent="0.25">
      <c r="D42" s="95">
        <v>38</v>
      </c>
      <c r="E42" s="10">
        <v>60</v>
      </c>
      <c r="F42" s="10">
        <v>5</v>
      </c>
      <c r="G42" s="10">
        <v>1</v>
      </c>
      <c r="H42" s="5" t="str">
        <f t="shared" si="0"/>
        <v>det_60</v>
      </c>
      <c r="I42" s="5" t="str">
        <f t="shared" si="1"/>
        <v>W:\Performance Measurement\1. Freeway\1. raw data\2014\data files\det_60.txt</v>
      </c>
      <c r="J42" s="5" t="str">
        <f t="shared" si="2"/>
        <v>W:\Performance Measurement\1. Freeway\1. raw data\2014\data files\det_60.xlsx</v>
      </c>
      <c r="K42" s="5"/>
      <c r="M42" s="108" t="s">
        <v>60</v>
      </c>
      <c r="N42" s="10">
        <v>60</v>
      </c>
      <c r="O42" s="10">
        <v>5</v>
      </c>
      <c r="P42" s="10">
        <v>1</v>
      </c>
    </row>
    <row r="43" spans="1:16" x14ac:dyDescent="0.25">
      <c r="D43" s="95">
        <v>39</v>
      </c>
      <c r="E43" s="10">
        <v>53</v>
      </c>
      <c r="F43" s="10">
        <v>4</v>
      </c>
      <c r="G43" s="10">
        <v>1</v>
      </c>
      <c r="H43" s="5" t="str">
        <f t="shared" si="0"/>
        <v>det_53</v>
      </c>
      <c r="I43" s="5" t="str">
        <f t="shared" si="1"/>
        <v>W:\Performance Measurement\1. Freeway\1. raw data\2014\data files\det_53.txt</v>
      </c>
      <c r="J43" s="5" t="str">
        <f t="shared" si="2"/>
        <v>W:\Performance Measurement\1. Freeway\1. raw data\2014\data files\det_53.xlsx</v>
      </c>
      <c r="K43" s="5"/>
      <c r="M43" s="108" t="s">
        <v>60</v>
      </c>
      <c r="N43" s="10">
        <v>53</v>
      </c>
      <c r="O43" s="10">
        <v>4</v>
      </c>
      <c r="P43" s="10">
        <v>1</v>
      </c>
    </row>
    <row r="44" spans="1:16" x14ac:dyDescent="0.25">
      <c r="D44" s="95">
        <v>40</v>
      </c>
      <c r="E44" s="10">
        <v>47</v>
      </c>
      <c r="F44" s="10">
        <v>5</v>
      </c>
      <c r="G44" s="10">
        <v>1</v>
      </c>
      <c r="H44" s="5" t="str">
        <f t="shared" si="0"/>
        <v>det_47</v>
      </c>
      <c r="I44" s="5" t="str">
        <f t="shared" si="1"/>
        <v>W:\Performance Measurement\1. Freeway\1. raw data\2014\data files\det_47.txt</v>
      </c>
      <c r="J44" s="5" t="str">
        <f t="shared" si="2"/>
        <v>W:\Performance Measurement\1. Freeway\1. raw data\2014\data files\det_47.xlsx</v>
      </c>
      <c r="K44" s="5"/>
      <c r="M44" s="108" t="s">
        <v>60</v>
      </c>
      <c r="N44" s="10">
        <v>47</v>
      </c>
      <c r="O44" s="10">
        <v>5</v>
      </c>
      <c r="P44" s="10">
        <v>1</v>
      </c>
    </row>
    <row r="45" spans="1:16" x14ac:dyDescent="0.25">
      <c r="D45" s="95">
        <v>41</v>
      </c>
      <c r="E45" s="10">
        <v>41</v>
      </c>
      <c r="F45" s="10">
        <v>6</v>
      </c>
      <c r="G45" s="10">
        <v>1</v>
      </c>
      <c r="H45" s="5" t="str">
        <f t="shared" si="0"/>
        <v>det_41</v>
      </c>
      <c r="I45" s="5" t="str">
        <f t="shared" si="1"/>
        <v>W:\Performance Measurement\1. Freeway\1. raw data\2014\data files\det_41.txt</v>
      </c>
      <c r="J45" s="5" t="str">
        <f t="shared" si="2"/>
        <v>W:\Performance Measurement\1. Freeway\1. raw data\2014\data files\det_41.xlsx</v>
      </c>
      <c r="K45" s="5"/>
      <c r="M45" s="108" t="s">
        <v>60</v>
      </c>
      <c r="N45" s="10">
        <v>41</v>
      </c>
      <c r="O45" s="10">
        <v>6</v>
      </c>
      <c r="P45" s="10">
        <v>1</v>
      </c>
    </row>
    <row r="46" spans="1:16" x14ac:dyDescent="0.25">
      <c r="D46" s="95">
        <v>42</v>
      </c>
      <c r="E46" s="10">
        <v>144</v>
      </c>
      <c r="F46" s="10">
        <v>3</v>
      </c>
      <c r="G46" s="10">
        <v>1</v>
      </c>
      <c r="H46" s="5" t="str">
        <f t="shared" si="0"/>
        <v>det_144</v>
      </c>
      <c r="I46" s="5" t="str">
        <f t="shared" si="1"/>
        <v>W:\Performance Measurement\1. Freeway\1. raw data\2014\data files\det_144.txt</v>
      </c>
      <c r="J46" s="5" t="str">
        <f t="shared" si="2"/>
        <v>W:\Performance Measurement\1. Freeway\1. raw data\2014\data files\det_144.xlsx</v>
      </c>
      <c r="K46" s="5"/>
      <c r="M46" s="108" t="s">
        <v>60</v>
      </c>
      <c r="N46" s="10">
        <v>144</v>
      </c>
      <c r="O46" s="10">
        <v>3</v>
      </c>
      <c r="P46" s="10">
        <v>1</v>
      </c>
    </row>
    <row r="47" spans="1:16" x14ac:dyDescent="0.25">
      <c r="D47" s="95">
        <v>43</v>
      </c>
      <c r="E47" s="10">
        <v>92</v>
      </c>
      <c r="F47" s="10">
        <v>3</v>
      </c>
      <c r="G47" s="10">
        <v>1</v>
      </c>
      <c r="H47" s="5" t="str">
        <f t="shared" si="0"/>
        <v>det_92</v>
      </c>
      <c r="I47" s="5" t="str">
        <f t="shared" si="1"/>
        <v>W:\Performance Measurement\1. Freeway\1. raw data\2014\data files\det_92.txt</v>
      </c>
      <c r="J47" s="5" t="str">
        <f t="shared" si="2"/>
        <v>W:\Performance Measurement\1. Freeway\1. raw data\2014\data files\det_92.xlsx</v>
      </c>
      <c r="K47" s="5"/>
      <c r="M47" s="108" t="s">
        <v>60</v>
      </c>
      <c r="N47" s="10">
        <v>92</v>
      </c>
      <c r="O47" s="10">
        <v>3</v>
      </c>
      <c r="P47" s="10">
        <v>1</v>
      </c>
    </row>
    <row r="48" spans="1:16" x14ac:dyDescent="0.25">
      <c r="D48" s="95">
        <v>44</v>
      </c>
      <c r="E48" s="10">
        <v>141</v>
      </c>
      <c r="F48" s="10">
        <v>4</v>
      </c>
      <c r="G48" s="10">
        <v>1</v>
      </c>
      <c r="H48" s="5" t="str">
        <f t="shared" si="0"/>
        <v>det_141</v>
      </c>
      <c r="I48" s="5" t="str">
        <f t="shared" si="1"/>
        <v>W:\Performance Measurement\1. Freeway\1. raw data\2014\data files\det_141.txt</v>
      </c>
      <c r="J48" s="5" t="str">
        <f t="shared" si="2"/>
        <v>W:\Performance Measurement\1. Freeway\1. raw data\2014\data files\det_141.xlsx</v>
      </c>
      <c r="K48" s="5"/>
      <c r="M48" s="108" t="s">
        <v>60</v>
      </c>
      <c r="N48" s="10">
        <v>141</v>
      </c>
      <c r="O48" s="10">
        <v>4</v>
      </c>
      <c r="P48" s="10">
        <v>1</v>
      </c>
    </row>
    <row r="49" spans="4:16" x14ac:dyDescent="0.25">
      <c r="D49" s="95">
        <v>45</v>
      </c>
      <c r="E49" s="10">
        <v>396</v>
      </c>
      <c r="F49" s="10">
        <v>3</v>
      </c>
      <c r="G49" s="10">
        <v>1</v>
      </c>
      <c r="H49" s="5" t="str">
        <f t="shared" si="0"/>
        <v>det_396</v>
      </c>
      <c r="I49" s="5" t="str">
        <f t="shared" si="1"/>
        <v>W:\Performance Measurement\1. Freeway\1. raw data\2014\data files\det_396.txt</v>
      </c>
      <c r="J49" s="5" t="str">
        <f t="shared" si="2"/>
        <v>W:\Performance Measurement\1. Freeway\1. raw data\2014\data files\det_396.xlsx</v>
      </c>
      <c r="K49" s="5"/>
      <c r="M49" s="108" t="s">
        <v>61</v>
      </c>
      <c r="N49" s="10">
        <v>396</v>
      </c>
      <c r="O49" s="10">
        <v>3</v>
      </c>
      <c r="P49" s="10">
        <v>1</v>
      </c>
    </row>
    <row r="50" spans="4:16" x14ac:dyDescent="0.25">
      <c r="D50" s="95">
        <v>46</v>
      </c>
      <c r="E50" s="10">
        <v>397</v>
      </c>
      <c r="F50" s="10">
        <v>4</v>
      </c>
      <c r="G50" s="10">
        <v>1</v>
      </c>
      <c r="H50" s="5" t="str">
        <f t="shared" si="0"/>
        <v>det_397</v>
      </c>
      <c r="I50" s="5" t="str">
        <f t="shared" si="1"/>
        <v>W:\Performance Measurement\1. Freeway\1. raw data\2014\data files\det_397.txt</v>
      </c>
      <c r="J50" s="5" t="str">
        <f t="shared" si="2"/>
        <v>W:\Performance Measurement\1. Freeway\1. raw data\2014\data files\det_397.xlsx</v>
      </c>
      <c r="K50" s="5"/>
      <c r="M50" s="108" t="s">
        <v>61</v>
      </c>
      <c r="N50" s="10">
        <v>397</v>
      </c>
      <c r="O50" s="10">
        <v>4</v>
      </c>
      <c r="P50" s="10">
        <v>1</v>
      </c>
    </row>
    <row r="51" spans="4:16" x14ac:dyDescent="0.25">
      <c r="D51" s="95">
        <v>47</v>
      </c>
      <c r="E51" s="10">
        <v>399</v>
      </c>
      <c r="F51" s="10">
        <v>4</v>
      </c>
      <c r="G51" s="10">
        <v>1</v>
      </c>
      <c r="H51" s="5" t="str">
        <f t="shared" si="0"/>
        <v>det_399</v>
      </c>
      <c r="I51" s="5" t="str">
        <f t="shared" si="1"/>
        <v>W:\Performance Measurement\1. Freeway\1. raw data\2014\data files\det_399.txt</v>
      </c>
      <c r="J51" s="5" t="str">
        <f t="shared" si="2"/>
        <v>W:\Performance Measurement\1. Freeway\1. raw data\2014\data files\det_399.xlsx</v>
      </c>
      <c r="K51" s="5"/>
      <c r="M51" s="108" t="s">
        <v>61</v>
      </c>
      <c r="N51" s="10">
        <v>399</v>
      </c>
      <c r="O51" s="10">
        <v>4</v>
      </c>
      <c r="P51" s="10">
        <v>1</v>
      </c>
    </row>
    <row r="52" spans="4:16" x14ac:dyDescent="0.25">
      <c r="D52" s="95">
        <v>48</v>
      </c>
      <c r="E52" s="10">
        <v>401</v>
      </c>
      <c r="F52" s="10">
        <v>4</v>
      </c>
      <c r="G52" s="10">
        <v>1</v>
      </c>
      <c r="H52" s="5" t="str">
        <f t="shared" si="0"/>
        <v>det_401</v>
      </c>
      <c r="I52" s="5" t="str">
        <f t="shared" si="1"/>
        <v>W:\Performance Measurement\1. Freeway\1. raw data\2014\data files\det_401.txt</v>
      </c>
      <c r="J52" s="5" t="str">
        <f t="shared" si="2"/>
        <v>W:\Performance Measurement\1. Freeway\1. raw data\2014\data files\det_401.xlsx</v>
      </c>
      <c r="K52" s="5"/>
      <c r="M52" s="108" t="s">
        <v>61</v>
      </c>
      <c r="N52" s="10">
        <v>401</v>
      </c>
      <c r="O52" s="10">
        <v>4</v>
      </c>
      <c r="P52" s="10">
        <v>1</v>
      </c>
    </row>
    <row r="53" spans="4:16" x14ac:dyDescent="0.25">
      <c r="D53" s="95">
        <v>49</v>
      </c>
      <c r="E53" s="10">
        <v>403</v>
      </c>
      <c r="F53" s="10">
        <v>3</v>
      </c>
      <c r="G53" s="10">
        <v>1</v>
      </c>
      <c r="H53" s="5" t="str">
        <f t="shared" si="0"/>
        <v>det_403</v>
      </c>
      <c r="I53" s="5" t="str">
        <f t="shared" si="1"/>
        <v>W:\Performance Measurement\1. Freeway\1. raw data\2014\data files\det_403.txt</v>
      </c>
      <c r="J53" s="5" t="str">
        <f t="shared" si="2"/>
        <v>W:\Performance Measurement\1. Freeway\1. raw data\2014\data files\det_403.xlsx</v>
      </c>
      <c r="K53" s="5"/>
      <c r="M53" s="108" t="s">
        <v>61</v>
      </c>
      <c r="N53" s="10">
        <v>403</v>
      </c>
      <c r="O53" s="10">
        <v>3</v>
      </c>
      <c r="P53" s="10">
        <v>1</v>
      </c>
    </row>
    <row r="54" spans="4:16" x14ac:dyDescent="0.25">
      <c r="D54" s="95">
        <v>50</v>
      </c>
      <c r="E54" s="10">
        <v>406</v>
      </c>
      <c r="F54" s="10">
        <v>3</v>
      </c>
      <c r="G54" s="10">
        <v>1</v>
      </c>
      <c r="H54" s="5" t="str">
        <f t="shared" si="0"/>
        <v>det_406</v>
      </c>
      <c r="I54" s="5" t="str">
        <f t="shared" si="1"/>
        <v>W:\Performance Measurement\1. Freeway\1. raw data\2014\data files\det_406.txt</v>
      </c>
      <c r="J54" s="5" t="str">
        <f t="shared" si="2"/>
        <v>W:\Performance Measurement\1. Freeway\1. raw data\2014\data files\det_406.xlsx</v>
      </c>
      <c r="K54" s="5"/>
      <c r="M54" s="108" t="s">
        <v>61</v>
      </c>
      <c r="N54" s="10">
        <v>406</v>
      </c>
      <c r="O54" s="10">
        <v>3</v>
      </c>
      <c r="P54" s="10">
        <v>1</v>
      </c>
    </row>
    <row r="55" spans="4:16" x14ac:dyDescent="0.25">
      <c r="D55" s="95">
        <v>51</v>
      </c>
      <c r="E55" s="10">
        <v>409</v>
      </c>
      <c r="F55" s="10">
        <v>5</v>
      </c>
      <c r="G55" s="10">
        <v>1</v>
      </c>
      <c r="H55" s="5" t="str">
        <f t="shared" si="0"/>
        <v>det_409</v>
      </c>
      <c r="I55" s="5" t="str">
        <f t="shared" si="1"/>
        <v>W:\Performance Measurement\1. Freeway\1. raw data\2014\data files\det_409.txt</v>
      </c>
      <c r="J55" s="5" t="str">
        <f t="shared" si="2"/>
        <v>W:\Performance Measurement\1. Freeway\1. raw data\2014\data files\det_409.xlsx</v>
      </c>
      <c r="K55" s="5"/>
      <c r="M55" s="108" t="s">
        <v>61</v>
      </c>
      <c r="N55" s="10">
        <v>409</v>
      </c>
      <c r="O55" s="10">
        <v>5</v>
      </c>
      <c r="P55" s="10">
        <v>1</v>
      </c>
    </row>
    <row r="56" spans="4:16" x14ac:dyDescent="0.25">
      <c r="D56" s="95">
        <v>52</v>
      </c>
      <c r="E56" s="10">
        <v>410</v>
      </c>
      <c r="F56" s="10">
        <v>5</v>
      </c>
      <c r="G56" s="10">
        <v>1</v>
      </c>
      <c r="H56" s="5" t="str">
        <f t="shared" si="0"/>
        <v>det_410</v>
      </c>
      <c r="I56" s="5" t="str">
        <f t="shared" si="1"/>
        <v>W:\Performance Measurement\1. Freeway\1. raw data\2014\data files\det_410.txt</v>
      </c>
      <c r="J56" s="5" t="str">
        <f t="shared" si="2"/>
        <v>W:\Performance Measurement\1. Freeway\1. raw data\2014\data files\det_410.xlsx</v>
      </c>
      <c r="K56" s="5"/>
      <c r="M56" s="108" t="s">
        <v>61</v>
      </c>
      <c r="N56" s="10">
        <v>410</v>
      </c>
      <c r="O56" s="10">
        <v>5</v>
      </c>
      <c r="P56" s="10">
        <v>1</v>
      </c>
    </row>
    <row r="57" spans="4:16" x14ac:dyDescent="0.25">
      <c r="D57" s="95">
        <v>53</v>
      </c>
      <c r="E57" s="10">
        <v>411</v>
      </c>
      <c r="F57" s="10">
        <v>3</v>
      </c>
      <c r="G57" s="10">
        <v>1</v>
      </c>
      <c r="H57" s="5" t="str">
        <f t="shared" si="0"/>
        <v>det_411</v>
      </c>
      <c r="I57" s="5" t="str">
        <f t="shared" si="1"/>
        <v>W:\Performance Measurement\1. Freeway\1. raw data\2014\data files\det_411.txt</v>
      </c>
      <c r="J57" s="5" t="str">
        <f t="shared" si="2"/>
        <v>W:\Performance Measurement\1. Freeway\1. raw data\2014\data files\det_411.xlsx</v>
      </c>
      <c r="K57" s="5"/>
      <c r="M57" s="108" t="s">
        <v>61</v>
      </c>
      <c r="N57" s="10">
        <v>411</v>
      </c>
      <c r="O57" s="10">
        <v>3</v>
      </c>
      <c r="P57" s="10">
        <v>1</v>
      </c>
    </row>
    <row r="58" spans="4:16" x14ac:dyDescent="0.25">
      <c r="D58" s="95">
        <v>54</v>
      </c>
      <c r="E58" s="10">
        <v>414</v>
      </c>
      <c r="F58" s="10">
        <v>3</v>
      </c>
      <c r="G58" s="10">
        <v>1</v>
      </c>
      <c r="H58" s="5" t="str">
        <f t="shared" si="0"/>
        <v>det_414</v>
      </c>
      <c r="I58" s="5" t="str">
        <f t="shared" si="1"/>
        <v>W:\Performance Measurement\1. Freeway\1. raw data\2014\data files\det_414.txt</v>
      </c>
      <c r="J58" s="5" t="str">
        <f t="shared" si="2"/>
        <v>W:\Performance Measurement\1. Freeway\1. raw data\2014\data files\det_414.xlsx</v>
      </c>
      <c r="K58" s="5"/>
      <c r="M58" s="108" t="s">
        <v>61</v>
      </c>
      <c r="N58" s="10">
        <v>414</v>
      </c>
      <c r="O58" s="10">
        <v>3</v>
      </c>
      <c r="P58" s="10">
        <v>1</v>
      </c>
    </row>
    <row r="59" spans="4:16" x14ac:dyDescent="0.25">
      <c r="D59" s="95">
        <v>55</v>
      </c>
      <c r="E59" s="10">
        <v>417</v>
      </c>
      <c r="F59" s="10">
        <v>3</v>
      </c>
      <c r="G59" s="10">
        <v>1</v>
      </c>
      <c r="H59" s="5" t="str">
        <f t="shared" si="0"/>
        <v>det_417</v>
      </c>
      <c r="I59" s="5" t="str">
        <f t="shared" si="1"/>
        <v>W:\Performance Measurement\1. Freeway\1. raw data\2014\data files\det_417.txt</v>
      </c>
      <c r="J59" s="5" t="str">
        <f t="shared" si="2"/>
        <v>W:\Performance Measurement\1. Freeway\1. raw data\2014\data files\det_417.xlsx</v>
      </c>
      <c r="K59" s="5"/>
      <c r="M59" s="108" t="s">
        <v>61</v>
      </c>
      <c r="N59" s="10">
        <v>417</v>
      </c>
      <c r="O59" s="10">
        <v>3</v>
      </c>
      <c r="P59" s="10">
        <v>1</v>
      </c>
    </row>
    <row r="60" spans="4:16" x14ac:dyDescent="0.25">
      <c r="D60" s="95">
        <v>56</v>
      </c>
      <c r="E60" s="10">
        <v>420</v>
      </c>
      <c r="F60" s="10">
        <v>4</v>
      </c>
      <c r="G60" s="10">
        <v>1</v>
      </c>
      <c r="H60" s="5" t="str">
        <f t="shared" si="0"/>
        <v>det_420</v>
      </c>
      <c r="I60" s="5" t="str">
        <f t="shared" si="1"/>
        <v>W:\Performance Measurement\1. Freeway\1. raw data\2014\data files\det_420.txt</v>
      </c>
      <c r="J60" s="5" t="str">
        <f t="shared" si="2"/>
        <v>W:\Performance Measurement\1. Freeway\1. raw data\2014\data files\det_420.xlsx</v>
      </c>
      <c r="K60" s="5"/>
      <c r="M60" s="108" t="s">
        <v>61</v>
      </c>
      <c r="N60" s="10">
        <v>420</v>
      </c>
      <c r="O60" s="10">
        <v>4</v>
      </c>
      <c r="P60" s="10">
        <v>1</v>
      </c>
    </row>
    <row r="61" spans="4:16" x14ac:dyDescent="0.25">
      <c r="D61" s="95">
        <v>57</v>
      </c>
      <c r="E61" s="10">
        <v>423</v>
      </c>
      <c r="F61" s="10">
        <v>3</v>
      </c>
      <c r="G61" s="10">
        <v>1</v>
      </c>
      <c r="H61" s="5" t="str">
        <f t="shared" si="0"/>
        <v>det_423</v>
      </c>
      <c r="I61" s="5" t="str">
        <f t="shared" si="1"/>
        <v>W:\Performance Measurement\1. Freeway\1. raw data\2014\data files\det_423.txt</v>
      </c>
      <c r="J61" s="5" t="str">
        <f t="shared" si="2"/>
        <v>W:\Performance Measurement\1. Freeway\1. raw data\2014\data files\det_423.xlsx</v>
      </c>
      <c r="K61" s="5"/>
      <c r="M61" s="108" t="s">
        <v>61</v>
      </c>
      <c r="N61" s="10">
        <v>423</v>
      </c>
      <c r="O61" s="10">
        <v>3</v>
      </c>
      <c r="P61" s="10">
        <v>1</v>
      </c>
    </row>
    <row r="62" spans="4:16" x14ac:dyDescent="0.25">
      <c r="D62" s="95">
        <v>58</v>
      </c>
      <c r="E62" s="10">
        <v>39</v>
      </c>
      <c r="F62" s="10">
        <v>3</v>
      </c>
      <c r="G62" s="10">
        <v>0</v>
      </c>
      <c r="H62" s="5" t="str">
        <f t="shared" si="0"/>
        <v>det_39</v>
      </c>
      <c r="I62" s="5" t="str">
        <f t="shared" si="1"/>
        <v>W:\Performance Measurement\1. Freeway\1. raw data\2014\data files\det_39.txt</v>
      </c>
      <c r="J62" s="5" t="str">
        <f t="shared" si="2"/>
        <v>W:\Performance Measurement\1. Freeway\1. raw data\2014\data files\det_39.xlsx</v>
      </c>
      <c r="K62" s="5"/>
      <c r="M62" s="108" t="s">
        <v>62</v>
      </c>
      <c r="N62" s="10">
        <v>39</v>
      </c>
      <c r="O62" s="10">
        <v>3</v>
      </c>
      <c r="P62" s="10">
        <v>0</v>
      </c>
    </row>
    <row r="63" spans="4:16" x14ac:dyDescent="0.25">
      <c r="D63" s="95">
        <v>59</v>
      </c>
      <c r="E63" s="10">
        <v>153</v>
      </c>
      <c r="F63" s="10">
        <v>3</v>
      </c>
      <c r="G63" s="10">
        <v>0</v>
      </c>
      <c r="H63" s="5" t="str">
        <f t="shared" si="0"/>
        <v>det_153</v>
      </c>
      <c r="I63" s="5" t="str">
        <f t="shared" si="1"/>
        <v>W:\Performance Measurement\1. Freeway\1. raw data\2014\data files\det_153.txt</v>
      </c>
      <c r="J63" s="5" t="str">
        <f t="shared" si="2"/>
        <v>W:\Performance Measurement\1. Freeway\1. raw data\2014\data files\det_153.xlsx</v>
      </c>
      <c r="K63" s="5"/>
      <c r="M63" s="108" t="s">
        <v>62</v>
      </c>
      <c r="N63" s="10">
        <v>153</v>
      </c>
      <c r="O63" s="10">
        <v>3</v>
      </c>
      <c r="P63" s="10">
        <v>0</v>
      </c>
    </row>
    <row r="64" spans="4:16" x14ac:dyDescent="0.25">
      <c r="D64" s="95">
        <v>60</v>
      </c>
      <c r="E64" s="10">
        <v>98</v>
      </c>
      <c r="F64" s="10">
        <v>3</v>
      </c>
      <c r="G64" s="10">
        <v>0</v>
      </c>
      <c r="H64" s="5" t="str">
        <f t="shared" si="0"/>
        <v>det_98</v>
      </c>
      <c r="I64" s="5" t="str">
        <f t="shared" si="1"/>
        <v>W:\Performance Measurement\1. Freeway\1. raw data\2014\data files\det_98.txt</v>
      </c>
      <c r="J64" s="5" t="str">
        <f t="shared" si="2"/>
        <v>W:\Performance Measurement\1. Freeway\1. raw data\2014\data files\det_98.xlsx</v>
      </c>
      <c r="K64" s="5"/>
      <c r="M64" s="108" t="s">
        <v>62</v>
      </c>
      <c r="N64" s="10">
        <v>98</v>
      </c>
      <c r="O64" s="10">
        <v>3</v>
      </c>
      <c r="P64" s="10">
        <v>0</v>
      </c>
    </row>
    <row r="65" spans="4:16" x14ac:dyDescent="0.25">
      <c r="D65" s="95">
        <v>61</v>
      </c>
      <c r="E65" s="10">
        <v>104</v>
      </c>
      <c r="F65" s="10">
        <v>3</v>
      </c>
      <c r="G65" s="10">
        <v>0</v>
      </c>
      <c r="H65" s="5" t="str">
        <f t="shared" si="0"/>
        <v>det_104</v>
      </c>
      <c r="I65" s="5" t="str">
        <f t="shared" si="1"/>
        <v>W:\Performance Measurement\1. Freeway\1. raw data\2014\data files\det_104.txt</v>
      </c>
      <c r="J65" s="5" t="str">
        <f t="shared" si="2"/>
        <v>W:\Performance Measurement\1. Freeway\1. raw data\2014\data files\det_104.xlsx</v>
      </c>
      <c r="K65" s="5"/>
      <c r="M65" s="108" t="s">
        <v>62</v>
      </c>
      <c r="N65" s="10">
        <v>104</v>
      </c>
      <c r="O65" s="10">
        <v>3</v>
      </c>
      <c r="P65" s="10">
        <v>0</v>
      </c>
    </row>
    <row r="66" spans="4:16" x14ac:dyDescent="0.25">
      <c r="D66" s="95">
        <v>62</v>
      </c>
      <c r="E66" s="10">
        <v>154</v>
      </c>
      <c r="F66" s="10">
        <v>3</v>
      </c>
      <c r="G66" s="10">
        <v>0</v>
      </c>
      <c r="H66" s="5" t="str">
        <f t="shared" si="0"/>
        <v>det_154</v>
      </c>
      <c r="I66" s="5" t="str">
        <f t="shared" si="1"/>
        <v>W:\Performance Measurement\1. Freeway\1. raw data\2014\data files\det_154.txt</v>
      </c>
      <c r="J66" s="5" t="str">
        <f t="shared" si="2"/>
        <v>W:\Performance Measurement\1. Freeway\1. raw data\2014\data files\det_154.xlsx</v>
      </c>
      <c r="K66" s="5"/>
      <c r="M66" s="108" t="s">
        <v>62</v>
      </c>
      <c r="N66" s="10">
        <v>154</v>
      </c>
      <c r="O66" s="10">
        <v>3</v>
      </c>
      <c r="P66" s="10">
        <v>0</v>
      </c>
    </row>
    <row r="67" spans="4:16" x14ac:dyDescent="0.25">
      <c r="D67" s="95">
        <v>63</v>
      </c>
      <c r="E67" s="10">
        <v>155</v>
      </c>
      <c r="F67" s="10">
        <v>3</v>
      </c>
      <c r="G67" s="10">
        <v>0</v>
      </c>
      <c r="H67" s="5" t="str">
        <f t="shared" si="0"/>
        <v>det_155</v>
      </c>
      <c r="I67" s="5" t="str">
        <f t="shared" si="1"/>
        <v>W:\Performance Measurement\1. Freeway\1. raw data\2014\data files\det_155.txt</v>
      </c>
      <c r="J67" s="5" t="str">
        <f t="shared" si="2"/>
        <v>W:\Performance Measurement\1. Freeway\1. raw data\2014\data files\det_155.xlsx</v>
      </c>
      <c r="K67" s="5"/>
      <c r="M67" s="108" t="s">
        <v>62</v>
      </c>
      <c r="N67" s="10">
        <v>155</v>
      </c>
      <c r="O67" s="10">
        <v>3</v>
      </c>
      <c r="P67" s="10">
        <v>0</v>
      </c>
    </row>
    <row r="68" spans="4:16" x14ac:dyDescent="0.25">
      <c r="D68" s="95">
        <v>64</v>
      </c>
      <c r="E68" s="10">
        <v>156</v>
      </c>
      <c r="F68" s="10">
        <v>3</v>
      </c>
      <c r="G68" s="10">
        <v>0</v>
      </c>
      <c r="H68" s="5" t="str">
        <f t="shared" si="0"/>
        <v>det_156</v>
      </c>
      <c r="I68" s="5" t="str">
        <f t="shared" si="1"/>
        <v>W:\Performance Measurement\1. Freeway\1. raw data\2014\data files\det_156.txt</v>
      </c>
      <c r="J68" s="5" t="str">
        <f t="shared" si="2"/>
        <v>W:\Performance Measurement\1. Freeway\1. raw data\2014\data files\det_156.xlsx</v>
      </c>
      <c r="K68" s="5"/>
      <c r="M68" s="108" t="s">
        <v>62</v>
      </c>
      <c r="N68" s="10">
        <v>156</v>
      </c>
      <c r="O68" s="10">
        <v>3</v>
      </c>
      <c r="P68" s="10">
        <v>0</v>
      </c>
    </row>
    <row r="69" spans="4:16" x14ac:dyDescent="0.25">
      <c r="D69" s="95">
        <v>65</v>
      </c>
      <c r="E69" s="10">
        <v>121</v>
      </c>
      <c r="F69" s="10">
        <v>3</v>
      </c>
      <c r="G69" s="10">
        <v>0</v>
      </c>
      <c r="H69" s="5" t="str">
        <f t="shared" ref="H69:H132" si="3">"det_"&amp;E69&amp;""</f>
        <v>det_121</v>
      </c>
      <c r="I69" s="5" t="str">
        <f t="shared" ref="I69:I132" si="4">$B$5&amp;"\"&amp;H69&amp;".txt"</f>
        <v>W:\Performance Measurement\1. Freeway\1. raw data\2014\data files\det_121.txt</v>
      </c>
      <c r="J69" s="5" t="str">
        <f t="shared" ref="J69:J132" si="5">$B$5&amp;"\"&amp;H69&amp;".xlsx"</f>
        <v>W:\Performance Measurement\1. Freeway\1. raw data\2014\data files\det_121.xlsx</v>
      </c>
      <c r="K69" s="5"/>
      <c r="M69" s="108" t="s">
        <v>62</v>
      </c>
      <c r="N69" s="10">
        <v>121</v>
      </c>
      <c r="O69" s="10">
        <v>3</v>
      </c>
      <c r="P69" s="10">
        <v>0</v>
      </c>
    </row>
    <row r="70" spans="4:16" x14ac:dyDescent="0.25">
      <c r="D70" s="95">
        <v>66</v>
      </c>
      <c r="E70" s="10">
        <v>123</v>
      </c>
      <c r="F70" s="10">
        <v>3</v>
      </c>
      <c r="G70" s="10">
        <v>0</v>
      </c>
      <c r="H70" s="5" t="str">
        <f t="shared" si="3"/>
        <v>det_123</v>
      </c>
      <c r="I70" s="5" t="str">
        <f t="shared" si="4"/>
        <v>W:\Performance Measurement\1. Freeway\1. raw data\2014\data files\det_123.txt</v>
      </c>
      <c r="J70" s="5" t="str">
        <f t="shared" si="5"/>
        <v>W:\Performance Measurement\1. Freeway\1. raw data\2014\data files\det_123.xlsx</v>
      </c>
      <c r="K70" s="5"/>
      <c r="M70" s="108" t="s">
        <v>62</v>
      </c>
      <c r="N70" s="10">
        <v>123</v>
      </c>
      <c r="O70" s="10">
        <v>3</v>
      </c>
      <c r="P70" s="10">
        <v>0</v>
      </c>
    </row>
    <row r="71" spans="4:16" x14ac:dyDescent="0.25">
      <c r="D71" s="95">
        <v>67</v>
      </c>
      <c r="E71" s="10">
        <v>122</v>
      </c>
      <c r="F71" s="10">
        <v>3</v>
      </c>
      <c r="G71" s="10">
        <v>0</v>
      </c>
      <c r="H71" s="5" t="str">
        <f t="shared" si="3"/>
        <v>det_122</v>
      </c>
      <c r="I71" s="5" t="str">
        <f t="shared" si="4"/>
        <v>W:\Performance Measurement\1. Freeway\1. raw data\2014\data files\det_122.txt</v>
      </c>
      <c r="J71" s="5" t="str">
        <f t="shared" si="5"/>
        <v>W:\Performance Measurement\1. Freeway\1. raw data\2014\data files\det_122.xlsx</v>
      </c>
      <c r="K71" s="5"/>
      <c r="M71" s="108" t="s">
        <v>62</v>
      </c>
      <c r="N71" s="10">
        <v>122</v>
      </c>
      <c r="O71" s="10">
        <v>3</v>
      </c>
      <c r="P71" s="10">
        <v>0</v>
      </c>
    </row>
    <row r="72" spans="4:16" x14ac:dyDescent="0.25">
      <c r="D72" s="95">
        <v>68</v>
      </c>
      <c r="E72" s="10">
        <v>118</v>
      </c>
      <c r="F72" s="10">
        <v>3</v>
      </c>
      <c r="G72" s="10">
        <v>0</v>
      </c>
      <c r="H72" s="5" t="str">
        <f t="shared" si="3"/>
        <v>det_118</v>
      </c>
      <c r="I72" s="5" t="str">
        <f t="shared" si="4"/>
        <v>W:\Performance Measurement\1. Freeway\1. raw data\2014\data files\det_118.txt</v>
      </c>
      <c r="J72" s="5" t="str">
        <f t="shared" si="5"/>
        <v>W:\Performance Measurement\1. Freeway\1. raw data\2014\data files\det_118.xlsx</v>
      </c>
      <c r="K72" s="5"/>
      <c r="M72" s="108" t="s">
        <v>62</v>
      </c>
      <c r="N72" s="10">
        <v>118</v>
      </c>
      <c r="O72" s="10">
        <v>3</v>
      </c>
      <c r="P72" s="10">
        <v>0</v>
      </c>
    </row>
    <row r="73" spans="4:16" x14ac:dyDescent="0.25">
      <c r="D73" s="95">
        <v>69</v>
      </c>
      <c r="E73" s="10">
        <v>114</v>
      </c>
      <c r="F73" s="10">
        <v>3</v>
      </c>
      <c r="G73" s="10">
        <v>0</v>
      </c>
      <c r="H73" s="5" t="str">
        <f t="shared" si="3"/>
        <v>det_114</v>
      </c>
      <c r="I73" s="5" t="str">
        <f t="shared" si="4"/>
        <v>W:\Performance Measurement\1. Freeway\1. raw data\2014\data files\det_114.txt</v>
      </c>
      <c r="J73" s="5" t="str">
        <f t="shared" si="5"/>
        <v>W:\Performance Measurement\1. Freeway\1. raw data\2014\data files\det_114.xlsx</v>
      </c>
      <c r="K73" s="5"/>
      <c r="M73" s="108" t="s">
        <v>62</v>
      </c>
      <c r="N73" s="10">
        <v>114</v>
      </c>
      <c r="O73" s="10">
        <v>3</v>
      </c>
      <c r="P73" s="10">
        <v>0</v>
      </c>
    </row>
    <row r="74" spans="4:16" x14ac:dyDescent="0.25">
      <c r="D74" s="95">
        <v>70</v>
      </c>
      <c r="E74" s="10">
        <v>108</v>
      </c>
      <c r="F74" s="10">
        <v>3</v>
      </c>
      <c r="G74" s="10">
        <v>0</v>
      </c>
      <c r="H74" s="5" t="str">
        <f t="shared" si="3"/>
        <v>det_108</v>
      </c>
      <c r="I74" s="5" t="str">
        <f t="shared" si="4"/>
        <v>W:\Performance Measurement\1. Freeway\1. raw data\2014\data files\det_108.txt</v>
      </c>
      <c r="J74" s="5" t="str">
        <f t="shared" si="5"/>
        <v>W:\Performance Measurement\1. Freeway\1. raw data\2014\data files\det_108.xlsx</v>
      </c>
      <c r="K74" s="5"/>
      <c r="M74" s="108" t="s">
        <v>62</v>
      </c>
      <c r="N74" s="10">
        <v>108</v>
      </c>
      <c r="O74" s="10">
        <v>3</v>
      </c>
      <c r="P74" s="10">
        <v>0</v>
      </c>
    </row>
    <row r="75" spans="4:16" x14ac:dyDescent="0.25">
      <c r="D75" s="95">
        <v>71</v>
      </c>
      <c r="E75" s="10">
        <v>103</v>
      </c>
      <c r="F75" s="10">
        <v>3</v>
      </c>
      <c r="G75" s="10">
        <v>0</v>
      </c>
      <c r="H75" s="5" t="str">
        <f t="shared" si="3"/>
        <v>det_103</v>
      </c>
      <c r="I75" s="5" t="str">
        <f t="shared" si="4"/>
        <v>W:\Performance Measurement\1. Freeway\1. raw data\2014\data files\det_103.txt</v>
      </c>
      <c r="J75" s="5" t="str">
        <f t="shared" si="5"/>
        <v>W:\Performance Measurement\1. Freeway\1. raw data\2014\data files\det_103.xlsx</v>
      </c>
      <c r="K75" s="5"/>
      <c r="M75" s="108" t="s">
        <v>62</v>
      </c>
      <c r="N75" s="10">
        <v>103</v>
      </c>
      <c r="O75" s="10">
        <v>3</v>
      </c>
      <c r="P75" s="10">
        <v>0</v>
      </c>
    </row>
    <row r="76" spans="4:16" x14ac:dyDescent="0.25">
      <c r="D76" s="95">
        <v>72</v>
      </c>
      <c r="E76" s="10">
        <v>97</v>
      </c>
      <c r="F76" s="10">
        <v>3</v>
      </c>
      <c r="G76" s="10">
        <v>0</v>
      </c>
      <c r="H76" s="5" t="str">
        <f t="shared" si="3"/>
        <v>det_97</v>
      </c>
      <c r="I76" s="5" t="str">
        <f t="shared" si="4"/>
        <v>W:\Performance Measurement\1. Freeway\1. raw data\2014\data files\det_97.txt</v>
      </c>
      <c r="J76" s="5" t="str">
        <f t="shared" si="5"/>
        <v>W:\Performance Measurement\1. Freeway\1. raw data\2014\data files\det_97.xlsx</v>
      </c>
      <c r="K76" s="5"/>
      <c r="M76" s="108" t="s">
        <v>62</v>
      </c>
      <c r="N76" s="10">
        <v>97</v>
      </c>
      <c r="O76" s="10">
        <v>3</v>
      </c>
      <c r="P76" s="10">
        <v>0</v>
      </c>
    </row>
    <row r="77" spans="4:16" x14ac:dyDescent="0.25">
      <c r="D77" s="95">
        <v>73</v>
      </c>
      <c r="E77" s="10">
        <v>36</v>
      </c>
      <c r="F77" s="10">
        <v>3</v>
      </c>
      <c r="G77" s="10">
        <v>0</v>
      </c>
      <c r="H77" s="5" t="str">
        <f t="shared" si="3"/>
        <v>det_36</v>
      </c>
      <c r="I77" s="5" t="str">
        <f t="shared" si="4"/>
        <v>W:\Performance Measurement\1. Freeway\1. raw data\2014\data files\det_36.txt</v>
      </c>
      <c r="J77" s="5" t="str">
        <f t="shared" si="5"/>
        <v>W:\Performance Measurement\1. Freeway\1. raw data\2014\data files\det_36.xlsx</v>
      </c>
      <c r="K77" s="5"/>
      <c r="M77" s="108" t="s">
        <v>62</v>
      </c>
      <c r="N77" s="10">
        <v>36</v>
      </c>
      <c r="O77" s="10">
        <v>3</v>
      </c>
      <c r="P77" s="10">
        <v>0</v>
      </c>
    </row>
    <row r="78" spans="4:16" x14ac:dyDescent="0.25">
      <c r="D78" s="95">
        <v>74</v>
      </c>
      <c r="E78" s="10">
        <v>161</v>
      </c>
      <c r="F78" s="10">
        <v>2</v>
      </c>
      <c r="G78" s="10">
        <v>0</v>
      </c>
      <c r="H78" s="5" t="str">
        <f t="shared" si="3"/>
        <v>det_161</v>
      </c>
      <c r="I78" s="5" t="str">
        <f t="shared" si="4"/>
        <v>W:\Performance Measurement\1. Freeway\1. raw data\2014\data files\det_161.txt</v>
      </c>
      <c r="J78" s="5" t="str">
        <f t="shared" si="5"/>
        <v>W:\Performance Measurement\1. Freeway\1. raw data\2014\data files\det_161.xlsx</v>
      </c>
      <c r="K78" s="5"/>
      <c r="M78" s="108" t="s">
        <v>63</v>
      </c>
      <c r="N78" s="10">
        <v>161</v>
      </c>
      <c r="O78" s="10">
        <v>2</v>
      </c>
      <c r="P78" s="10">
        <v>0</v>
      </c>
    </row>
    <row r="79" spans="4:16" x14ac:dyDescent="0.25">
      <c r="D79" s="95">
        <v>75</v>
      </c>
      <c r="E79" s="10">
        <v>162</v>
      </c>
      <c r="F79" s="10">
        <v>4</v>
      </c>
      <c r="G79" s="10">
        <v>1</v>
      </c>
      <c r="H79" s="5" t="str">
        <f t="shared" si="3"/>
        <v>det_162</v>
      </c>
      <c r="I79" s="5" t="str">
        <f t="shared" si="4"/>
        <v>W:\Performance Measurement\1. Freeway\1. raw data\2014\data files\det_162.txt</v>
      </c>
      <c r="J79" s="5" t="str">
        <f t="shared" si="5"/>
        <v>W:\Performance Measurement\1. Freeway\1. raw data\2014\data files\det_162.xlsx</v>
      </c>
      <c r="K79" s="5"/>
      <c r="M79" s="108" t="s">
        <v>63</v>
      </c>
      <c r="N79" s="10">
        <v>162</v>
      </c>
      <c r="O79" s="10">
        <v>4</v>
      </c>
      <c r="P79" s="10">
        <v>1</v>
      </c>
    </row>
    <row r="80" spans="4:16" x14ac:dyDescent="0.25">
      <c r="D80" s="95">
        <v>76</v>
      </c>
      <c r="E80" s="10">
        <v>337</v>
      </c>
      <c r="F80" s="10">
        <v>3</v>
      </c>
      <c r="G80" s="10">
        <v>1</v>
      </c>
      <c r="H80" s="5" t="str">
        <f t="shared" si="3"/>
        <v>det_337</v>
      </c>
      <c r="I80" s="5" t="str">
        <f t="shared" si="4"/>
        <v>W:\Performance Measurement\1. Freeway\1. raw data\2014\data files\det_337.txt</v>
      </c>
      <c r="J80" s="5" t="str">
        <f t="shared" si="5"/>
        <v>W:\Performance Measurement\1. Freeway\1. raw data\2014\data files\det_337.xlsx</v>
      </c>
      <c r="K80" s="5"/>
      <c r="M80" s="108" t="s">
        <v>63</v>
      </c>
      <c r="N80" s="10">
        <v>337</v>
      </c>
      <c r="O80" s="10">
        <v>3</v>
      </c>
      <c r="P80" s="10">
        <v>1</v>
      </c>
    </row>
    <row r="81" spans="4:16" x14ac:dyDescent="0.25">
      <c r="D81" s="95">
        <v>77</v>
      </c>
      <c r="E81" s="10">
        <v>340</v>
      </c>
      <c r="F81" s="10">
        <v>3</v>
      </c>
      <c r="G81" s="10">
        <v>1</v>
      </c>
      <c r="H81" s="5" t="str">
        <f t="shared" si="3"/>
        <v>det_340</v>
      </c>
      <c r="I81" s="5" t="str">
        <f t="shared" si="4"/>
        <v>W:\Performance Measurement\1. Freeway\1. raw data\2014\data files\det_340.txt</v>
      </c>
      <c r="J81" s="5" t="str">
        <f t="shared" si="5"/>
        <v>W:\Performance Measurement\1. Freeway\1. raw data\2014\data files\det_340.xlsx</v>
      </c>
      <c r="K81" s="5"/>
      <c r="M81" s="108" t="s">
        <v>63</v>
      </c>
      <c r="N81" s="10">
        <v>340</v>
      </c>
      <c r="O81" s="10">
        <v>3</v>
      </c>
      <c r="P81" s="10">
        <v>1</v>
      </c>
    </row>
    <row r="82" spans="4:16" x14ac:dyDescent="0.25">
      <c r="D82" s="95">
        <v>78</v>
      </c>
      <c r="E82" s="10">
        <v>343</v>
      </c>
      <c r="F82" s="10">
        <v>3</v>
      </c>
      <c r="G82" s="10">
        <v>1</v>
      </c>
      <c r="H82" s="5" t="str">
        <f t="shared" si="3"/>
        <v>det_343</v>
      </c>
      <c r="I82" s="5" t="str">
        <f t="shared" si="4"/>
        <v>W:\Performance Measurement\1. Freeway\1. raw data\2014\data files\det_343.txt</v>
      </c>
      <c r="J82" s="5" t="str">
        <f t="shared" si="5"/>
        <v>W:\Performance Measurement\1. Freeway\1. raw data\2014\data files\det_343.xlsx</v>
      </c>
      <c r="K82" s="5"/>
      <c r="M82" s="108" t="s">
        <v>63</v>
      </c>
      <c r="N82" s="10">
        <v>343</v>
      </c>
      <c r="O82" s="10">
        <v>3</v>
      </c>
      <c r="P82" s="10">
        <v>1</v>
      </c>
    </row>
    <row r="83" spans="4:16" x14ac:dyDescent="0.25">
      <c r="D83" s="95">
        <v>79</v>
      </c>
      <c r="E83" s="10">
        <v>346</v>
      </c>
      <c r="F83" s="10">
        <v>3</v>
      </c>
      <c r="G83" s="10">
        <v>1</v>
      </c>
      <c r="H83" s="5" t="str">
        <f t="shared" si="3"/>
        <v>det_346</v>
      </c>
      <c r="I83" s="5" t="str">
        <f t="shared" si="4"/>
        <v>W:\Performance Measurement\1. Freeway\1. raw data\2014\data files\det_346.txt</v>
      </c>
      <c r="J83" s="5" t="str">
        <f t="shared" si="5"/>
        <v>W:\Performance Measurement\1. Freeway\1. raw data\2014\data files\det_346.xlsx</v>
      </c>
      <c r="K83" s="5"/>
      <c r="M83" s="108" t="s">
        <v>63</v>
      </c>
      <c r="N83" s="10">
        <v>346</v>
      </c>
      <c r="O83" s="10">
        <v>3</v>
      </c>
      <c r="P83" s="10">
        <v>1</v>
      </c>
    </row>
    <row r="84" spans="4:16" x14ac:dyDescent="0.25">
      <c r="D84" s="95">
        <v>80</v>
      </c>
      <c r="E84" s="10">
        <v>349</v>
      </c>
      <c r="F84" s="10">
        <v>3</v>
      </c>
      <c r="G84" s="10">
        <v>1</v>
      </c>
      <c r="H84" s="5" t="str">
        <f t="shared" si="3"/>
        <v>det_349</v>
      </c>
      <c r="I84" s="5" t="str">
        <f t="shared" si="4"/>
        <v>W:\Performance Measurement\1. Freeway\1. raw data\2014\data files\det_349.txt</v>
      </c>
      <c r="J84" s="5" t="str">
        <f t="shared" si="5"/>
        <v>W:\Performance Measurement\1. Freeway\1. raw data\2014\data files\det_349.xlsx</v>
      </c>
      <c r="K84" s="5"/>
      <c r="M84" s="108" t="s">
        <v>63</v>
      </c>
      <c r="N84" s="10">
        <v>349</v>
      </c>
      <c r="O84" s="10">
        <v>3</v>
      </c>
      <c r="P84" s="10">
        <v>1</v>
      </c>
    </row>
    <row r="85" spans="4:16" x14ac:dyDescent="0.25">
      <c r="D85" s="95">
        <v>81</v>
      </c>
      <c r="E85" s="10">
        <v>352</v>
      </c>
      <c r="F85" s="10">
        <v>3</v>
      </c>
      <c r="G85" s="10">
        <v>1</v>
      </c>
      <c r="H85" s="5" t="str">
        <f t="shared" si="3"/>
        <v>det_352</v>
      </c>
      <c r="I85" s="5" t="str">
        <f t="shared" si="4"/>
        <v>W:\Performance Measurement\1. Freeway\1. raw data\2014\data files\det_352.txt</v>
      </c>
      <c r="J85" s="5" t="str">
        <f t="shared" si="5"/>
        <v>W:\Performance Measurement\1. Freeway\1. raw data\2014\data files\det_352.xlsx</v>
      </c>
      <c r="K85" s="5"/>
      <c r="M85" s="108" t="s">
        <v>63</v>
      </c>
      <c r="N85" s="10">
        <v>352</v>
      </c>
      <c r="O85" s="10">
        <v>3</v>
      </c>
      <c r="P85" s="10">
        <v>1</v>
      </c>
    </row>
    <row r="86" spans="4:16" x14ac:dyDescent="0.25">
      <c r="D86" s="95">
        <v>82</v>
      </c>
      <c r="E86" s="10">
        <v>355</v>
      </c>
      <c r="F86" s="10">
        <v>3</v>
      </c>
      <c r="G86" s="10">
        <v>1</v>
      </c>
      <c r="H86" s="5" t="str">
        <f t="shared" si="3"/>
        <v>det_355</v>
      </c>
      <c r="I86" s="5" t="str">
        <f t="shared" si="4"/>
        <v>W:\Performance Measurement\1. Freeway\1. raw data\2014\data files\det_355.txt</v>
      </c>
      <c r="J86" s="5" t="str">
        <f t="shared" si="5"/>
        <v>W:\Performance Measurement\1. Freeway\1. raw data\2014\data files\det_355.xlsx</v>
      </c>
      <c r="K86" s="5"/>
      <c r="M86" s="108" t="s">
        <v>63</v>
      </c>
      <c r="N86" s="10">
        <v>355</v>
      </c>
      <c r="O86" s="10">
        <v>3</v>
      </c>
      <c r="P86" s="10">
        <v>1</v>
      </c>
    </row>
    <row r="87" spans="4:16" x14ac:dyDescent="0.25">
      <c r="D87" s="95">
        <v>83</v>
      </c>
      <c r="E87" s="10">
        <v>357</v>
      </c>
      <c r="F87" s="10">
        <v>3</v>
      </c>
      <c r="G87" s="10">
        <v>1</v>
      </c>
      <c r="H87" s="5" t="str">
        <f t="shared" si="3"/>
        <v>det_357</v>
      </c>
      <c r="I87" s="5" t="str">
        <f t="shared" si="4"/>
        <v>W:\Performance Measurement\1. Freeway\1. raw data\2014\data files\det_357.txt</v>
      </c>
      <c r="J87" s="5" t="str">
        <f t="shared" si="5"/>
        <v>W:\Performance Measurement\1. Freeway\1. raw data\2014\data files\det_357.xlsx</v>
      </c>
      <c r="K87" s="5"/>
      <c r="M87" s="108" t="s">
        <v>63</v>
      </c>
      <c r="N87" s="10">
        <v>357</v>
      </c>
      <c r="O87" s="10">
        <v>3</v>
      </c>
      <c r="P87" s="10">
        <v>1</v>
      </c>
    </row>
    <row r="88" spans="4:16" x14ac:dyDescent="0.25">
      <c r="D88" s="95">
        <v>84</v>
      </c>
      <c r="E88" s="10">
        <v>358</v>
      </c>
      <c r="F88" s="10">
        <v>3</v>
      </c>
      <c r="G88" s="10">
        <v>1</v>
      </c>
      <c r="H88" s="5" t="str">
        <f t="shared" si="3"/>
        <v>det_358</v>
      </c>
      <c r="I88" s="5" t="str">
        <f t="shared" si="4"/>
        <v>W:\Performance Measurement\1. Freeway\1. raw data\2014\data files\det_358.txt</v>
      </c>
      <c r="J88" s="5" t="str">
        <f t="shared" si="5"/>
        <v>W:\Performance Measurement\1. Freeway\1. raw data\2014\data files\det_358.xlsx</v>
      </c>
      <c r="K88" s="5"/>
      <c r="M88" s="108" t="s">
        <v>63</v>
      </c>
      <c r="N88" s="10">
        <v>358</v>
      </c>
      <c r="O88" s="10">
        <v>3</v>
      </c>
      <c r="P88" s="10">
        <v>1</v>
      </c>
    </row>
    <row r="89" spans="4:16" x14ac:dyDescent="0.25">
      <c r="D89" s="95">
        <v>85</v>
      </c>
      <c r="E89" s="10">
        <v>361</v>
      </c>
      <c r="F89" s="10">
        <v>3</v>
      </c>
      <c r="G89" s="10">
        <v>1</v>
      </c>
      <c r="H89" s="5" t="str">
        <f t="shared" si="3"/>
        <v>det_361</v>
      </c>
      <c r="I89" s="5" t="str">
        <f t="shared" si="4"/>
        <v>W:\Performance Measurement\1. Freeway\1. raw data\2014\data files\det_361.txt</v>
      </c>
      <c r="J89" s="5" t="str">
        <f t="shared" si="5"/>
        <v>W:\Performance Measurement\1. Freeway\1. raw data\2014\data files\det_361.xlsx</v>
      </c>
      <c r="K89" s="5"/>
      <c r="M89" s="108" t="s">
        <v>63</v>
      </c>
      <c r="N89" s="10">
        <v>361</v>
      </c>
      <c r="O89" s="10">
        <v>3</v>
      </c>
      <c r="P89" s="10">
        <v>1</v>
      </c>
    </row>
    <row r="90" spans="4:16" x14ac:dyDescent="0.25">
      <c r="D90" s="95">
        <v>86</v>
      </c>
      <c r="E90" s="10">
        <v>364</v>
      </c>
      <c r="F90" s="10">
        <v>3</v>
      </c>
      <c r="G90" s="10">
        <v>1</v>
      </c>
      <c r="H90" s="5" t="str">
        <f t="shared" si="3"/>
        <v>det_364</v>
      </c>
      <c r="I90" s="5" t="str">
        <f t="shared" si="4"/>
        <v>W:\Performance Measurement\1. Freeway\1. raw data\2014\data files\det_364.txt</v>
      </c>
      <c r="J90" s="5" t="str">
        <f t="shared" si="5"/>
        <v>W:\Performance Measurement\1. Freeway\1. raw data\2014\data files\det_364.xlsx</v>
      </c>
      <c r="K90" s="5"/>
      <c r="M90" s="108" t="s">
        <v>63</v>
      </c>
      <c r="N90" s="10">
        <v>364</v>
      </c>
      <c r="O90" s="10">
        <v>3</v>
      </c>
      <c r="P90" s="10">
        <v>1</v>
      </c>
    </row>
    <row r="91" spans="4:16" x14ac:dyDescent="0.25">
      <c r="D91" s="95">
        <v>87</v>
      </c>
      <c r="E91" s="10">
        <v>367</v>
      </c>
      <c r="F91" s="10">
        <v>3</v>
      </c>
      <c r="G91" s="10">
        <v>1</v>
      </c>
      <c r="H91" s="5" t="str">
        <f t="shared" si="3"/>
        <v>det_367</v>
      </c>
      <c r="I91" s="5" t="str">
        <f t="shared" si="4"/>
        <v>W:\Performance Measurement\1. Freeway\1. raw data\2014\data files\det_367.txt</v>
      </c>
      <c r="J91" s="5" t="str">
        <f t="shared" si="5"/>
        <v>W:\Performance Measurement\1. Freeway\1. raw data\2014\data files\det_367.xlsx</v>
      </c>
      <c r="K91" s="5"/>
      <c r="M91" s="108" t="s">
        <v>63</v>
      </c>
      <c r="N91" s="10">
        <v>367</v>
      </c>
      <c r="O91" s="10">
        <v>3</v>
      </c>
      <c r="P91" s="10">
        <v>1</v>
      </c>
    </row>
    <row r="92" spans="4:16" x14ac:dyDescent="0.25">
      <c r="D92" s="95">
        <v>88</v>
      </c>
      <c r="E92" s="10">
        <v>370</v>
      </c>
      <c r="F92" s="10">
        <v>3</v>
      </c>
      <c r="G92" s="10">
        <v>1</v>
      </c>
      <c r="H92" s="5" t="str">
        <f t="shared" si="3"/>
        <v>det_370</v>
      </c>
      <c r="I92" s="5" t="str">
        <f t="shared" si="4"/>
        <v>W:\Performance Measurement\1. Freeway\1. raw data\2014\data files\det_370.txt</v>
      </c>
      <c r="J92" s="5" t="str">
        <f t="shared" si="5"/>
        <v>W:\Performance Measurement\1. Freeway\1. raw data\2014\data files\det_370.xlsx</v>
      </c>
      <c r="K92" s="5"/>
      <c r="M92" s="108" t="s">
        <v>63</v>
      </c>
      <c r="N92" s="10">
        <v>370</v>
      </c>
      <c r="O92" s="10">
        <v>3</v>
      </c>
      <c r="P92" s="10">
        <v>1</v>
      </c>
    </row>
    <row r="93" spans="4:16" x14ac:dyDescent="0.25">
      <c r="D93" s="95">
        <v>89</v>
      </c>
      <c r="E93" s="10">
        <v>373</v>
      </c>
      <c r="F93" s="10">
        <v>3</v>
      </c>
      <c r="G93" s="10">
        <v>1</v>
      </c>
      <c r="H93" s="5" t="str">
        <f t="shared" si="3"/>
        <v>det_373</v>
      </c>
      <c r="I93" s="5" t="str">
        <f t="shared" si="4"/>
        <v>W:\Performance Measurement\1. Freeway\1. raw data\2014\data files\det_373.txt</v>
      </c>
      <c r="J93" s="5" t="str">
        <f t="shared" si="5"/>
        <v>W:\Performance Measurement\1. Freeway\1. raw data\2014\data files\det_373.xlsx</v>
      </c>
      <c r="K93" s="5"/>
      <c r="M93" s="108" t="s">
        <v>63</v>
      </c>
      <c r="N93" s="10">
        <v>373</v>
      </c>
      <c r="O93" s="10">
        <v>3</v>
      </c>
      <c r="P93" s="10">
        <v>1</v>
      </c>
    </row>
    <row r="94" spans="4:16" x14ac:dyDescent="0.25">
      <c r="D94" s="95">
        <v>90</v>
      </c>
      <c r="E94" s="10">
        <v>376</v>
      </c>
      <c r="F94" s="10">
        <v>3</v>
      </c>
      <c r="G94" s="10">
        <v>1</v>
      </c>
      <c r="H94" s="5" t="str">
        <f t="shared" si="3"/>
        <v>det_376</v>
      </c>
      <c r="I94" s="5" t="str">
        <f t="shared" si="4"/>
        <v>W:\Performance Measurement\1. Freeway\1. raw data\2014\data files\det_376.txt</v>
      </c>
      <c r="J94" s="5" t="str">
        <f t="shared" si="5"/>
        <v>W:\Performance Measurement\1. Freeway\1. raw data\2014\data files\det_376.xlsx</v>
      </c>
      <c r="K94" s="5"/>
      <c r="M94" s="108" t="s">
        <v>63</v>
      </c>
      <c r="N94" s="10">
        <v>376</v>
      </c>
      <c r="O94" s="10">
        <v>3</v>
      </c>
      <c r="P94" s="10">
        <v>1</v>
      </c>
    </row>
    <row r="95" spans="4:16" x14ac:dyDescent="0.25">
      <c r="D95" s="95">
        <v>91</v>
      </c>
      <c r="E95" s="10">
        <v>128</v>
      </c>
      <c r="F95" s="10">
        <v>4</v>
      </c>
      <c r="G95" s="10">
        <v>1</v>
      </c>
      <c r="H95" s="5" t="str">
        <f t="shared" si="3"/>
        <v>det_128</v>
      </c>
      <c r="I95" s="5" t="str">
        <f t="shared" si="4"/>
        <v>W:\Performance Measurement\1. Freeway\1. raw data\2014\data files\det_128.txt</v>
      </c>
      <c r="J95" s="5" t="str">
        <f t="shared" si="5"/>
        <v>W:\Performance Measurement\1. Freeway\1. raw data\2014\data files\det_128.xlsx</v>
      </c>
      <c r="K95" s="5"/>
      <c r="M95" s="108" t="s">
        <v>63</v>
      </c>
      <c r="N95" s="10">
        <v>128</v>
      </c>
      <c r="O95" s="10">
        <v>4</v>
      </c>
      <c r="P95" s="10">
        <v>1</v>
      </c>
    </row>
    <row r="96" spans="4:16" x14ac:dyDescent="0.25">
      <c r="D96" s="95">
        <v>92</v>
      </c>
      <c r="E96" s="10">
        <v>163</v>
      </c>
      <c r="F96" s="10">
        <v>0</v>
      </c>
      <c r="G96" s="10">
        <v>0</v>
      </c>
      <c r="H96" s="5" t="str">
        <f t="shared" si="3"/>
        <v>det_163</v>
      </c>
      <c r="I96" s="5" t="str">
        <f t="shared" si="4"/>
        <v>W:\Performance Measurement\1. Freeway\1. raw data\2014\data files\det_163.txt</v>
      </c>
      <c r="J96" s="5" t="str">
        <f t="shared" si="5"/>
        <v>W:\Performance Measurement\1. Freeway\1. raw data\2014\data files\det_163.xlsx</v>
      </c>
      <c r="K96" s="5"/>
      <c r="M96" s="108" t="s">
        <v>64</v>
      </c>
      <c r="N96" s="10">
        <v>163</v>
      </c>
      <c r="O96" s="10">
        <v>0</v>
      </c>
      <c r="P96" s="10">
        <v>0</v>
      </c>
    </row>
    <row r="97" spans="4:16" x14ac:dyDescent="0.25">
      <c r="D97" s="95">
        <v>93</v>
      </c>
      <c r="E97" s="10">
        <v>203</v>
      </c>
      <c r="F97" s="10">
        <v>4</v>
      </c>
      <c r="G97" s="10">
        <v>1</v>
      </c>
      <c r="H97" s="5" t="str">
        <f t="shared" si="3"/>
        <v>det_203</v>
      </c>
      <c r="I97" s="5" t="str">
        <f t="shared" si="4"/>
        <v>W:\Performance Measurement\1. Freeway\1. raw data\2014\data files\det_203.txt</v>
      </c>
      <c r="J97" s="5" t="str">
        <f t="shared" si="5"/>
        <v>W:\Performance Measurement\1. Freeway\1. raw data\2014\data files\det_203.xlsx</v>
      </c>
      <c r="K97" s="5"/>
      <c r="M97" s="108" t="s">
        <v>64</v>
      </c>
      <c r="N97" s="10">
        <v>203</v>
      </c>
      <c r="O97" s="10">
        <v>4</v>
      </c>
      <c r="P97" s="10">
        <v>1</v>
      </c>
    </row>
    <row r="98" spans="4:16" x14ac:dyDescent="0.25">
      <c r="D98" s="95">
        <v>94</v>
      </c>
      <c r="E98" s="10">
        <v>206</v>
      </c>
      <c r="F98" s="10">
        <v>3</v>
      </c>
      <c r="G98" s="10">
        <v>1</v>
      </c>
      <c r="H98" s="5" t="str">
        <f t="shared" si="3"/>
        <v>det_206</v>
      </c>
      <c r="I98" s="5" t="str">
        <f t="shared" si="4"/>
        <v>W:\Performance Measurement\1. Freeway\1. raw data\2014\data files\det_206.txt</v>
      </c>
      <c r="J98" s="5" t="str">
        <f t="shared" si="5"/>
        <v>W:\Performance Measurement\1. Freeway\1. raw data\2014\data files\det_206.xlsx</v>
      </c>
      <c r="K98" s="5"/>
      <c r="M98" s="108" t="s">
        <v>64</v>
      </c>
      <c r="N98" s="10">
        <v>206</v>
      </c>
      <c r="O98" s="10">
        <v>3</v>
      </c>
      <c r="P98" s="10">
        <v>1</v>
      </c>
    </row>
    <row r="99" spans="4:16" x14ac:dyDescent="0.25">
      <c r="D99" s="95">
        <v>95</v>
      </c>
      <c r="E99" s="10">
        <v>209</v>
      </c>
      <c r="F99" s="10">
        <v>3</v>
      </c>
      <c r="G99" s="10">
        <v>1</v>
      </c>
      <c r="H99" s="5" t="str">
        <f t="shared" si="3"/>
        <v>det_209</v>
      </c>
      <c r="I99" s="5" t="str">
        <f t="shared" si="4"/>
        <v>W:\Performance Measurement\1. Freeway\1. raw data\2014\data files\det_209.txt</v>
      </c>
      <c r="J99" s="5" t="str">
        <f t="shared" si="5"/>
        <v>W:\Performance Measurement\1. Freeway\1. raw data\2014\data files\det_209.xlsx</v>
      </c>
      <c r="K99" s="5"/>
      <c r="M99" s="108" t="s">
        <v>64</v>
      </c>
      <c r="N99" s="10">
        <v>209</v>
      </c>
      <c r="O99" s="10">
        <v>3</v>
      </c>
      <c r="P99" s="10">
        <v>1</v>
      </c>
    </row>
    <row r="100" spans="4:16" x14ac:dyDescent="0.25">
      <c r="D100" s="95">
        <v>96</v>
      </c>
      <c r="E100" s="10">
        <v>212</v>
      </c>
      <c r="F100" s="10">
        <v>4</v>
      </c>
      <c r="G100" s="10">
        <v>1</v>
      </c>
      <c r="H100" s="5" t="str">
        <f t="shared" si="3"/>
        <v>det_212</v>
      </c>
      <c r="I100" s="5" t="str">
        <f t="shared" si="4"/>
        <v>W:\Performance Measurement\1. Freeway\1. raw data\2014\data files\det_212.txt</v>
      </c>
      <c r="J100" s="5" t="str">
        <f t="shared" si="5"/>
        <v>W:\Performance Measurement\1. Freeway\1. raw data\2014\data files\det_212.xlsx</v>
      </c>
      <c r="K100" s="5"/>
      <c r="M100" s="108" t="s">
        <v>64</v>
      </c>
      <c r="N100" s="10">
        <v>212</v>
      </c>
      <c r="O100" s="10">
        <v>4</v>
      </c>
      <c r="P100" s="10">
        <v>1</v>
      </c>
    </row>
    <row r="101" spans="4:16" x14ac:dyDescent="0.25">
      <c r="D101" s="95">
        <v>97</v>
      </c>
      <c r="E101" s="10">
        <v>214</v>
      </c>
      <c r="F101" s="10">
        <v>3</v>
      </c>
      <c r="G101" s="10">
        <v>1</v>
      </c>
      <c r="H101" s="5" t="str">
        <f t="shared" si="3"/>
        <v>det_214</v>
      </c>
      <c r="I101" s="5" t="str">
        <f t="shared" si="4"/>
        <v>W:\Performance Measurement\1. Freeway\1. raw data\2014\data files\det_214.txt</v>
      </c>
      <c r="J101" s="5" t="str">
        <f t="shared" si="5"/>
        <v>W:\Performance Measurement\1. Freeway\1. raw data\2014\data files\det_214.xlsx</v>
      </c>
      <c r="K101" s="5"/>
      <c r="M101" s="108" t="s">
        <v>64</v>
      </c>
      <c r="N101" s="10">
        <v>214</v>
      </c>
      <c r="O101" s="10">
        <v>3</v>
      </c>
      <c r="P101" s="10">
        <v>1</v>
      </c>
    </row>
    <row r="102" spans="4:16" x14ac:dyDescent="0.25">
      <c r="D102" s="95">
        <v>98</v>
      </c>
      <c r="E102" s="10">
        <v>201</v>
      </c>
      <c r="F102" s="10">
        <v>3</v>
      </c>
      <c r="G102" s="10">
        <v>1</v>
      </c>
      <c r="H102" s="5" t="str">
        <f t="shared" si="3"/>
        <v>det_201</v>
      </c>
      <c r="I102" s="5" t="str">
        <f t="shared" si="4"/>
        <v>W:\Performance Measurement\1. Freeway\1. raw data\2014\data files\det_201.txt</v>
      </c>
      <c r="J102" s="5" t="str">
        <f t="shared" si="5"/>
        <v>W:\Performance Measurement\1. Freeway\1. raw data\2014\data files\det_201.xlsx</v>
      </c>
      <c r="K102" s="5"/>
      <c r="M102" s="108" t="s">
        <v>64</v>
      </c>
      <c r="N102" s="10">
        <v>201</v>
      </c>
      <c r="O102" s="10">
        <v>3</v>
      </c>
      <c r="P102" s="10">
        <v>1</v>
      </c>
    </row>
    <row r="103" spans="4:16" x14ac:dyDescent="0.25">
      <c r="D103" s="95">
        <v>99</v>
      </c>
      <c r="E103" s="10">
        <v>198</v>
      </c>
      <c r="F103" s="10">
        <v>3</v>
      </c>
      <c r="G103" s="10">
        <v>1</v>
      </c>
      <c r="H103" s="5" t="str">
        <f t="shared" si="3"/>
        <v>det_198</v>
      </c>
      <c r="I103" s="5" t="str">
        <f t="shared" si="4"/>
        <v>W:\Performance Measurement\1. Freeway\1. raw data\2014\data files\det_198.txt</v>
      </c>
      <c r="J103" s="5" t="str">
        <f t="shared" si="5"/>
        <v>W:\Performance Measurement\1. Freeway\1. raw data\2014\data files\det_198.xlsx</v>
      </c>
      <c r="K103" s="5"/>
      <c r="M103" s="108" t="s">
        <v>64</v>
      </c>
      <c r="N103" s="10">
        <v>198</v>
      </c>
      <c r="O103" s="10">
        <v>3</v>
      </c>
      <c r="P103" s="10">
        <v>1</v>
      </c>
    </row>
    <row r="104" spans="4:16" x14ac:dyDescent="0.25">
      <c r="D104" s="95">
        <v>100</v>
      </c>
      <c r="E104" s="10">
        <v>195</v>
      </c>
      <c r="F104" s="10">
        <v>3</v>
      </c>
      <c r="G104" s="10">
        <v>1</v>
      </c>
      <c r="H104" s="5" t="str">
        <f t="shared" si="3"/>
        <v>det_195</v>
      </c>
      <c r="I104" s="5" t="str">
        <f t="shared" si="4"/>
        <v>W:\Performance Measurement\1. Freeway\1. raw data\2014\data files\det_195.txt</v>
      </c>
      <c r="J104" s="5" t="str">
        <f t="shared" si="5"/>
        <v>W:\Performance Measurement\1. Freeway\1. raw data\2014\data files\det_195.xlsx</v>
      </c>
      <c r="K104" s="5"/>
      <c r="M104" s="108" t="s">
        <v>64</v>
      </c>
      <c r="N104" s="10">
        <v>195</v>
      </c>
      <c r="O104" s="10">
        <v>3</v>
      </c>
      <c r="P104" s="10">
        <v>1</v>
      </c>
    </row>
    <row r="105" spans="4:16" x14ac:dyDescent="0.25">
      <c r="D105" s="95">
        <v>101</v>
      </c>
      <c r="E105" s="10">
        <v>193</v>
      </c>
      <c r="F105" s="10">
        <v>3</v>
      </c>
      <c r="G105" s="10">
        <v>1</v>
      </c>
      <c r="H105" s="5" t="str">
        <f t="shared" si="3"/>
        <v>det_193</v>
      </c>
      <c r="I105" s="5" t="str">
        <f t="shared" si="4"/>
        <v>W:\Performance Measurement\1. Freeway\1. raw data\2014\data files\det_193.txt</v>
      </c>
      <c r="J105" s="5" t="str">
        <f t="shared" si="5"/>
        <v>W:\Performance Measurement\1. Freeway\1. raw data\2014\data files\det_193.xlsx</v>
      </c>
      <c r="K105" s="5"/>
      <c r="M105" s="108" t="s">
        <v>64</v>
      </c>
      <c r="N105" s="10">
        <v>193</v>
      </c>
      <c r="O105" s="10">
        <v>3</v>
      </c>
      <c r="P105" s="10">
        <v>1</v>
      </c>
    </row>
    <row r="106" spans="4:16" x14ac:dyDescent="0.25">
      <c r="D106" s="95">
        <v>102</v>
      </c>
      <c r="E106" s="10">
        <v>190</v>
      </c>
      <c r="F106" s="10">
        <v>3</v>
      </c>
      <c r="G106" s="10">
        <v>1</v>
      </c>
      <c r="H106" s="5" t="str">
        <f t="shared" si="3"/>
        <v>det_190</v>
      </c>
      <c r="I106" s="5" t="str">
        <f t="shared" si="4"/>
        <v>W:\Performance Measurement\1. Freeway\1. raw data\2014\data files\det_190.txt</v>
      </c>
      <c r="J106" s="5" t="str">
        <f t="shared" si="5"/>
        <v>W:\Performance Measurement\1. Freeway\1. raw data\2014\data files\det_190.xlsx</v>
      </c>
      <c r="K106" s="5"/>
      <c r="M106" s="108" t="s">
        <v>64</v>
      </c>
      <c r="N106" s="10">
        <v>190</v>
      </c>
      <c r="O106" s="10">
        <v>3</v>
      </c>
      <c r="P106" s="10">
        <v>1</v>
      </c>
    </row>
    <row r="107" spans="4:16" x14ac:dyDescent="0.25">
      <c r="D107" s="95">
        <v>103</v>
      </c>
      <c r="E107" s="10">
        <v>130</v>
      </c>
      <c r="F107" s="10">
        <v>2</v>
      </c>
      <c r="G107" s="10">
        <v>1</v>
      </c>
      <c r="H107" s="5" t="str">
        <f t="shared" si="3"/>
        <v>det_130</v>
      </c>
      <c r="I107" s="5" t="str">
        <f t="shared" si="4"/>
        <v>W:\Performance Measurement\1. Freeway\1. raw data\2014\data files\det_130.txt</v>
      </c>
      <c r="J107" s="5" t="str">
        <f t="shared" si="5"/>
        <v>W:\Performance Measurement\1. Freeway\1. raw data\2014\data files\det_130.xlsx</v>
      </c>
      <c r="K107" s="5"/>
      <c r="M107" s="108" t="s">
        <v>64</v>
      </c>
      <c r="N107" s="10">
        <v>130</v>
      </c>
      <c r="O107" s="10">
        <v>2</v>
      </c>
      <c r="P107" s="10">
        <v>1</v>
      </c>
    </row>
    <row r="108" spans="4:16" x14ac:dyDescent="0.25">
      <c r="D108" s="95">
        <v>104</v>
      </c>
      <c r="E108" s="10">
        <v>313</v>
      </c>
      <c r="F108" s="10">
        <v>3</v>
      </c>
      <c r="G108" s="10">
        <v>1</v>
      </c>
      <c r="H108" s="5" t="str">
        <f t="shared" si="3"/>
        <v>det_313</v>
      </c>
      <c r="I108" s="5" t="str">
        <f t="shared" si="4"/>
        <v>W:\Performance Measurement\1. Freeway\1. raw data\2014\data files\det_313.txt</v>
      </c>
      <c r="J108" s="5" t="str">
        <f t="shared" si="5"/>
        <v>W:\Performance Measurement\1. Freeway\1. raw data\2014\data files\det_313.xlsx</v>
      </c>
      <c r="K108" s="5"/>
      <c r="M108" s="108" t="s">
        <v>65</v>
      </c>
      <c r="N108" s="10">
        <v>313</v>
      </c>
      <c r="O108" s="10">
        <v>3</v>
      </c>
      <c r="P108" s="10">
        <v>1</v>
      </c>
    </row>
    <row r="109" spans="4:16" x14ac:dyDescent="0.25">
      <c r="D109" s="95">
        <v>105</v>
      </c>
      <c r="E109" s="10">
        <v>316</v>
      </c>
      <c r="F109" s="10">
        <v>4</v>
      </c>
      <c r="G109" s="10">
        <v>1</v>
      </c>
      <c r="H109" s="5" t="str">
        <f t="shared" si="3"/>
        <v>det_316</v>
      </c>
      <c r="I109" s="5" t="str">
        <f t="shared" si="4"/>
        <v>W:\Performance Measurement\1. Freeway\1. raw data\2014\data files\det_316.txt</v>
      </c>
      <c r="J109" s="5" t="str">
        <f t="shared" si="5"/>
        <v>W:\Performance Measurement\1. Freeway\1. raw data\2014\data files\det_316.xlsx</v>
      </c>
      <c r="K109" s="5"/>
      <c r="M109" s="108" t="s">
        <v>65</v>
      </c>
      <c r="N109" s="10">
        <v>316</v>
      </c>
      <c r="O109" s="10">
        <v>4</v>
      </c>
      <c r="P109" s="10">
        <v>1</v>
      </c>
    </row>
    <row r="110" spans="4:16" x14ac:dyDescent="0.25">
      <c r="D110" s="95">
        <v>106</v>
      </c>
      <c r="E110" s="10">
        <v>318</v>
      </c>
      <c r="F110" s="10">
        <v>4</v>
      </c>
      <c r="G110" s="10">
        <v>1</v>
      </c>
      <c r="H110" s="5" t="str">
        <f t="shared" si="3"/>
        <v>det_318</v>
      </c>
      <c r="I110" s="5" t="str">
        <f t="shared" si="4"/>
        <v>W:\Performance Measurement\1. Freeway\1. raw data\2014\data files\det_318.txt</v>
      </c>
      <c r="J110" s="5" t="str">
        <f t="shared" si="5"/>
        <v>W:\Performance Measurement\1. Freeway\1. raw data\2014\data files\det_318.xlsx</v>
      </c>
      <c r="K110" s="5"/>
      <c r="M110" s="108" t="s">
        <v>65</v>
      </c>
      <c r="N110" s="10">
        <v>318</v>
      </c>
      <c r="O110" s="10">
        <v>4</v>
      </c>
      <c r="P110" s="10">
        <v>1</v>
      </c>
    </row>
    <row r="111" spans="4:16" x14ac:dyDescent="0.25">
      <c r="D111" s="95">
        <v>107</v>
      </c>
      <c r="E111" s="10">
        <v>321</v>
      </c>
      <c r="F111" s="10">
        <v>5</v>
      </c>
      <c r="G111" s="10">
        <v>1</v>
      </c>
      <c r="H111" s="5" t="str">
        <f t="shared" si="3"/>
        <v>det_321</v>
      </c>
      <c r="I111" s="5" t="str">
        <f t="shared" si="4"/>
        <v>W:\Performance Measurement\1. Freeway\1. raw data\2014\data files\det_321.txt</v>
      </c>
      <c r="J111" s="5" t="str">
        <f t="shared" si="5"/>
        <v>W:\Performance Measurement\1. Freeway\1. raw data\2014\data files\det_321.xlsx</v>
      </c>
      <c r="K111" s="5"/>
      <c r="M111" s="108" t="s">
        <v>65</v>
      </c>
      <c r="N111" s="10">
        <v>321</v>
      </c>
      <c r="O111" s="10">
        <v>5</v>
      </c>
      <c r="P111" s="10">
        <v>1</v>
      </c>
    </row>
    <row r="112" spans="4:16" x14ac:dyDescent="0.25">
      <c r="D112" s="95">
        <v>108</v>
      </c>
      <c r="E112" s="10">
        <v>323</v>
      </c>
      <c r="F112" s="10">
        <v>4</v>
      </c>
      <c r="G112" s="10">
        <v>1</v>
      </c>
      <c r="H112" s="5" t="str">
        <f t="shared" si="3"/>
        <v>det_323</v>
      </c>
      <c r="I112" s="5" t="str">
        <f t="shared" si="4"/>
        <v>W:\Performance Measurement\1. Freeway\1. raw data\2014\data files\det_323.txt</v>
      </c>
      <c r="J112" s="5" t="str">
        <f t="shared" si="5"/>
        <v>W:\Performance Measurement\1. Freeway\1. raw data\2014\data files\det_323.xlsx</v>
      </c>
      <c r="K112" s="5"/>
      <c r="M112" s="108" t="s">
        <v>65</v>
      </c>
      <c r="N112" s="10">
        <v>323</v>
      </c>
      <c r="O112" s="10">
        <v>4</v>
      </c>
      <c r="P112" s="10">
        <v>1</v>
      </c>
    </row>
    <row r="113" spans="4:16" x14ac:dyDescent="0.25">
      <c r="D113" s="95">
        <v>109</v>
      </c>
      <c r="E113" s="10">
        <v>325</v>
      </c>
      <c r="F113" s="10">
        <v>3</v>
      </c>
      <c r="G113" s="10">
        <v>1</v>
      </c>
      <c r="H113" s="5" t="str">
        <f t="shared" si="3"/>
        <v>det_325</v>
      </c>
      <c r="I113" s="5" t="str">
        <f t="shared" si="4"/>
        <v>W:\Performance Measurement\1. Freeway\1. raw data\2014\data files\det_325.txt</v>
      </c>
      <c r="J113" s="5" t="str">
        <f t="shared" si="5"/>
        <v>W:\Performance Measurement\1. Freeway\1. raw data\2014\data files\det_325.xlsx</v>
      </c>
      <c r="K113" s="5"/>
      <c r="M113" s="108" t="s">
        <v>65</v>
      </c>
      <c r="N113" s="10">
        <v>325</v>
      </c>
      <c r="O113" s="10">
        <v>3</v>
      </c>
      <c r="P113" s="10">
        <v>1</v>
      </c>
    </row>
    <row r="114" spans="4:16" x14ac:dyDescent="0.25">
      <c r="D114" s="95">
        <v>110</v>
      </c>
      <c r="E114" s="10">
        <v>328</v>
      </c>
      <c r="F114" s="10">
        <v>3</v>
      </c>
      <c r="G114" s="10">
        <v>1</v>
      </c>
      <c r="H114" s="5" t="str">
        <f t="shared" si="3"/>
        <v>det_328</v>
      </c>
      <c r="I114" s="5" t="str">
        <f t="shared" si="4"/>
        <v>W:\Performance Measurement\1. Freeway\1. raw data\2014\data files\det_328.txt</v>
      </c>
      <c r="J114" s="5" t="str">
        <f t="shared" si="5"/>
        <v>W:\Performance Measurement\1. Freeway\1. raw data\2014\data files\det_328.xlsx</v>
      </c>
      <c r="K114" s="5"/>
      <c r="M114" s="108" t="s">
        <v>65</v>
      </c>
      <c r="N114" s="10">
        <v>328</v>
      </c>
      <c r="O114" s="10">
        <v>3</v>
      </c>
      <c r="P114" s="10">
        <v>1</v>
      </c>
    </row>
    <row r="115" spans="4:16" x14ac:dyDescent="0.25">
      <c r="D115" s="95">
        <v>111</v>
      </c>
      <c r="E115" s="10">
        <v>331</v>
      </c>
      <c r="F115" s="10">
        <v>3</v>
      </c>
      <c r="G115" s="10">
        <v>1</v>
      </c>
      <c r="H115" s="5" t="str">
        <f t="shared" si="3"/>
        <v>det_331</v>
      </c>
      <c r="I115" s="5" t="str">
        <f t="shared" si="4"/>
        <v>W:\Performance Measurement\1. Freeway\1. raw data\2014\data files\det_331.txt</v>
      </c>
      <c r="J115" s="5" t="str">
        <f t="shared" si="5"/>
        <v>W:\Performance Measurement\1. Freeway\1. raw data\2014\data files\det_331.xlsx</v>
      </c>
      <c r="K115" s="5"/>
      <c r="M115" s="108" t="s">
        <v>65</v>
      </c>
      <c r="N115" s="10">
        <v>331</v>
      </c>
      <c r="O115" s="10">
        <v>3</v>
      </c>
      <c r="P115" s="10">
        <v>1</v>
      </c>
    </row>
    <row r="116" spans="4:16" x14ac:dyDescent="0.25">
      <c r="D116" s="95">
        <v>112</v>
      </c>
      <c r="E116" s="10">
        <v>334</v>
      </c>
      <c r="F116" s="10">
        <v>3</v>
      </c>
      <c r="G116" s="10">
        <v>1</v>
      </c>
      <c r="H116" s="5" t="str">
        <f t="shared" si="3"/>
        <v>det_334</v>
      </c>
      <c r="I116" s="5" t="str">
        <f t="shared" si="4"/>
        <v>W:\Performance Measurement\1. Freeway\1. raw data\2014\data files\det_334.txt</v>
      </c>
      <c r="J116" s="5" t="str">
        <f t="shared" si="5"/>
        <v>W:\Performance Measurement\1. Freeway\1. raw data\2014\data files\det_334.xlsx</v>
      </c>
      <c r="K116" s="5"/>
      <c r="M116" s="108" t="s">
        <v>65</v>
      </c>
      <c r="N116" s="10">
        <v>334</v>
      </c>
      <c r="O116" s="10">
        <v>3</v>
      </c>
      <c r="P116" s="10">
        <v>1</v>
      </c>
    </row>
    <row r="117" spans="4:16" x14ac:dyDescent="0.25">
      <c r="D117" s="95">
        <v>113</v>
      </c>
      <c r="E117" s="10">
        <v>336</v>
      </c>
      <c r="F117" s="10">
        <v>3</v>
      </c>
      <c r="G117" s="10">
        <v>1</v>
      </c>
      <c r="H117" s="5" t="str">
        <f t="shared" si="3"/>
        <v>det_336</v>
      </c>
      <c r="I117" s="5" t="str">
        <f t="shared" si="4"/>
        <v>W:\Performance Measurement\1. Freeway\1. raw data\2014\data files\det_336.txt</v>
      </c>
      <c r="J117" s="5" t="str">
        <f t="shared" si="5"/>
        <v>W:\Performance Measurement\1. Freeway\1. raw data\2014\data files\det_336.xlsx</v>
      </c>
      <c r="K117" s="5"/>
      <c r="M117" s="108" t="s">
        <v>65</v>
      </c>
      <c r="N117" s="10">
        <v>336</v>
      </c>
      <c r="O117" s="10">
        <v>3</v>
      </c>
      <c r="P117" s="10">
        <v>1</v>
      </c>
    </row>
    <row r="118" spans="4:16" x14ac:dyDescent="0.25">
      <c r="D118" s="95">
        <v>114</v>
      </c>
      <c r="E118" s="10">
        <v>312</v>
      </c>
      <c r="F118" s="10">
        <v>3</v>
      </c>
      <c r="G118" s="10">
        <v>1</v>
      </c>
      <c r="H118" s="5" t="str">
        <f t="shared" si="3"/>
        <v>det_312</v>
      </c>
      <c r="I118" s="5" t="str">
        <f t="shared" si="4"/>
        <v>W:\Performance Measurement\1. Freeway\1. raw data\2014\data files\det_312.txt</v>
      </c>
      <c r="J118" s="5" t="str">
        <f t="shared" si="5"/>
        <v>W:\Performance Measurement\1. Freeway\1. raw data\2014\data files\det_312.xlsx</v>
      </c>
      <c r="K118" s="5"/>
      <c r="M118" s="108" t="s">
        <v>65</v>
      </c>
      <c r="N118" s="10">
        <v>312</v>
      </c>
      <c r="O118" s="10">
        <v>3</v>
      </c>
      <c r="P118" s="10">
        <v>1</v>
      </c>
    </row>
    <row r="119" spans="4:16" x14ac:dyDescent="0.25">
      <c r="D119" s="95">
        <v>115</v>
      </c>
      <c r="E119" s="10">
        <v>309</v>
      </c>
      <c r="F119" s="10">
        <v>3</v>
      </c>
      <c r="G119" s="10">
        <v>1</v>
      </c>
      <c r="H119" s="5" t="str">
        <f t="shared" si="3"/>
        <v>det_309</v>
      </c>
      <c r="I119" s="5" t="str">
        <f t="shared" si="4"/>
        <v>W:\Performance Measurement\1. Freeway\1. raw data\2014\data files\det_309.txt</v>
      </c>
      <c r="J119" s="5" t="str">
        <f t="shared" si="5"/>
        <v>W:\Performance Measurement\1. Freeway\1. raw data\2014\data files\det_309.xlsx</v>
      </c>
      <c r="K119" s="5"/>
      <c r="M119" s="108" t="s">
        <v>65</v>
      </c>
      <c r="N119" s="10">
        <v>309</v>
      </c>
      <c r="O119" s="10">
        <v>3</v>
      </c>
      <c r="P119" s="10">
        <v>1</v>
      </c>
    </row>
    <row r="120" spans="4:16" x14ac:dyDescent="0.25">
      <c r="D120" s="95">
        <v>116</v>
      </c>
      <c r="E120" s="10">
        <v>306</v>
      </c>
      <c r="F120" s="10">
        <v>3</v>
      </c>
      <c r="G120" s="10">
        <v>1</v>
      </c>
      <c r="H120" s="5" t="str">
        <f t="shared" si="3"/>
        <v>det_306</v>
      </c>
      <c r="I120" s="5" t="str">
        <f t="shared" si="4"/>
        <v>W:\Performance Measurement\1. Freeway\1. raw data\2014\data files\det_306.txt</v>
      </c>
      <c r="J120" s="5" t="str">
        <f t="shared" si="5"/>
        <v>W:\Performance Measurement\1. Freeway\1. raw data\2014\data files\det_306.xlsx</v>
      </c>
      <c r="K120" s="5"/>
      <c r="M120" s="108" t="s">
        <v>65</v>
      </c>
      <c r="N120" s="10">
        <v>306</v>
      </c>
      <c r="O120" s="10">
        <v>3</v>
      </c>
      <c r="P120" s="10">
        <v>1</v>
      </c>
    </row>
    <row r="121" spans="4:16" x14ac:dyDescent="0.25">
      <c r="D121" s="95">
        <v>117</v>
      </c>
      <c r="E121" s="10">
        <v>303</v>
      </c>
      <c r="F121" s="10">
        <v>3</v>
      </c>
      <c r="G121" s="10">
        <v>1</v>
      </c>
      <c r="H121" s="5" t="str">
        <f t="shared" si="3"/>
        <v>det_303</v>
      </c>
      <c r="I121" s="5" t="str">
        <f t="shared" si="4"/>
        <v>W:\Performance Measurement\1. Freeway\1. raw data\2014\data files\det_303.txt</v>
      </c>
      <c r="J121" s="5" t="str">
        <f t="shared" si="5"/>
        <v>W:\Performance Measurement\1. Freeway\1. raw data\2014\data files\det_303.xlsx</v>
      </c>
      <c r="K121" s="5"/>
      <c r="M121" s="108" t="s">
        <v>65</v>
      </c>
      <c r="N121" s="10">
        <v>303</v>
      </c>
      <c r="O121" s="10">
        <v>3</v>
      </c>
      <c r="P121" s="10">
        <v>1</v>
      </c>
    </row>
    <row r="122" spans="4:16" x14ac:dyDescent="0.25">
      <c r="D122" s="95">
        <v>118</v>
      </c>
      <c r="E122" s="10">
        <v>300</v>
      </c>
      <c r="F122" s="10">
        <v>3</v>
      </c>
      <c r="G122" s="10">
        <v>1</v>
      </c>
      <c r="H122" s="5" t="str">
        <f t="shared" si="3"/>
        <v>det_300</v>
      </c>
      <c r="I122" s="5" t="str">
        <f t="shared" si="4"/>
        <v>W:\Performance Measurement\1. Freeway\1. raw data\2014\data files\det_300.txt</v>
      </c>
      <c r="J122" s="5" t="str">
        <f t="shared" si="5"/>
        <v>W:\Performance Measurement\1. Freeway\1. raw data\2014\data files\det_300.xlsx</v>
      </c>
      <c r="K122" s="5"/>
      <c r="M122" s="108" t="s">
        <v>65</v>
      </c>
      <c r="N122" s="10">
        <v>300</v>
      </c>
      <c r="O122" s="10">
        <v>3</v>
      </c>
      <c r="P122" s="10">
        <v>1</v>
      </c>
    </row>
    <row r="123" spans="4:16" x14ac:dyDescent="0.25">
      <c r="D123" s="95">
        <v>119</v>
      </c>
      <c r="E123" s="10">
        <v>299</v>
      </c>
      <c r="F123" s="10">
        <v>4</v>
      </c>
      <c r="G123" s="10">
        <v>1</v>
      </c>
      <c r="H123" s="5" t="str">
        <f t="shared" si="3"/>
        <v>det_299</v>
      </c>
      <c r="I123" s="5" t="str">
        <f t="shared" si="4"/>
        <v>W:\Performance Measurement\1. Freeway\1. raw data\2014\data files\det_299.txt</v>
      </c>
      <c r="J123" s="5" t="str">
        <f t="shared" si="5"/>
        <v>W:\Performance Measurement\1. Freeway\1. raw data\2014\data files\det_299.xlsx</v>
      </c>
      <c r="K123" s="5"/>
      <c r="M123" s="108" t="s">
        <v>65</v>
      </c>
      <c r="N123" s="10">
        <v>299</v>
      </c>
      <c r="O123" s="10">
        <v>4</v>
      </c>
      <c r="P123" s="10">
        <v>1</v>
      </c>
    </row>
    <row r="124" spans="4:16" x14ac:dyDescent="0.25">
      <c r="D124" s="95">
        <v>120</v>
      </c>
      <c r="E124" s="10">
        <v>297</v>
      </c>
      <c r="F124" s="10">
        <v>5</v>
      </c>
      <c r="G124" s="10">
        <v>1</v>
      </c>
      <c r="H124" s="5" t="str">
        <f t="shared" si="3"/>
        <v>det_297</v>
      </c>
      <c r="I124" s="5" t="str">
        <f t="shared" si="4"/>
        <v>W:\Performance Measurement\1. Freeway\1. raw data\2014\data files\det_297.txt</v>
      </c>
      <c r="J124" s="5" t="str">
        <f t="shared" si="5"/>
        <v>W:\Performance Measurement\1. Freeway\1. raw data\2014\data files\det_297.xlsx</v>
      </c>
      <c r="K124" s="5"/>
      <c r="M124" s="108" t="s">
        <v>65</v>
      </c>
      <c r="N124" s="10">
        <v>297</v>
      </c>
      <c r="O124" s="10">
        <v>5</v>
      </c>
      <c r="P124" s="10">
        <v>1</v>
      </c>
    </row>
    <row r="125" spans="4:16" x14ac:dyDescent="0.25">
      <c r="D125" s="95">
        <v>121</v>
      </c>
      <c r="E125" s="10">
        <v>294</v>
      </c>
      <c r="F125" s="10">
        <v>4</v>
      </c>
      <c r="G125" s="10">
        <v>1</v>
      </c>
      <c r="H125" s="5" t="str">
        <f t="shared" si="3"/>
        <v>det_294</v>
      </c>
      <c r="I125" s="5" t="str">
        <f t="shared" si="4"/>
        <v>W:\Performance Measurement\1. Freeway\1. raw data\2014\data files\det_294.txt</v>
      </c>
      <c r="J125" s="5" t="str">
        <f t="shared" si="5"/>
        <v>W:\Performance Measurement\1. Freeway\1. raw data\2014\data files\det_294.xlsx</v>
      </c>
      <c r="K125" s="5"/>
      <c r="M125" s="108" t="s">
        <v>65</v>
      </c>
      <c r="N125" s="10">
        <v>294</v>
      </c>
      <c r="O125" s="10">
        <v>4</v>
      </c>
      <c r="P125" s="10">
        <v>1</v>
      </c>
    </row>
    <row r="126" spans="4:16" x14ac:dyDescent="0.25">
      <c r="D126" s="95">
        <v>122</v>
      </c>
      <c r="E126" s="10">
        <v>292</v>
      </c>
      <c r="F126" s="10">
        <v>4</v>
      </c>
      <c r="G126" s="10">
        <v>1</v>
      </c>
      <c r="H126" s="5" t="str">
        <f t="shared" si="3"/>
        <v>det_292</v>
      </c>
      <c r="I126" s="5" t="str">
        <f t="shared" si="4"/>
        <v>W:\Performance Measurement\1. Freeway\1. raw data\2014\data files\det_292.txt</v>
      </c>
      <c r="J126" s="5" t="str">
        <f t="shared" si="5"/>
        <v>W:\Performance Measurement\1. Freeway\1. raw data\2014\data files\det_292.xlsx</v>
      </c>
      <c r="K126" s="5"/>
      <c r="M126" s="108" t="s">
        <v>65</v>
      </c>
      <c r="N126" s="10">
        <v>292</v>
      </c>
      <c r="O126" s="10">
        <v>4</v>
      </c>
      <c r="P126" s="10">
        <v>1</v>
      </c>
    </row>
    <row r="127" spans="4:16" x14ac:dyDescent="0.25">
      <c r="D127" s="95">
        <v>123</v>
      </c>
      <c r="E127" s="10">
        <v>621</v>
      </c>
      <c r="F127" s="10">
        <v>4</v>
      </c>
      <c r="G127" s="10">
        <v>0</v>
      </c>
      <c r="H127" s="5" t="str">
        <f t="shared" si="3"/>
        <v>det_621</v>
      </c>
      <c r="I127" s="5" t="str">
        <f t="shared" si="4"/>
        <v>W:\Performance Measurement\1. Freeway\1. raw data\2014\data files\det_621.txt</v>
      </c>
      <c r="J127" s="5" t="str">
        <f t="shared" si="5"/>
        <v>W:\Performance Measurement\1. Freeway\1. raw data\2014\data files\det_621.xlsx</v>
      </c>
      <c r="K127" s="5"/>
      <c r="M127" s="108" t="s">
        <v>65</v>
      </c>
      <c r="N127" s="10">
        <v>621</v>
      </c>
      <c r="O127" s="10">
        <v>4</v>
      </c>
      <c r="P127" s="10">
        <v>0</v>
      </c>
    </row>
    <row r="128" spans="4:16" x14ac:dyDescent="0.25">
      <c r="D128" s="95">
        <v>124</v>
      </c>
      <c r="E128" s="10">
        <v>622</v>
      </c>
      <c r="F128" s="10">
        <v>4</v>
      </c>
      <c r="G128" s="10">
        <v>0</v>
      </c>
      <c r="H128" s="5" t="str">
        <f t="shared" si="3"/>
        <v>det_622</v>
      </c>
      <c r="I128" s="5" t="str">
        <f t="shared" si="4"/>
        <v>W:\Performance Measurement\1. Freeway\1. raw data\2014\data files\det_622.txt</v>
      </c>
      <c r="J128" s="5" t="str">
        <f t="shared" si="5"/>
        <v>W:\Performance Measurement\1. Freeway\1. raw data\2014\data files\det_622.xlsx</v>
      </c>
      <c r="K128" s="5"/>
      <c r="M128" s="108" t="s">
        <v>65</v>
      </c>
      <c r="N128" s="10">
        <v>622</v>
      </c>
      <c r="O128" s="10">
        <v>4</v>
      </c>
      <c r="P128" s="10">
        <v>0</v>
      </c>
    </row>
    <row r="129" spans="4:16" x14ac:dyDescent="0.25">
      <c r="D129" s="95">
        <v>125</v>
      </c>
      <c r="E129" s="10">
        <v>623</v>
      </c>
      <c r="F129" s="10">
        <v>4</v>
      </c>
      <c r="G129" s="10">
        <v>0</v>
      </c>
      <c r="H129" s="5" t="str">
        <f t="shared" si="3"/>
        <v>det_623</v>
      </c>
      <c r="I129" s="5" t="str">
        <f t="shared" si="4"/>
        <v>W:\Performance Measurement\1. Freeway\1. raw data\2014\data files\det_623.txt</v>
      </c>
      <c r="J129" s="5" t="str">
        <f t="shared" si="5"/>
        <v>W:\Performance Measurement\1. Freeway\1. raw data\2014\data files\det_623.xlsx</v>
      </c>
      <c r="K129" s="5"/>
      <c r="M129" s="108" t="s">
        <v>65</v>
      </c>
      <c r="N129" s="10">
        <v>623</v>
      </c>
      <c r="O129" s="10">
        <v>4</v>
      </c>
      <c r="P129" s="10">
        <v>0</v>
      </c>
    </row>
    <row r="130" spans="4:16" x14ac:dyDescent="0.25">
      <c r="D130" s="95">
        <v>126</v>
      </c>
      <c r="E130" s="10">
        <v>229</v>
      </c>
      <c r="F130" s="10">
        <v>2</v>
      </c>
      <c r="G130" s="10">
        <v>1</v>
      </c>
      <c r="H130" s="5" t="str">
        <f t="shared" si="3"/>
        <v>det_229</v>
      </c>
      <c r="I130" s="5" t="str">
        <f t="shared" si="4"/>
        <v>W:\Performance Measurement\1. Freeway\1. raw data\2014\data files\det_229.txt</v>
      </c>
      <c r="J130" s="5" t="str">
        <f t="shared" si="5"/>
        <v>W:\Performance Measurement\1. Freeway\1. raw data\2014\data files\det_229.xlsx</v>
      </c>
      <c r="K130" s="5"/>
      <c r="M130" s="108" t="s">
        <v>66</v>
      </c>
      <c r="N130" s="10">
        <v>229</v>
      </c>
      <c r="O130" s="10">
        <v>2</v>
      </c>
      <c r="P130" s="10">
        <v>1</v>
      </c>
    </row>
    <row r="131" spans="4:16" x14ac:dyDescent="0.25">
      <c r="D131" s="95">
        <v>127</v>
      </c>
      <c r="E131" s="10">
        <v>230</v>
      </c>
      <c r="F131" s="10">
        <v>3</v>
      </c>
      <c r="G131" s="10">
        <v>1</v>
      </c>
      <c r="H131" s="5" t="str">
        <f t="shared" si="3"/>
        <v>det_230</v>
      </c>
      <c r="I131" s="5" t="str">
        <f t="shared" si="4"/>
        <v>W:\Performance Measurement\1. Freeway\1. raw data\2014\data files\det_230.txt</v>
      </c>
      <c r="J131" s="5" t="str">
        <f t="shared" si="5"/>
        <v>W:\Performance Measurement\1. Freeway\1. raw data\2014\data files\det_230.xlsx</v>
      </c>
      <c r="K131" s="5"/>
      <c r="M131" s="108" t="s">
        <v>66</v>
      </c>
      <c r="N131" s="10">
        <v>230</v>
      </c>
      <c r="O131" s="10">
        <v>3</v>
      </c>
      <c r="P131" s="10">
        <v>1</v>
      </c>
    </row>
    <row r="132" spans="4:16" x14ac:dyDescent="0.25">
      <c r="D132" s="95">
        <v>128</v>
      </c>
      <c r="E132" s="10">
        <v>233</v>
      </c>
      <c r="F132" s="10">
        <v>3</v>
      </c>
      <c r="G132" s="10">
        <v>1</v>
      </c>
      <c r="H132" s="5" t="str">
        <f t="shared" si="3"/>
        <v>det_233</v>
      </c>
      <c r="I132" s="5" t="str">
        <f t="shared" si="4"/>
        <v>W:\Performance Measurement\1. Freeway\1. raw data\2014\data files\det_233.txt</v>
      </c>
      <c r="J132" s="5" t="str">
        <f t="shared" si="5"/>
        <v>W:\Performance Measurement\1. Freeway\1. raw data\2014\data files\det_233.xlsx</v>
      </c>
      <c r="K132" s="5"/>
      <c r="M132" s="108" t="s">
        <v>66</v>
      </c>
      <c r="N132" s="10">
        <v>233</v>
      </c>
      <c r="O132" s="10">
        <v>3</v>
      </c>
      <c r="P132" s="10">
        <v>1</v>
      </c>
    </row>
    <row r="133" spans="4:16" x14ac:dyDescent="0.25">
      <c r="D133" s="95">
        <v>129</v>
      </c>
      <c r="E133" s="10">
        <v>235</v>
      </c>
      <c r="F133" s="10">
        <v>5</v>
      </c>
      <c r="G133" s="10">
        <v>1</v>
      </c>
      <c r="H133" s="5" t="str">
        <f t="shared" ref="H133:H196" si="6">"det_"&amp;E133&amp;""</f>
        <v>det_235</v>
      </c>
      <c r="I133" s="5" t="str">
        <f t="shared" ref="I133:I196" si="7">$B$5&amp;"\"&amp;H133&amp;".txt"</f>
        <v>W:\Performance Measurement\1. Freeway\1. raw data\2014\data files\det_235.txt</v>
      </c>
      <c r="J133" s="5" t="str">
        <f t="shared" ref="J133:J196" si="8">$B$5&amp;"\"&amp;H133&amp;".xlsx"</f>
        <v>W:\Performance Measurement\1. Freeway\1. raw data\2014\data files\det_235.xlsx</v>
      </c>
      <c r="K133" s="5"/>
      <c r="M133" s="108" t="s">
        <v>66</v>
      </c>
      <c r="N133" s="10">
        <v>235</v>
      </c>
      <c r="O133" s="10">
        <v>5</v>
      </c>
      <c r="P133" s="10">
        <v>1</v>
      </c>
    </row>
    <row r="134" spans="4:16" x14ac:dyDescent="0.25">
      <c r="D134" s="95">
        <v>130</v>
      </c>
      <c r="E134" s="10">
        <v>237</v>
      </c>
      <c r="F134" s="10">
        <v>3</v>
      </c>
      <c r="G134" s="10">
        <v>1</v>
      </c>
      <c r="H134" s="5" t="str">
        <f t="shared" si="6"/>
        <v>det_237</v>
      </c>
      <c r="I134" s="5" t="str">
        <f t="shared" si="7"/>
        <v>W:\Performance Measurement\1. Freeway\1. raw data\2014\data files\det_237.txt</v>
      </c>
      <c r="J134" s="5" t="str">
        <f t="shared" si="8"/>
        <v>W:\Performance Measurement\1. Freeway\1. raw data\2014\data files\det_237.xlsx</v>
      </c>
      <c r="K134" s="5"/>
      <c r="M134" s="108" t="s">
        <v>66</v>
      </c>
      <c r="N134" s="10">
        <v>237</v>
      </c>
      <c r="O134" s="10">
        <v>3</v>
      </c>
      <c r="P134" s="10">
        <v>1</v>
      </c>
    </row>
    <row r="135" spans="4:16" x14ac:dyDescent="0.25">
      <c r="D135" s="95">
        <v>131</v>
      </c>
      <c r="E135" s="10">
        <v>239</v>
      </c>
      <c r="F135" s="10">
        <v>4</v>
      </c>
      <c r="G135" s="10">
        <v>1</v>
      </c>
      <c r="H135" s="5" t="str">
        <f t="shared" si="6"/>
        <v>det_239</v>
      </c>
      <c r="I135" s="5" t="str">
        <f t="shared" si="7"/>
        <v>W:\Performance Measurement\1. Freeway\1. raw data\2014\data files\det_239.txt</v>
      </c>
      <c r="J135" s="5" t="str">
        <f t="shared" si="8"/>
        <v>W:\Performance Measurement\1. Freeway\1. raw data\2014\data files\det_239.xlsx</v>
      </c>
      <c r="K135" s="5"/>
      <c r="M135" s="108" t="s">
        <v>66</v>
      </c>
      <c r="N135" s="10">
        <v>239</v>
      </c>
      <c r="O135" s="10">
        <v>4</v>
      </c>
      <c r="P135" s="10">
        <v>1</v>
      </c>
    </row>
    <row r="136" spans="4:16" x14ac:dyDescent="0.25">
      <c r="D136" s="95">
        <v>132</v>
      </c>
      <c r="E136" s="10">
        <v>241</v>
      </c>
      <c r="F136" s="10">
        <v>3</v>
      </c>
      <c r="G136" s="10">
        <v>1</v>
      </c>
      <c r="H136" s="5" t="str">
        <f t="shared" si="6"/>
        <v>det_241</v>
      </c>
      <c r="I136" s="5" t="str">
        <f t="shared" si="7"/>
        <v>W:\Performance Measurement\1. Freeway\1. raw data\2014\data files\det_241.txt</v>
      </c>
      <c r="J136" s="5" t="str">
        <f t="shared" si="8"/>
        <v>W:\Performance Measurement\1. Freeway\1. raw data\2014\data files\det_241.xlsx</v>
      </c>
      <c r="K136" s="5"/>
      <c r="M136" s="108" t="s">
        <v>66</v>
      </c>
      <c r="N136" s="10">
        <v>241</v>
      </c>
      <c r="O136" s="10">
        <v>3</v>
      </c>
      <c r="P136" s="10">
        <v>1</v>
      </c>
    </row>
    <row r="137" spans="4:16" x14ac:dyDescent="0.25">
      <c r="D137" s="95">
        <v>133</v>
      </c>
      <c r="E137" s="10">
        <v>243</v>
      </c>
      <c r="F137" s="10">
        <v>4</v>
      </c>
      <c r="G137" s="10">
        <v>1</v>
      </c>
      <c r="H137" s="5" t="str">
        <f t="shared" si="6"/>
        <v>det_243</v>
      </c>
      <c r="I137" s="5" t="str">
        <f t="shared" si="7"/>
        <v>W:\Performance Measurement\1. Freeway\1. raw data\2014\data files\det_243.txt</v>
      </c>
      <c r="J137" s="5" t="str">
        <f t="shared" si="8"/>
        <v>W:\Performance Measurement\1. Freeway\1. raw data\2014\data files\det_243.xlsx</v>
      </c>
      <c r="K137" s="5"/>
      <c r="M137" s="108" t="s">
        <v>66</v>
      </c>
      <c r="N137" s="10">
        <v>243</v>
      </c>
      <c r="O137" s="10">
        <v>4</v>
      </c>
      <c r="P137" s="10">
        <v>1</v>
      </c>
    </row>
    <row r="138" spans="4:16" x14ac:dyDescent="0.25">
      <c r="D138" s="95">
        <v>134</v>
      </c>
      <c r="E138" s="10">
        <v>245</v>
      </c>
      <c r="F138" s="10">
        <v>4</v>
      </c>
      <c r="G138" s="10">
        <v>1</v>
      </c>
      <c r="H138" s="5" t="str">
        <f t="shared" si="6"/>
        <v>det_245</v>
      </c>
      <c r="I138" s="5" t="str">
        <f t="shared" si="7"/>
        <v>W:\Performance Measurement\1. Freeway\1. raw data\2014\data files\det_245.txt</v>
      </c>
      <c r="J138" s="5" t="str">
        <f t="shared" si="8"/>
        <v>W:\Performance Measurement\1. Freeway\1. raw data\2014\data files\det_245.xlsx</v>
      </c>
      <c r="K138" s="5"/>
      <c r="M138" s="108" t="s">
        <v>66</v>
      </c>
      <c r="N138" s="10">
        <v>245</v>
      </c>
      <c r="O138" s="10">
        <v>4</v>
      </c>
      <c r="P138" s="10">
        <v>1</v>
      </c>
    </row>
    <row r="139" spans="4:16" x14ac:dyDescent="0.25">
      <c r="D139" s="95">
        <v>135</v>
      </c>
      <c r="E139" s="10">
        <v>246</v>
      </c>
      <c r="F139" s="10">
        <v>5</v>
      </c>
      <c r="G139" s="10">
        <v>1</v>
      </c>
      <c r="H139" s="5" t="str">
        <f t="shared" si="6"/>
        <v>det_246</v>
      </c>
      <c r="I139" s="5" t="str">
        <f t="shared" si="7"/>
        <v>W:\Performance Measurement\1. Freeway\1. raw data\2014\data files\det_246.txt</v>
      </c>
      <c r="J139" s="5" t="str">
        <f t="shared" si="8"/>
        <v>W:\Performance Measurement\1. Freeway\1. raw data\2014\data files\det_246.xlsx</v>
      </c>
      <c r="K139" s="5"/>
      <c r="M139" s="108" t="s">
        <v>66</v>
      </c>
      <c r="N139" s="10">
        <v>246</v>
      </c>
      <c r="O139" s="10">
        <v>5</v>
      </c>
      <c r="P139" s="10">
        <v>1</v>
      </c>
    </row>
    <row r="140" spans="4:16" x14ac:dyDescent="0.25">
      <c r="D140" s="95">
        <v>136</v>
      </c>
      <c r="E140" s="10">
        <v>248</v>
      </c>
      <c r="F140" s="10">
        <v>4</v>
      </c>
      <c r="G140" s="10">
        <v>1</v>
      </c>
      <c r="H140" s="5" t="str">
        <f t="shared" si="6"/>
        <v>det_248</v>
      </c>
      <c r="I140" s="5" t="str">
        <f t="shared" si="7"/>
        <v>W:\Performance Measurement\1. Freeway\1. raw data\2014\data files\det_248.txt</v>
      </c>
      <c r="J140" s="5" t="str">
        <f t="shared" si="8"/>
        <v>W:\Performance Measurement\1. Freeway\1. raw data\2014\data files\det_248.xlsx</v>
      </c>
      <c r="K140" s="5"/>
      <c r="M140" s="108" t="s">
        <v>66</v>
      </c>
      <c r="N140" s="10">
        <v>248</v>
      </c>
      <c r="O140" s="10">
        <v>4</v>
      </c>
      <c r="P140" s="10">
        <v>1</v>
      </c>
    </row>
    <row r="141" spans="4:16" x14ac:dyDescent="0.25">
      <c r="D141" s="95">
        <v>137</v>
      </c>
      <c r="E141" s="10">
        <v>250</v>
      </c>
      <c r="F141" s="10">
        <v>5</v>
      </c>
      <c r="G141" s="10">
        <v>1</v>
      </c>
      <c r="H141" s="5" t="str">
        <f t="shared" si="6"/>
        <v>det_250</v>
      </c>
      <c r="I141" s="5" t="str">
        <f t="shared" si="7"/>
        <v>W:\Performance Measurement\1. Freeway\1. raw data\2014\data files\det_250.txt</v>
      </c>
      <c r="J141" s="5" t="str">
        <f t="shared" si="8"/>
        <v>W:\Performance Measurement\1. Freeway\1. raw data\2014\data files\det_250.xlsx</v>
      </c>
      <c r="K141" s="5"/>
      <c r="M141" s="108" t="s">
        <v>66</v>
      </c>
      <c r="N141" s="10">
        <v>250</v>
      </c>
      <c r="O141" s="10">
        <v>5</v>
      </c>
      <c r="P141" s="10">
        <v>1</v>
      </c>
    </row>
    <row r="142" spans="4:16" x14ac:dyDescent="0.25">
      <c r="D142" s="95">
        <v>138</v>
      </c>
      <c r="E142" s="10">
        <v>252</v>
      </c>
      <c r="F142" s="10">
        <v>4</v>
      </c>
      <c r="G142" s="10">
        <v>1</v>
      </c>
      <c r="H142" s="5" t="str">
        <f t="shared" si="6"/>
        <v>det_252</v>
      </c>
      <c r="I142" s="5" t="str">
        <f t="shared" si="7"/>
        <v>W:\Performance Measurement\1. Freeway\1. raw data\2014\data files\det_252.txt</v>
      </c>
      <c r="J142" s="5" t="str">
        <f t="shared" si="8"/>
        <v>W:\Performance Measurement\1. Freeway\1. raw data\2014\data files\det_252.xlsx</v>
      </c>
      <c r="K142" s="5"/>
      <c r="M142" s="108" t="s">
        <v>66</v>
      </c>
      <c r="N142" s="10">
        <v>252</v>
      </c>
      <c r="O142" s="10">
        <v>4</v>
      </c>
      <c r="P142" s="10">
        <v>1</v>
      </c>
    </row>
    <row r="143" spans="4:16" x14ac:dyDescent="0.25">
      <c r="D143" s="95">
        <v>139</v>
      </c>
      <c r="E143" s="10">
        <v>254</v>
      </c>
      <c r="F143" s="10">
        <v>5</v>
      </c>
      <c r="G143" s="10">
        <v>1</v>
      </c>
      <c r="H143" s="5" t="str">
        <f t="shared" si="6"/>
        <v>det_254</v>
      </c>
      <c r="I143" s="5" t="str">
        <f t="shared" si="7"/>
        <v>W:\Performance Measurement\1. Freeway\1. raw data\2014\data files\det_254.txt</v>
      </c>
      <c r="J143" s="5" t="str">
        <f t="shared" si="8"/>
        <v>W:\Performance Measurement\1. Freeway\1. raw data\2014\data files\det_254.xlsx</v>
      </c>
      <c r="K143" s="5"/>
      <c r="M143" s="108" t="s">
        <v>66</v>
      </c>
      <c r="N143" s="10">
        <v>254</v>
      </c>
      <c r="O143" s="10">
        <v>5</v>
      </c>
      <c r="P143" s="10">
        <v>1</v>
      </c>
    </row>
    <row r="144" spans="4:16" x14ac:dyDescent="0.25">
      <c r="D144" s="95">
        <v>140</v>
      </c>
      <c r="E144" s="10">
        <v>272</v>
      </c>
      <c r="F144" s="10">
        <v>2</v>
      </c>
      <c r="G144" s="10">
        <v>1</v>
      </c>
      <c r="H144" s="5" t="str">
        <f t="shared" si="6"/>
        <v>det_272</v>
      </c>
      <c r="I144" s="5" t="str">
        <f t="shared" si="7"/>
        <v>W:\Performance Measurement\1. Freeway\1. raw data\2014\data files\det_272.txt</v>
      </c>
      <c r="J144" s="5" t="str">
        <f t="shared" si="8"/>
        <v>W:\Performance Measurement\1. Freeway\1. raw data\2014\data files\det_272.xlsx</v>
      </c>
      <c r="K144" s="5"/>
      <c r="M144" s="108" t="s">
        <v>66</v>
      </c>
      <c r="N144" s="10">
        <v>272</v>
      </c>
      <c r="O144" s="10">
        <v>2</v>
      </c>
      <c r="P144" s="10">
        <v>1</v>
      </c>
    </row>
    <row r="145" spans="4:16" x14ac:dyDescent="0.25">
      <c r="D145" s="95">
        <v>141</v>
      </c>
      <c r="E145" s="10">
        <v>275</v>
      </c>
      <c r="F145" s="10">
        <v>4</v>
      </c>
      <c r="G145" s="10">
        <v>1</v>
      </c>
      <c r="H145" s="5" t="str">
        <f t="shared" si="6"/>
        <v>det_275</v>
      </c>
      <c r="I145" s="5" t="str">
        <f t="shared" si="7"/>
        <v>W:\Performance Measurement\1. Freeway\1. raw data\2014\data files\det_275.txt</v>
      </c>
      <c r="J145" s="5" t="str">
        <f t="shared" si="8"/>
        <v>W:\Performance Measurement\1. Freeway\1. raw data\2014\data files\det_275.xlsx</v>
      </c>
      <c r="K145" s="5"/>
      <c r="M145" s="108" t="s">
        <v>66</v>
      </c>
      <c r="N145" s="10">
        <v>275</v>
      </c>
      <c r="O145" s="10">
        <v>4</v>
      </c>
      <c r="P145" s="10">
        <v>1</v>
      </c>
    </row>
    <row r="146" spans="4:16" x14ac:dyDescent="0.25">
      <c r="D146" s="95">
        <v>142</v>
      </c>
      <c r="E146" s="10">
        <v>278</v>
      </c>
      <c r="F146" s="10">
        <v>4</v>
      </c>
      <c r="G146" s="10">
        <v>1</v>
      </c>
      <c r="H146" s="5" t="str">
        <f t="shared" si="6"/>
        <v>det_278</v>
      </c>
      <c r="I146" s="5" t="str">
        <f t="shared" si="7"/>
        <v>W:\Performance Measurement\1. Freeway\1. raw data\2014\data files\det_278.txt</v>
      </c>
      <c r="J146" s="5" t="str">
        <f t="shared" si="8"/>
        <v>W:\Performance Measurement\1. Freeway\1. raw data\2014\data files\det_278.xlsx</v>
      </c>
      <c r="K146" s="5"/>
      <c r="M146" s="108" t="s">
        <v>66</v>
      </c>
      <c r="N146" s="10">
        <v>278</v>
      </c>
      <c r="O146" s="10">
        <v>4</v>
      </c>
      <c r="P146" s="10">
        <v>1</v>
      </c>
    </row>
    <row r="147" spans="4:16" x14ac:dyDescent="0.25">
      <c r="D147" s="95">
        <v>143</v>
      </c>
      <c r="E147" s="10">
        <v>281</v>
      </c>
      <c r="F147" s="10">
        <v>4</v>
      </c>
      <c r="G147" s="10">
        <v>1</v>
      </c>
      <c r="H147" s="5" t="str">
        <f t="shared" si="6"/>
        <v>det_281</v>
      </c>
      <c r="I147" s="5" t="str">
        <f t="shared" si="7"/>
        <v>W:\Performance Measurement\1. Freeway\1. raw data\2014\data files\det_281.txt</v>
      </c>
      <c r="J147" s="5" t="str">
        <f t="shared" si="8"/>
        <v>W:\Performance Measurement\1. Freeway\1. raw data\2014\data files\det_281.xlsx</v>
      </c>
      <c r="K147" s="5"/>
      <c r="M147" s="108" t="s">
        <v>66</v>
      </c>
      <c r="N147" s="10">
        <v>281</v>
      </c>
      <c r="O147" s="10">
        <v>4</v>
      </c>
      <c r="P147" s="10">
        <v>1</v>
      </c>
    </row>
    <row r="148" spans="4:16" x14ac:dyDescent="0.25">
      <c r="D148" s="95">
        <v>144</v>
      </c>
      <c r="E148" s="10">
        <v>284</v>
      </c>
      <c r="F148" s="10">
        <v>3</v>
      </c>
      <c r="G148" s="10">
        <v>1</v>
      </c>
      <c r="H148" s="5" t="str">
        <f t="shared" si="6"/>
        <v>det_284</v>
      </c>
      <c r="I148" s="5" t="str">
        <f t="shared" si="7"/>
        <v>W:\Performance Measurement\1. Freeway\1. raw data\2014\data files\det_284.txt</v>
      </c>
      <c r="J148" s="5" t="str">
        <f t="shared" si="8"/>
        <v>W:\Performance Measurement\1. Freeway\1. raw data\2014\data files\det_284.xlsx</v>
      </c>
      <c r="K148" s="5"/>
      <c r="M148" s="108" t="s">
        <v>66</v>
      </c>
      <c r="N148" s="10">
        <v>284</v>
      </c>
      <c r="O148" s="10">
        <v>3</v>
      </c>
      <c r="P148" s="10">
        <v>1</v>
      </c>
    </row>
    <row r="149" spans="4:16" x14ac:dyDescent="0.25">
      <c r="D149" s="95">
        <v>145</v>
      </c>
      <c r="E149" s="10">
        <v>286</v>
      </c>
      <c r="F149" s="10">
        <v>3</v>
      </c>
      <c r="G149" s="10">
        <v>1</v>
      </c>
      <c r="H149" s="5" t="str">
        <f t="shared" si="6"/>
        <v>det_286</v>
      </c>
      <c r="I149" s="5" t="str">
        <f t="shared" si="7"/>
        <v>W:\Performance Measurement\1. Freeway\1. raw data\2014\data files\det_286.txt</v>
      </c>
      <c r="J149" s="5" t="str">
        <f t="shared" si="8"/>
        <v>W:\Performance Measurement\1. Freeway\1. raw data\2014\data files\det_286.xlsx</v>
      </c>
      <c r="K149" s="5"/>
      <c r="M149" s="108" t="s">
        <v>66</v>
      </c>
      <c r="N149" s="10">
        <v>286</v>
      </c>
      <c r="O149" s="10">
        <v>3</v>
      </c>
      <c r="P149" s="10">
        <v>1</v>
      </c>
    </row>
    <row r="150" spans="4:16" x14ac:dyDescent="0.25">
      <c r="D150" s="95">
        <v>146</v>
      </c>
      <c r="E150" s="10">
        <v>288</v>
      </c>
      <c r="F150" s="10">
        <v>3</v>
      </c>
      <c r="G150" s="10">
        <v>1</v>
      </c>
      <c r="H150" s="5" t="str">
        <f t="shared" si="6"/>
        <v>det_288</v>
      </c>
      <c r="I150" s="5" t="str">
        <f t="shared" si="7"/>
        <v>W:\Performance Measurement\1. Freeway\1. raw data\2014\data files\det_288.txt</v>
      </c>
      <c r="J150" s="5" t="str">
        <f t="shared" si="8"/>
        <v>W:\Performance Measurement\1. Freeway\1. raw data\2014\data files\det_288.xlsx</v>
      </c>
      <c r="K150" s="5"/>
      <c r="M150" s="108" t="s">
        <v>66</v>
      </c>
      <c r="N150" s="10">
        <v>288</v>
      </c>
      <c r="O150" s="10">
        <v>3</v>
      </c>
      <c r="P150" s="10">
        <v>1</v>
      </c>
    </row>
    <row r="151" spans="4:16" x14ac:dyDescent="0.25">
      <c r="D151" s="95">
        <v>147</v>
      </c>
      <c r="E151" s="10">
        <v>225</v>
      </c>
      <c r="F151" s="10">
        <v>3</v>
      </c>
      <c r="G151" s="10">
        <v>1</v>
      </c>
      <c r="H151" s="5" t="str">
        <f t="shared" si="6"/>
        <v>det_225</v>
      </c>
      <c r="I151" s="5" t="str">
        <f t="shared" si="7"/>
        <v>W:\Performance Measurement\1. Freeway\1. raw data\2014\data files\det_225.txt</v>
      </c>
      <c r="J151" s="5" t="str">
        <f t="shared" si="8"/>
        <v>W:\Performance Measurement\1. Freeway\1. raw data\2014\data files\det_225.xlsx</v>
      </c>
      <c r="K151" s="5"/>
      <c r="M151" s="108" t="s">
        <v>66</v>
      </c>
      <c r="N151" s="10">
        <v>225</v>
      </c>
      <c r="O151" s="10">
        <v>3</v>
      </c>
      <c r="P151" s="10">
        <v>1</v>
      </c>
    </row>
    <row r="152" spans="4:16" x14ac:dyDescent="0.25">
      <c r="D152" s="95">
        <v>148</v>
      </c>
      <c r="E152" s="10">
        <v>223</v>
      </c>
      <c r="F152" s="10">
        <v>4</v>
      </c>
      <c r="G152" s="10">
        <v>1</v>
      </c>
      <c r="H152" s="5" t="str">
        <f t="shared" si="6"/>
        <v>det_223</v>
      </c>
      <c r="I152" s="5" t="str">
        <f t="shared" si="7"/>
        <v>W:\Performance Measurement\1. Freeway\1. raw data\2014\data files\det_223.txt</v>
      </c>
      <c r="J152" s="5" t="str">
        <f t="shared" si="8"/>
        <v>W:\Performance Measurement\1. Freeway\1. raw data\2014\data files\det_223.xlsx</v>
      </c>
      <c r="K152" s="5"/>
      <c r="M152" s="108" t="s">
        <v>66</v>
      </c>
      <c r="N152" s="10">
        <v>223</v>
      </c>
      <c r="O152" s="10">
        <v>4</v>
      </c>
      <c r="P152" s="10">
        <v>1</v>
      </c>
    </row>
    <row r="153" spans="4:16" x14ac:dyDescent="0.25">
      <c r="D153" s="95">
        <v>149</v>
      </c>
      <c r="E153" s="10">
        <v>220</v>
      </c>
      <c r="F153" s="10">
        <v>3</v>
      </c>
      <c r="G153" s="10">
        <v>1</v>
      </c>
      <c r="H153" s="5" t="str">
        <f t="shared" si="6"/>
        <v>det_220</v>
      </c>
      <c r="I153" s="5" t="str">
        <f t="shared" si="7"/>
        <v>W:\Performance Measurement\1. Freeway\1. raw data\2014\data files\det_220.txt</v>
      </c>
      <c r="J153" s="5" t="str">
        <f t="shared" si="8"/>
        <v>W:\Performance Measurement\1. Freeway\1. raw data\2014\data files\det_220.xlsx</v>
      </c>
      <c r="K153" s="5"/>
      <c r="M153" s="108" t="s">
        <v>66</v>
      </c>
      <c r="N153" s="10">
        <v>220</v>
      </c>
      <c r="O153" s="10">
        <v>3</v>
      </c>
      <c r="P153" s="10">
        <v>1</v>
      </c>
    </row>
    <row r="154" spans="4:16" x14ac:dyDescent="0.25">
      <c r="D154" s="95">
        <v>150</v>
      </c>
      <c r="E154" s="10">
        <v>217</v>
      </c>
      <c r="F154" s="10">
        <v>2</v>
      </c>
      <c r="G154" s="10">
        <v>1</v>
      </c>
      <c r="H154" s="5" t="str">
        <f t="shared" si="6"/>
        <v>det_217</v>
      </c>
      <c r="I154" s="5" t="str">
        <f t="shared" si="7"/>
        <v>W:\Performance Measurement\1. Freeway\1. raw data\2014\data files\det_217.txt</v>
      </c>
      <c r="J154" s="5" t="str">
        <f t="shared" si="8"/>
        <v>W:\Performance Measurement\1. Freeway\1. raw data\2014\data files\det_217.xlsx</v>
      </c>
      <c r="K154" s="5"/>
      <c r="M154" s="108" t="s">
        <v>66</v>
      </c>
      <c r="N154" s="10">
        <v>217</v>
      </c>
      <c r="O154" s="10">
        <v>2</v>
      </c>
      <c r="P154" s="10">
        <v>1</v>
      </c>
    </row>
    <row r="155" spans="4:16" x14ac:dyDescent="0.25">
      <c r="D155" s="95">
        <v>151</v>
      </c>
      <c r="E155" s="10">
        <v>427</v>
      </c>
      <c r="F155" s="10">
        <v>3</v>
      </c>
      <c r="G155" s="10">
        <v>1</v>
      </c>
      <c r="H155" s="5" t="str">
        <f t="shared" si="6"/>
        <v>det_427</v>
      </c>
      <c r="I155" s="5" t="str">
        <f t="shared" si="7"/>
        <v>W:\Performance Measurement\1. Freeway\1. raw data\2014\data files\det_427.txt</v>
      </c>
      <c r="J155" s="5" t="str">
        <f t="shared" si="8"/>
        <v>W:\Performance Measurement\1. Freeway\1. raw data\2014\data files\det_427.xlsx</v>
      </c>
      <c r="K155" s="5"/>
      <c r="M155" s="108" t="s">
        <v>67</v>
      </c>
      <c r="N155" s="10">
        <v>427</v>
      </c>
      <c r="O155" s="10">
        <v>3</v>
      </c>
      <c r="P155" s="10">
        <v>1</v>
      </c>
    </row>
    <row r="156" spans="4:16" x14ac:dyDescent="0.25">
      <c r="D156" s="95">
        <v>152</v>
      </c>
      <c r="E156" s="10">
        <v>428</v>
      </c>
      <c r="F156" s="10">
        <v>4</v>
      </c>
      <c r="G156" s="10">
        <v>1</v>
      </c>
      <c r="H156" s="5" t="str">
        <f t="shared" si="6"/>
        <v>det_428</v>
      </c>
      <c r="I156" s="5" t="str">
        <f t="shared" si="7"/>
        <v>W:\Performance Measurement\1. Freeway\1. raw data\2014\data files\det_428.txt</v>
      </c>
      <c r="J156" s="5" t="str">
        <f t="shared" si="8"/>
        <v>W:\Performance Measurement\1. Freeway\1. raw data\2014\data files\det_428.xlsx</v>
      </c>
      <c r="K156" s="5"/>
      <c r="M156" s="108" t="s">
        <v>67</v>
      </c>
      <c r="N156" s="10">
        <v>428</v>
      </c>
      <c r="O156" s="10">
        <v>4</v>
      </c>
      <c r="P156" s="10">
        <v>1</v>
      </c>
    </row>
    <row r="157" spans="4:16" x14ac:dyDescent="0.25">
      <c r="D157" s="95">
        <v>153</v>
      </c>
      <c r="E157" s="10">
        <v>432</v>
      </c>
      <c r="F157" s="10">
        <v>4</v>
      </c>
      <c r="G157" s="10">
        <v>1</v>
      </c>
      <c r="H157" s="5" t="str">
        <f t="shared" si="6"/>
        <v>det_432</v>
      </c>
      <c r="I157" s="5" t="str">
        <f t="shared" si="7"/>
        <v>W:\Performance Measurement\1. Freeway\1. raw data\2014\data files\det_432.txt</v>
      </c>
      <c r="J157" s="5" t="str">
        <f t="shared" si="8"/>
        <v>W:\Performance Measurement\1. Freeway\1. raw data\2014\data files\det_432.xlsx</v>
      </c>
      <c r="K157" s="5"/>
      <c r="M157" s="108" t="s">
        <v>67</v>
      </c>
      <c r="N157" s="10">
        <v>432</v>
      </c>
      <c r="O157" s="10">
        <v>4</v>
      </c>
      <c r="P157" s="10">
        <v>1</v>
      </c>
    </row>
    <row r="158" spans="4:16" x14ac:dyDescent="0.25">
      <c r="D158" s="95">
        <v>154</v>
      </c>
      <c r="E158" s="10">
        <v>435</v>
      </c>
      <c r="F158" s="10">
        <v>4</v>
      </c>
      <c r="G158" s="10">
        <v>1</v>
      </c>
      <c r="H158" s="5" t="str">
        <f t="shared" si="6"/>
        <v>det_435</v>
      </c>
      <c r="I158" s="5" t="str">
        <f t="shared" si="7"/>
        <v>W:\Performance Measurement\1. Freeway\1. raw data\2014\data files\det_435.txt</v>
      </c>
      <c r="J158" s="5" t="str">
        <f t="shared" si="8"/>
        <v>W:\Performance Measurement\1. Freeway\1. raw data\2014\data files\det_435.xlsx</v>
      </c>
      <c r="K158" s="5"/>
      <c r="M158" s="108" t="s">
        <v>67</v>
      </c>
      <c r="N158" s="10">
        <v>435</v>
      </c>
      <c r="O158" s="10">
        <v>4</v>
      </c>
      <c r="P158" s="10">
        <v>1</v>
      </c>
    </row>
    <row r="159" spans="4:16" x14ac:dyDescent="0.25">
      <c r="D159" s="95">
        <v>155</v>
      </c>
      <c r="E159" s="10">
        <v>438</v>
      </c>
      <c r="F159" s="10">
        <v>3</v>
      </c>
      <c r="G159" s="10">
        <v>1</v>
      </c>
      <c r="H159" s="5" t="str">
        <f t="shared" si="6"/>
        <v>det_438</v>
      </c>
      <c r="I159" s="5" t="str">
        <f t="shared" si="7"/>
        <v>W:\Performance Measurement\1. Freeway\1. raw data\2014\data files\det_438.txt</v>
      </c>
      <c r="J159" s="5" t="str">
        <f t="shared" si="8"/>
        <v>W:\Performance Measurement\1. Freeway\1. raw data\2014\data files\det_438.xlsx</v>
      </c>
      <c r="K159" s="5"/>
      <c r="M159" s="108" t="s">
        <v>67</v>
      </c>
      <c r="N159" s="10">
        <v>438</v>
      </c>
      <c r="O159" s="10">
        <v>3</v>
      </c>
      <c r="P159" s="10">
        <v>1</v>
      </c>
    </row>
    <row r="160" spans="4:16" x14ac:dyDescent="0.25">
      <c r="D160" s="95">
        <v>156</v>
      </c>
      <c r="E160" s="10">
        <v>439</v>
      </c>
      <c r="F160" s="10">
        <v>4</v>
      </c>
      <c r="G160" s="10">
        <v>1</v>
      </c>
      <c r="H160" s="5" t="str">
        <f t="shared" si="6"/>
        <v>det_439</v>
      </c>
      <c r="I160" s="5" t="str">
        <f t="shared" si="7"/>
        <v>W:\Performance Measurement\1. Freeway\1. raw data\2014\data files\det_439.txt</v>
      </c>
      <c r="J160" s="5" t="str">
        <f t="shared" si="8"/>
        <v>W:\Performance Measurement\1. Freeway\1. raw data\2014\data files\det_439.xlsx</v>
      </c>
      <c r="K160" s="5"/>
      <c r="M160" s="108" t="s">
        <v>67</v>
      </c>
      <c r="N160" s="10">
        <v>439</v>
      </c>
      <c r="O160" s="10">
        <v>4</v>
      </c>
      <c r="P160" s="10">
        <v>1</v>
      </c>
    </row>
    <row r="161" spans="4:16" x14ac:dyDescent="0.25">
      <c r="D161" s="95">
        <v>157</v>
      </c>
      <c r="E161" s="10">
        <v>494</v>
      </c>
      <c r="F161" s="10">
        <v>4</v>
      </c>
      <c r="G161" s="10">
        <v>1</v>
      </c>
      <c r="H161" s="5" t="str">
        <f t="shared" si="6"/>
        <v>det_494</v>
      </c>
      <c r="I161" s="5" t="str">
        <f t="shared" si="7"/>
        <v>W:\Performance Measurement\1. Freeway\1. raw data\2014\data files\det_494.txt</v>
      </c>
      <c r="J161" s="5" t="str">
        <f t="shared" si="8"/>
        <v>W:\Performance Measurement\1. Freeway\1. raw data\2014\data files\det_494.xlsx</v>
      </c>
      <c r="K161" s="5"/>
      <c r="M161" s="108" t="s">
        <v>67</v>
      </c>
      <c r="N161" s="10">
        <v>494</v>
      </c>
      <c r="O161" s="10">
        <v>4</v>
      </c>
      <c r="P161" s="10">
        <v>1</v>
      </c>
    </row>
    <row r="162" spans="4:16" x14ac:dyDescent="0.25">
      <c r="D162" s="95">
        <v>158</v>
      </c>
      <c r="E162" s="10">
        <v>497</v>
      </c>
      <c r="F162" s="10">
        <v>3</v>
      </c>
      <c r="G162" s="10">
        <v>1</v>
      </c>
      <c r="H162" s="5" t="str">
        <f t="shared" si="6"/>
        <v>det_497</v>
      </c>
      <c r="I162" s="5" t="str">
        <f t="shared" si="7"/>
        <v>W:\Performance Measurement\1. Freeway\1. raw data\2014\data files\det_497.txt</v>
      </c>
      <c r="J162" s="5" t="str">
        <f t="shared" si="8"/>
        <v>W:\Performance Measurement\1. Freeway\1. raw data\2014\data files\det_497.xlsx</v>
      </c>
      <c r="K162" s="5"/>
      <c r="M162" s="108" t="s">
        <v>67</v>
      </c>
      <c r="N162" s="10">
        <v>497</v>
      </c>
      <c r="O162" s="10">
        <v>3</v>
      </c>
      <c r="P162" s="10">
        <v>1</v>
      </c>
    </row>
    <row r="163" spans="4:16" x14ac:dyDescent="0.25">
      <c r="D163" s="95">
        <v>159</v>
      </c>
      <c r="E163" s="10">
        <v>500</v>
      </c>
      <c r="F163" s="10">
        <v>3</v>
      </c>
      <c r="G163" s="10">
        <v>1</v>
      </c>
      <c r="H163" s="5" t="str">
        <f t="shared" si="6"/>
        <v>det_500</v>
      </c>
      <c r="I163" s="5" t="str">
        <f t="shared" si="7"/>
        <v>W:\Performance Measurement\1. Freeway\1. raw data\2014\data files\det_500.txt</v>
      </c>
      <c r="J163" s="5" t="str">
        <f t="shared" si="8"/>
        <v>W:\Performance Measurement\1. Freeway\1. raw data\2014\data files\det_500.xlsx</v>
      </c>
      <c r="K163" s="5"/>
      <c r="M163" s="108" t="s">
        <v>67</v>
      </c>
      <c r="N163" s="10">
        <v>500</v>
      </c>
      <c r="O163" s="10">
        <v>3</v>
      </c>
      <c r="P163" s="10">
        <v>1</v>
      </c>
    </row>
    <row r="164" spans="4:16" x14ac:dyDescent="0.25">
      <c r="D164" s="95">
        <v>160</v>
      </c>
      <c r="E164" s="10">
        <v>502</v>
      </c>
      <c r="F164" s="10">
        <v>3</v>
      </c>
      <c r="G164" s="10">
        <v>1</v>
      </c>
      <c r="H164" s="5" t="str">
        <f t="shared" si="6"/>
        <v>det_502</v>
      </c>
      <c r="I164" s="5" t="str">
        <f t="shared" si="7"/>
        <v>W:\Performance Measurement\1. Freeway\1. raw data\2014\data files\det_502.txt</v>
      </c>
      <c r="J164" s="5" t="str">
        <f t="shared" si="8"/>
        <v>W:\Performance Measurement\1. Freeway\1. raw data\2014\data files\det_502.xlsx</v>
      </c>
      <c r="K164" s="5"/>
      <c r="M164" s="108" t="s">
        <v>67</v>
      </c>
      <c r="N164" s="10">
        <v>502</v>
      </c>
      <c r="O164" s="10">
        <v>3</v>
      </c>
      <c r="P164" s="10">
        <v>1</v>
      </c>
    </row>
    <row r="165" spans="4:16" x14ac:dyDescent="0.25">
      <c r="D165" s="95">
        <v>161</v>
      </c>
      <c r="E165" s="10">
        <v>504</v>
      </c>
      <c r="F165" s="10">
        <v>3</v>
      </c>
      <c r="G165" s="10">
        <v>0</v>
      </c>
      <c r="H165" s="5" t="str">
        <f t="shared" si="6"/>
        <v>det_504</v>
      </c>
      <c r="I165" s="5" t="str">
        <f t="shared" si="7"/>
        <v>W:\Performance Measurement\1. Freeway\1. raw data\2014\data files\det_504.txt</v>
      </c>
      <c r="J165" s="5" t="str">
        <f t="shared" si="8"/>
        <v>W:\Performance Measurement\1. Freeway\1. raw data\2014\data files\det_504.xlsx</v>
      </c>
      <c r="K165" s="5"/>
      <c r="M165" s="108" t="s">
        <v>67</v>
      </c>
      <c r="N165" s="10">
        <v>504</v>
      </c>
      <c r="O165" s="10">
        <v>3</v>
      </c>
      <c r="P165" s="10">
        <v>0</v>
      </c>
    </row>
    <row r="166" spans="4:16" x14ac:dyDescent="0.25">
      <c r="D166" s="95">
        <v>162</v>
      </c>
      <c r="E166" s="10">
        <v>441</v>
      </c>
      <c r="F166" s="10">
        <v>3</v>
      </c>
      <c r="G166" s="10">
        <v>1</v>
      </c>
      <c r="H166" s="5" t="str">
        <f t="shared" si="6"/>
        <v>det_441</v>
      </c>
      <c r="I166" s="5" t="str">
        <f t="shared" si="7"/>
        <v>W:\Performance Measurement\1. Freeway\1. raw data\2014\data files\det_441.txt</v>
      </c>
      <c r="J166" s="5" t="str">
        <f t="shared" si="8"/>
        <v>W:\Performance Measurement\1. Freeway\1. raw data\2014\data files\det_441.xlsx</v>
      </c>
      <c r="K166" s="5"/>
      <c r="M166" s="108" t="s">
        <v>68</v>
      </c>
      <c r="N166" s="10">
        <v>441</v>
      </c>
      <c r="O166" s="10">
        <v>3</v>
      </c>
      <c r="P166" s="10">
        <v>1</v>
      </c>
    </row>
    <row r="167" spans="4:16" x14ac:dyDescent="0.25">
      <c r="D167" s="95">
        <v>163</v>
      </c>
      <c r="E167" s="10">
        <v>444</v>
      </c>
      <c r="F167" s="10">
        <v>5</v>
      </c>
      <c r="G167" s="10">
        <v>1</v>
      </c>
      <c r="H167" s="5" t="str">
        <f t="shared" si="6"/>
        <v>det_444</v>
      </c>
      <c r="I167" s="5" t="str">
        <f t="shared" si="7"/>
        <v>W:\Performance Measurement\1. Freeway\1. raw data\2014\data files\det_444.txt</v>
      </c>
      <c r="J167" s="5" t="str">
        <f t="shared" si="8"/>
        <v>W:\Performance Measurement\1. Freeway\1. raw data\2014\data files\det_444.xlsx</v>
      </c>
      <c r="K167" s="5"/>
      <c r="M167" s="108" t="s">
        <v>68</v>
      </c>
      <c r="N167" s="10">
        <v>444</v>
      </c>
      <c r="O167" s="10">
        <v>5</v>
      </c>
      <c r="P167" s="10">
        <v>1</v>
      </c>
    </row>
    <row r="168" spans="4:16" x14ac:dyDescent="0.25">
      <c r="D168" s="95">
        <v>164</v>
      </c>
      <c r="E168" s="10">
        <v>447</v>
      </c>
      <c r="F168" s="10">
        <v>5</v>
      </c>
      <c r="G168" s="10">
        <v>1</v>
      </c>
      <c r="H168" s="5" t="str">
        <f t="shared" si="6"/>
        <v>det_447</v>
      </c>
      <c r="I168" s="5" t="str">
        <f t="shared" si="7"/>
        <v>W:\Performance Measurement\1. Freeway\1. raw data\2014\data files\det_447.txt</v>
      </c>
      <c r="J168" s="5" t="str">
        <f t="shared" si="8"/>
        <v>W:\Performance Measurement\1. Freeway\1. raw data\2014\data files\det_447.xlsx</v>
      </c>
      <c r="K168" s="5"/>
      <c r="M168" s="108" t="s">
        <v>68</v>
      </c>
      <c r="N168" s="10">
        <v>447</v>
      </c>
      <c r="O168" s="10">
        <v>5</v>
      </c>
      <c r="P168" s="10">
        <v>1</v>
      </c>
    </row>
    <row r="169" spans="4:16" x14ac:dyDescent="0.25">
      <c r="D169" s="95">
        <v>165</v>
      </c>
      <c r="E169" s="10">
        <v>450</v>
      </c>
      <c r="F169" s="10">
        <v>5</v>
      </c>
      <c r="G169" s="10">
        <v>1</v>
      </c>
      <c r="H169" s="5" t="str">
        <f t="shared" si="6"/>
        <v>det_450</v>
      </c>
      <c r="I169" s="5" t="str">
        <f t="shared" si="7"/>
        <v>W:\Performance Measurement\1. Freeway\1. raw data\2014\data files\det_450.txt</v>
      </c>
      <c r="J169" s="5" t="str">
        <f t="shared" si="8"/>
        <v>W:\Performance Measurement\1. Freeway\1. raw data\2014\data files\det_450.xlsx</v>
      </c>
      <c r="K169" s="5"/>
      <c r="M169" s="108" t="s">
        <v>68</v>
      </c>
      <c r="N169" s="10">
        <v>450</v>
      </c>
      <c r="O169" s="10">
        <v>5</v>
      </c>
      <c r="P169" s="10">
        <v>1</v>
      </c>
    </row>
    <row r="170" spans="4:16" x14ac:dyDescent="0.25">
      <c r="D170" s="95">
        <v>166</v>
      </c>
      <c r="E170" s="10">
        <v>453</v>
      </c>
      <c r="F170" s="10">
        <v>5</v>
      </c>
      <c r="G170" s="10">
        <v>1</v>
      </c>
      <c r="H170" s="5" t="str">
        <f t="shared" si="6"/>
        <v>det_453</v>
      </c>
      <c r="I170" s="5" t="str">
        <f t="shared" si="7"/>
        <v>W:\Performance Measurement\1. Freeway\1. raw data\2014\data files\det_453.txt</v>
      </c>
      <c r="J170" s="5" t="str">
        <f t="shared" si="8"/>
        <v>W:\Performance Measurement\1. Freeway\1. raw data\2014\data files\det_453.xlsx</v>
      </c>
      <c r="K170" s="5"/>
      <c r="M170" s="108" t="s">
        <v>68</v>
      </c>
      <c r="N170" s="10">
        <v>453</v>
      </c>
      <c r="O170" s="10">
        <v>5</v>
      </c>
      <c r="P170" s="10">
        <v>1</v>
      </c>
    </row>
    <row r="171" spans="4:16" x14ac:dyDescent="0.25">
      <c r="D171" s="95">
        <v>167</v>
      </c>
      <c r="E171" s="10">
        <v>456</v>
      </c>
      <c r="F171" s="10">
        <v>5</v>
      </c>
      <c r="G171" s="10">
        <v>1</v>
      </c>
      <c r="H171" s="5" t="str">
        <f t="shared" si="6"/>
        <v>det_456</v>
      </c>
      <c r="I171" s="5" t="str">
        <f t="shared" si="7"/>
        <v>W:\Performance Measurement\1. Freeway\1. raw data\2014\data files\det_456.txt</v>
      </c>
      <c r="J171" s="5" t="str">
        <f t="shared" si="8"/>
        <v>W:\Performance Measurement\1. Freeway\1. raw data\2014\data files\det_456.xlsx</v>
      </c>
      <c r="K171" s="5"/>
      <c r="M171" s="108" t="s">
        <v>68</v>
      </c>
      <c r="N171" s="10">
        <v>456</v>
      </c>
      <c r="O171" s="10">
        <v>5</v>
      </c>
      <c r="P171" s="10">
        <v>1</v>
      </c>
    </row>
    <row r="172" spans="4:16" x14ac:dyDescent="0.25">
      <c r="D172" s="95">
        <v>168</v>
      </c>
      <c r="E172" s="10">
        <v>459</v>
      </c>
      <c r="F172" s="10">
        <v>5</v>
      </c>
      <c r="G172" s="10">
        <v>1</v>
      </c>
      <c r="H172" s="5" t="str">
        <f t="shared" si="6"/>
        <v>det_459</v>
      </c>
      <c r="I172" s="5" t="str">
        <f t="shared" si="7"/>
        <v>W:\Performance Measurement\1. Freeway\1. raw data\2014\data files\det_459.txt</v>
      </c>
      <c r="J172" s="5" t="str">
        <f t="shared" si="8"/>
        <v>W:\Performance Measurement\1. Freeway\1. raw data\2014\data files\det_459.xlsx</v>
      </c>
      <c r="K172" s="5"/>
      <c r="M172" s="108" t="s">
        <v>68</v>
      </c>
      <c r="N172" s="10">
        <v>459</v>
      </c>
      <c r="O172" s="10">
        <v>5</v>
      </c>
      <c r="P172" s="10">
        <v>1</v>
      </c>
    </row>
    <row r="173" spans="4:16" x14ac:dyDescent="0.25">
      <c r="D173" s="95">
        <v>169</v>
      </c>
      <c r="E173" s="10">
        <v>462</v>
      </c>
      <c r="F173" s="10">
        <v>5</v>
      </c>
      <c r="G173" s="10">
        <v>1</v>
      </c>
      <c r="H173" s="5" t="str">
        <f t="shared" si="6"/>
        <v>det_462</v>
      </c>
      <c r="I173" s="5" t="str">
        <f t="shared" si="7"/>
        <v>W:\Performance Measurement\1. Freeway\1. raw data\2014\data files\det_462.txt</v>
      </c>
      <c r="J173" s="5" t="str">
        <f t="shared" si="8"/>
        <v>W:\Performance Measurement\1. Freeway\1. raw data\2014\data files\det_462.xlsx</v>
      </c>
      <c r="K173" s="5"/>
      <c r="M173" s="108" t="s">
        <v>68</v>
      </c>
      <c r="N173" s="10">
        <v>462</v>
      </c>
      <c r="O173" s="10">
        <v>5</v>
      </c>
      <c r="P173" s="10">
        <v>1</v>
      </c>
    </row>
    <row r="174" spans="4:16" x14ac:dyDescent="0.25">
      <c r="D174" s="95">
        <v>170</v>
      </c>
      <c r="E174" s="10">
        <v>467</v>
      </c>
      <c r="F174" s="10">
        <v>5</v>
      </c>
      <c r="G174" s="10">
        <v>1</v>
      </c>
      <c r="H174" s="5" t="str">
        <f t="shared" si="6"/>
        <v>det_467</v>
      </c>
      <c r="I174" s="5" t="str">
        <f t="shared" si="7"/>
        <v>W:\Performance Measurement\1. Freeway\1. raw data\2014\data files\det_467.txt</v>
      </c>
      <c r="J174" s="5" t="str">
        <f t="shared" si="8"/>
        <v>W:\Performance Measurement\1. Freeway\1. raw data\2014\data files\det_467.xlsx</v>
      </c>
      <c r="K174" s="5"/>
      <c r="M174" s="108" t="s">
        <v>68</v>
      </c>
      <c r="N174" s="10">
        <v>467</v>
      </c>
      <c r="O174" s="10">
        <v>5</v>
      </c>
      <c r="P174" s="10">
        <v>1</v>
      </c>
    </row>
    <row r="175" spans="4:16" x14ac:dyDescent="0.25">
      <c r="D175" s="95">
        <v>171</v>
      </c>
      <c r="E175" s="10">
        <v>470</v>
      </c>
      <c r="F175" s="10">
        <v>5</v>
      </c>
      <c r="G175" s="10">
        <v>1</v>
      </c>
      <c r="H175" s="5" t="str">
        <f t="shared" si="6"/>
        <v>det_470</v>
      </c>
      <c r="I175" s="5" t="str">
        <f t="shared" si="7"/>
        <v>W:\Performance Measurement\1. Freeway\1. raw data\2014\data files\det_470.txt</v>
      </c>
      <c r="J175" s="5" t="str">
        <f t="shared" si="8"/>
        <v>W:\Performance Measurement\1. Freeway\1. raw data\2014\data files\det_470.xlsx</v>
      </c>
      <c r="K175" s="5"/>
      <c r="M175" s="108" t="s">
        <v>68</v>
      </c>
      <c r="N175" s="10">
        <v>470</v>
      </c>
      <c r="O175" s="10">
        <v>5</v>
      </c>
      <c r="P175" s="10">
        <v>1</v>
      </c>
    </row>
    <row r="176" spans="4:16" x14ac:dyDescent="0.25">
      <c r="D176" s="95">
        <v>172</v>
      </c>
      <c r="E176" s="10">
        <v>473</v>
      </c>
      <c r="F176" s="10">
        <v>5</v>
      </c>
      <c r="G176" s="10">
        <v>1</v>
      </c>
      <c r="H176" s="5" t="str">
        <f t="shared" si="6"/>
        <v>det_473</v>
      </c>
      <c r="I176" s="5" t="str">
        <f t="shared" si="7"/>
        <v>W:\Performance Measurement\1. Freeway\1. raw data\2014\data files\det_473.txt</v>
      </c>
      <c r="J176" s="5" t="str">
        <f t="shared" si="8"/>
        <v>W:\Performance Measurement\1. Freeway\1. raw data\2014\data files\det_473.xlsx</v>
      </c>
      <c r="K176" s="5"/>
      <c r="M176" s="108" t="s">
        <v>68</v>
      </c>
      <c r="N176" s="10">
        <v>473</v>
      </c>
      <c r="O176" s="10">
        <v>5</v>
      </c>
      <c r="P176" s="10">
        <v>1</v>
      </c>
    </row>
    <row r="177" spans="4:16" x14ac:dyDescent="0.25">
      <c r="D177" s="95">
        <v>173</v>
      </c>
      <c r="E177" s="10">
        <v>476</v>
      </c>
      <c r="F177" s="10">
        <v>5</v>
      </c>
      <c r="G177" s="10">
        <v>1</v>
      </c>
      <c r="H177" s="5" t="str">
        <f t="shared" si="6"/>
        <v>det_476</v>
      </c>
      <c r="I177" s="5" t="str">
        <f t="shared" si="7"/>
        <v>W:\Performance Measurement\1. Freeway\1. raw data\2014\data files\det_476.txt</v>
      </c>
      <c r="J177" s="5" t="str">
        <f t="shared" si="8"/>
        <v>W:\Performance Measurement\1. Freeway\1. raw data\2014\data files\det_476.xlsx</v>
      </c>
      <c r="K177" s="5"/>
      <c r="M177" s="108" t="s">
        <v>68</v>
      </c>
      <c r="N177" s="10">
        <v>476</v>
      </c>
      <c r="O177" s="10">
        <v>5</v>
      </c>
      <c r="P177" s="10">
        <v>1</v>
      </c>
    </row>
    <row r="178" spans="4:16" x14ac:dyDescent="0.25">
      <c r="D178" s="95">
        <v>174</v>
      </c>
      <c r="E178" s="10">
        <v>479</v>
      </c>
      <c r="F178" s="10">
        <v>5</v>
      </c>
      <c r="G178" s="10">
        <v>1</v>
      </c>
      <c r="H178" s="5" t="str">
        <f t="shared" si="6"/>
        <v>det_479</v>
      </c>
      <c r="I178" s="5" t="str">
        <f t="shared" si="7"/>
        <v>W:\Performance Measurement\1. Freeway\1. raw data\2014\data files\det_479.txt</v>
      </c>
      <c r="J178" s="5" t="str">
        <f t="shared" si="8"/>
        <v>W:\Performance Measurement\1. Freeway\1. raw data\2014\data files\det_479.xlsx</v>
      </c>
      <c r="K178" s="5"/>
      <c r="M178" s="108" t="s">
        <v>68</v>
      </c>
      <c r="N178" s="10">
        <v>479</v>
      </c>
      <c r="O178" s="10">
        <v>5</v>
      </c>
      <c r="P178" s="10">
        <v>1</v>
      </c>
    </row>
    <row r="179" spans="4:16" x14ac:dyDescent="0.25">
      <c r="D179" s="95">
        <v>175</v>
      </c>
      <c r="E179" s="10">
        <v>482</v>
      </c>
      <c r="F179" s="10">
        <v>5</v>
      </c>
      <c r="G179" s="10">
        <v>1</v>
      </c>
      <c r="H179" s="5" t="str">
        <f t="shared" si="6"/>
        <v>det_482</v>
      </c>
      <c r="I179" s="5" t="str">
        <f t="shared" si="7"/>
        <v>W:\Performance Measurement\1. Freeway\1. raw data\2014\data files\det_482.txt</v>
      </c>
      <c r="J179" s="5" t="str">
        <f t="shared" si="8"/>
        <v>W:\Performance Measurement\1. Freeway\1. raw data\2014\data files\det_482.xlsx</v>
      </c>
      <c r="K179" s="5"/>
      <c r="M179" s="108" t="s">
        <v>68</v>
      </c>
      <c r="N179" s="10">
        <v>482</v>
      </c>
      <c r="O179" s="10">
        <v>5</v>
      </c>
      <c r="P179" s="10">
        <v>1</v>
      </c>
    </row>
    <row r="180" spans="4:16" x14ac:dyDescent="0.25">
      <c r="D180" s="95">
        <v>176</v>
      </c>
      <c r="E180" s="10">
        <v>485</v>
      </c>
      <c r="F180" s="10">
        <v>5</v>
      </c>
      <c r="G180" s="10">
        <v>1</v>
      </c>
      <c r="H180" s="5" t="str">
        <f t="shared" si="6"/>
        <v>det_485</v>
      </c>
      <c r="I180" s="5" t="str">
        <f t="shared" si="7"/>
        <v>W:\Performance Measurement\1. Freeway\1. raw data\2014\data files\det_485.txt</v>
      </c>
      <c r="J180" s="5" t="str">
        <f t="shared" si="8"/>
        <v>W:\Performance Measurement\1. Freeway\1. raw data\2014\data files\det_485.xlsx</v>
      </c>
      <c r="K180" s="5"/>
      <c r="M180" s="108" t="s">
        <v>68</v>
      </c>
      <c r="N180" s="10">
        <v>485</v>
      </c>
      <c r="O180" s="10">
        <v>5</v>
      </c>
      <c r="P180" s="10">
        <v>1</v>
      </c>
    </row>
    <row r="181" spans="4:16" x14ac:dyDescent="0.25">
      <c r="D181" s="95">
        <v>177</v>
      </c>
      <c r="E181" s="10">
        <v>488</v>
      </c>
      <c r="F181" s="10">
        <v>3</v>
      </c>
      <c r="G181" s="10">
        <v>1</v>
      </c>
      <c r="H181" s="5" t="str">
        <f t="shared" si="6"/>
        <v>det_488</v>
      </c>
      <c r="I181" s="5" t="str">
        <f t="shared" si="7"/>
        <v>W:\Performance Measurement\1. Freeway\1. raw data\2014\data files\det_488.txt</v>
      </c>
      <c r="J181" s="5" t="str">
        <f t="shared" si="8"/>
        <v>W:\Performance Measurement\1. Freeway\1. raw data\2014\data files\det_488.xlsx</v>
      </c>
      <c r="K181" s="5"/>
      <c r="M181" s="108" t="s">
        <v>68</v>
      </c>
      <c r="N181" s="10">
        <v>488</v>
      </c>
      <c r="O181" s="10">
        <v>3</v>
      </c>
      <c r="P181" s="10">
        <v>1</v>
      </c>
    </row>
    <row r="182" spans="4:16" x14ac:dyDescent="0.25">
      <c r="D182" s="95">
        <v>178</v>
      </c>
      <c r="E182" s="10">
        <v>490</v>
      </c>
      <c r="F182" s="10">
        <v>3</v>
      </c>
      <c r="G182" s="10">
        <v>1</v>
      </c>
      <c r="H182" s="5" t="str">
        <f t="shared" si="6"/>
        <v>det_490</v>
      </c>
      <c r="I182" s="5" t="str">
        <f t="shared" si="7"/>
        <v>W:\Performance Measurement\1. Freeway\1. raw data\2014\data files\det_490.txt</v>
      </c>
      <c r="J182" s="5" t="str">
        <f t="shared" si="8"/>
        <v>W:\Performance Measurement\1. Freeway\1. raw data\2014\data files\det_490.xlsx</v>
      </c>
      <c r="K182" s="5"/>
      <c r="M182" s="108" t="s">
        <v>68</v>
      </c>
      <c r="N182" s="10">
        <v>490</v>
      </c>
      <c r="O182" s="10">
        <v>3</v>
      </c>
      <c r="P182" s="10">
        <v>1</v>
      </c>
    </row>
    <row r="183" spans="4:16" x14ac:dyDescent="0.25">
      <c r="D183" s="95">
        <v>179</v>
      </c>
      <c r="E183" s="10">
        <v>465</v>
      </c>
      <c r="F183" s="10">
        <v>5</v>
      </c>
      <c r="G183" s="10">
        <v>1</v>
      </c>
      <c r="H183" s="5" t="str">
        <f t="shared" si="6"/>
        <v>det_465</v>
      </c>
      <c r="I183" s="5" t="str">
        <f t="shared" si="7"/>
        <v>W:\Performance Measurement\1. Freeway\1. raw data\2014\data files\det_465.txt</v>
      </c>
      <c r="J183" s="5" t="str">
        <f t="shared" si="8"/>
        <v>W:\Performance Measurement\1. Freeway\1. raw data\2014\data files\det_465.xlsx</v>
      </c>
      <c r="K183" s="5"/>
      <c r="M183" s="108" t="s">
        <v>69</v>
      </c>
      <c r="N183" s="10">
        <v>465</v>
      </c>
      <c r="O183" s="10">
        <v>5</v>
      </c>
      <c r="P183" s="10">
        <v>1</v>
      </c>
    </row>
    <row r="184" spans="4:16" x14ac:dyDescent="0.25">
      <c r="D184" s="95">
        <v>180</v>
      </c>
      <c r="E184" s="10">
        <v>520</v>
      </c>
      <c r="F184" s="10">
        <v>5</v>
      </c>
      <c r="G184" s="10">
        <v>1</v>
      </c>
      <c r="H184" s="5" t="str">
        <f t="shared" si="6"/>
        <v>det_520</v>
      </c>
      <c r="I184" s="5" t="str">
        <f t="shared" si="7"/>
        <v>W:\Performance Measurement\1. Freeway\1. raw data\2014\data files\det_520.txt</v>
      </c>
      <c r="J184" s="5" t="str">
        <f t="shared" si="8"/>
        <v>W:\Performance Measurement\1. Freeway\1. raw data\2014\data files\det_520.xlsx</v>
      </c>
      <c r="K184" s="5"/>
      <c r="M184" s="108" t="s">
        <v>69</v>
      </c>
      <c r="N184" s="10">
        <v>520</v>
      </c>
      <c r="O184" s="10">
        <v>5</v>
      </c>
      <c r="P184" s="10">
        <v>1</v>
      </c>
    </row>
    <row r="185" spans="4:16" x14ac:dyDescent="0.25">
      <c r="D185" s="95">
        <v>181</v>
      </c>
      <c r="E185" s="10">
        <v>521</v>
      </c>
      <c r="F185" s="10">
        <v>5</v>
      </c>
      <c r="G185" s="10">
        <v>1</v>
      </c>
      <c r="H185" s="5" t="str">
        <f t="shared" si="6"/>
        <v>det_521</v>
      </c>
      <c r="I185" s="5" t="str">
        <f t="shared" si="7"/>
        <v>W:\Performance Measurement\1. Freeway\1. raw data\2014\data files\det_521.txt</v>
      </c>
      <c r="J185" s="5" t="str">
        <f t="shared" si="8"/>
        <v>W:\Performance Measurement\1. Freeway\1. raw data\2014\data files\det_521.xlsx</v>
      </c>
      <c r="K185" s="5"/>
      <c r="M185" s="108" t="s">
        <v>69</v>
      </c>
      <c r="N185" s="10">
        <v>521</v>
      </c>
      <c r="O185" s="10">
        <v>5</v>
      </c>
      <c r="P185" s="10">
        <v>1</v>
      </c>
    </row>
    <row r="186" spans="4:16" x14ac:dyDescent="0.25">
      <c r="D186" s="95">
        <v>182</v>
      </c>
      <c r="E186" s="10">
        <v>522</v>
      </c>
      <c r="F186" s="10">
        <v>5</v>
      </c>
      <c r="G186" s="10">
        <v>1</v>
      </c>
      <c r="H186" s="5" t="str">
        <f t="shared" si="6"/>
        <v>det_522</v>
      </c>
      <c r="I186" s="5" t="str">
        <f t="shared" si="7"/>
        <v>W:\Performance Measurement\1. Freeway\1. raw data\2014\data files\det_522.txt</v>
      </c>
      <c r="J186" s="5" t="str">
        <f t="shared" si="8"/>
        <v>W:\Performance Measurement\1. Freeway\1. raw data\2014\data files\det_522.xlsx</v>
      </c>
      <c r="K186" s="5"/>
      <c r="M186" s="108" t="s">
        <v>69</v>
      </c>
      <c r="N186" s="10">
        <v>522</v>
      </c>
      <c r="O186" s="10">
        <v>5</v>
      </c>
      <c r="P186" s="10">
        <v>1</v>
      </c>
    </row>
    <row r="187" spans="4:16" x14ac:dyDescent="0.25">
      <c r="D187" s="95">
        <v>183</v>
      </c>
      <c r="E187" s="10">
        <v>523</v>
      </c>
      <c r="F187" s="10">
        <v>5</v>
      </c>
      <c r="G187" s="10">
        <v>1</v>
      </c>
      <c r="H187" s="5" t="str">
        <f t="shared" si="6"/>
        <v>det_523</v>
      </c>
      <c r="I187" s="5" t="str">
        <f t="shared" si="7"/>
        <v>W:\Performance Measurement\1. Freeway\1. raw data\2014\data files\det_523.txt</v>
      </c>
      <c r="J187" s="5" t="str">
        <f t="shared" si="8"/>
        <v>W:\Performance Measurement\1. Freeway\1. raw data\2014\data files\det_523.xlsx</v>
      </c>
      <c r="K187" s="5"/>
      <c r="M187" s="108" t="s">
        <v>69</v>
      </c>
      <c r="N187" s="10">
        <v>523</v>
      </c>
      <c r="O187" s="10">
        <v>5</v>
      </c>
      <c r="P187" s="10">
        <v>1</v>
      </c>
    </row>
    <row r="188" spans="4:16" x14ac:dyDescent="0.25">
      <c r="D188" s="95">
        <v>184</v>
      </c>
      <c r="E188" s="10">
        <v>524</v>
      </c>
      <c r="F188" s="10">
        <v>5</v>
      </c>
      <c r="G188" s="10">
        <v>1</v>
      </c>
      <c r="H188" s="5" t="str">
        <f t="shared" si="6"/>
        <v>det_524</v>
      </c>
      <c r="I188" s="5" t="str">
        <f t="shared" si="7"/>
        <v>W:\Performance Measurement\1. Freeway\1. raw data\2014\data files\det_524.txt</v>
      </c>
      <c r="J188" s="5" t="str">
        <f t="shared" si="8"/>
        <v>W:\Performance Measurement\1. Freeway\1. raw data\2014\data files\det_524.xlsx</v>
      </c>
      <c r="K188" s="5"/>
      <c r="M188" s="108" t="s">
        <v>69</v>
      </c>
      <c r="N188" s="10">
        <v>524</v>
      </c>
      <c r="O188" s="10">
        <v>5</v>
      </c>
      <c r="P188" s="10">
        <v>1</v>
      </c>
    </row>
    <row r="189" spans="4:16" x14ac:dyDescent="0.25">
      <c r="D189" s="95">
        <v>185</v>
      </c>
      <c r="E189" s="10">
        <v>525</v>
      </c>
      <c r="F189" s="10">
        <v>4</v>
      </c>
      <c r="G189" s="10">
        <v>1</v>
      </c>
      <c r="H189" s="5" t="str">
        <f t="shared" si="6"/>
        <v>det_525</v>
      </c>
      <c r="I189" s="5" t="str">
        <f t="shared" si="7"/>
        <v>W:\Performance Measurement\1. Freeway\1. raw data\2014\data files\det_525.txt</v>
      </c>
      <c r="J189" s="5" t="str">
        <f t="shared" si="8"/>
        <v>W:\Performance Measurement\1. Freeway\1. raw data\2014\data files\det_525.xlsx</v>
      </c>
      <c r="K189" s="5"/>
      <c r="M189" s="108" t="s">
        <v>69</v>
      </c>
      <c r="N189" s="10">
        <v>525</v>
      </c>
      <c r="O189" s="10">
        <v>4</v>
      </c>
      <c r="P189" s="10">
        <v>1</v>
      </c>
    </row>
    <row r="190" spans="4:16" x14ac:dyDescent="0.25">
      <c r="D190" s="95">
        <v>186</v>
      </c>
      <c r="E190" s="10">
        <v>526</v>
      </c>
      <c r="F190" s="10">
        <v>3</v>
      </c>
      <c r="G190" s="10">
        <v>1</v>
      </c>
      <c r="H190" s="5" t="str">
        <f t="shared" si="6"/>
        <v>det_526</v>
      </c>
      <c r="I190" s="5" t="str">
        <f t="shared" si="7"/>
        <v>W:\Performance Measurement\1. Freeway\1. raw data\2014\data files\det_526.txt</v>
      </c>
      <c r="J190" s="5" t="str">
        <f t="shared" si="8"/>
        <v>W:\Performance Measurement\1. Freeway\1. raw data\2014\data files\det_526.xlsx</v>
      </c>
      <c r="K190" s="5"/>
      <c r="M190" s="108" t="s">
        <v>69</v>
      </c>
      <c r="N190" s="10">
        <v>526</v>
      </c>
      <c r="O190" s="10">
        <v>3</v>
      </c>
      <c r="P190" s="10">
        <v>1</v>
      </c>
    </row>
    <row r="191" spans="4:16" x14ac:dyDescent="0.25">
      <c r="D191" s="95">
        <v>187</v>
      </c>
      <c r="E191" s="10">
        <v>532</v>
      </c>
      <c r="F191" s="10">
        <v>4</v>
      </c>
      <c r="G191" s="10">
        <v>1</v>
      </c>
      <c r="H191" s="5" t="str">
        <f t="shared" si="6"/>
        <v>det_532</v>
      </c>
      <c r="I191" s="5" t="str">
        <f t="shared" si="7"/>
        <v>W:\Performance Measurement\1. Freeway\1. raw data\2014\data files\det_532.txt</v>
      </c>
      <c r="J191" s="5" t="str">
        <f t="shared" si="8"/>
        <v>W:\Performance Measurement\1. Freeway\1. raw data\2014\data files\det_532.xlsx</v>
      </c>
      <c r="K191" s="5"/>
      <c r="M191" s="108" t="s">
        <v>69</v>
      </c>
      <c r="N191" s="10">
        <v>532</v>
      </c>
      <c r="O191" s="10">
        <v>4</v>
      </c>
      <c r="P191" s="10">
        <v>1</v>
      </c>
    </row>
    <row r="192" spans="4:16" x14ac:dyDescent="0.25">
      <c r="D192" s="95">
        <v>188</v>
      </c>
      <c r="E192" s="10">
        <v>533</v>
      </c>
      <c r="F192" s="10">
        <v>6</v>
      </c>
      <c r="G192" s="10">
        <v>1</v>
      </c>
      <c r="H192" s="5" t="str">
        <f t="shared" si="6"/>
        <v>det_533</v>
      </c>
      <c r="I192" s="5" t="str">
        <f t="shared" si="7"/>
        <v>W:\Performance Measurement\1. Freeway\1. raw data\2014\data files\det_533.txt</v>
      </c>
      <c r="J192" s="5" t="str">
        <f t="shared" si="8"/>
        <v>W:\Performance Measurement\1. Freeway\1. raw data\2014\data files\det_533.xlsx</v>
      </c>
      <c r="K192" s="5"/>
      <c r="M192" s="108" t="s">
        <v>69</v>
      </c>
      <c r="N192" s="10">
        <v>533</v>
      </c>
      <c r="O192" s="10">
        <v>6</v>
      </c>
      <c r="P192" s="10">
        <v>1</v>
      </c>
    </row>
    <row r="193" spans="4:16" x14ac:dyDescent="0.25">
      <c r="D193" s="95">
        <v>189</v>
      </c>
      <c r="E193" s="10">
        <v>534</v>
      </c>
      <c r="F193" s="10">
        <v>5</v>
      </c>
      <c r="G193" s="10">
        <v>1</v>
      </c>
      <c r="H193" s="5" t="str">
        <f t="shared" si="6"/>
        <v>det_534</v>
      </c>
      <c r="I193" s="5" t="str">
        <f t="shared" si="7"/>
        <v>W:\Performance Measurement\1. Freeway\1. raw data\2014\data files\det_534.txt</v>
      </c>
      <c r="J193" s="5" t="str">
        <f t="shared" si="8"/>
        <v>W:\Performance Measurement\1. Freeway\1. raw data\2014\data files\det_534.xlsx</v>
      </c>
      <c r="K193" s="5"/>
      <c r="M193" s="108" t="s">
        <v>69</v>
      </c>
      <c r="N193" s="10">
        <v>534</v>
      </c>
      <c r="O193" s="10">
        <v>5</v>
      </c>
      <c r="P193" s="10">
        <v>1</v>
      </c>
    </row>
    <row r="194" spans="4:16" x14ac:dyDescent="0.25">
      <c r="D194" s="95">
        <v>190</v>
      </c>
      <c r="E194" s="10">
        <v>535</v>
      </c>
      <c r="F194" s="10">
        <v>5</v>
      </c>
      <c r="G194" s="10">
        <v>1</v>
      </c>
      <c r="H194" s="5" t="str">
        <f t="shared" si="6"/>
        <v>det_535</v>
      </c>
      <c r="I194" s="5" t="str">
        <f t="shared" si="7"/>
        <v>W:\Performance Measurement\1. Freeway\1. raw data\2014\data files\det_535.txt</v>
      </c>
      <c r="J194" s="5" t="str">
        <f t="shared" si="8"/>
        <v>W:\Performance Measurement\1. Freeway\1. raw data\2014\data files\det_535.xlsx</v>
      </c>
      <c r="K194" s="5"/>
      <c r="M194" s="108" t="s">
        <v>69</v>
      </c>
      <c r="N194" s="10">
        <v>535</v>
      </c>
      <c r="O194" s="10">
        <v>5</v>
      </c>
      <c r="P194" s="10">
        <v>1</v>
      </c>
    </row>
    <row r="195" spans="4:16" x14ac:dyDescent="0.25">
      <c r="D195" s="95">
        <v>191</v>
      </c>
      <c r="E195" s="10">
        <v>536</v>
      </c>
      <c r="F195" s="10">
        <v>5</v>
      </c>
      <c r="G195" s="10">
        <v>1</v>
      </c>
      <c r="H195" s="5" t="str">
        <f t="shared" si="6"/>
        <v>det_536</v>
      </c>
      <c r="I195" s="5" t="str">
        <f t="shared" si="7"/>
        <v>W:\Performance Measurement\1. Freeway\1. raw data\2014\data files\det_536.txt</v>
      </c>
      <c r="J195" s="5" t="str">
        <f t="shared" si="8"/>
        <v>W:\Performance Measurement\1. Freeway\1. raw data\2014\data files\det_536.xlsx</v>
      </c>
      <c r="K195" s="5"/>
      <c r="M195" s="108" t="s">
        <v>69</v>
      </c>
      <c r="N195" s="10">
        <v>536</v>
      </c>
      <c r="O195" s="10">
        <v>5</v>
      </c>
      <c r="P195" s="10">
        <v>1</v>
      </c>
    </row>
    <row r="196" spans="4:16" x14ac:dyDescent="0.25">
      <c r="D196" s="95">
        <v>192</v>
      </c>
      <c r="E196" s="10">
        <v>537</v>
      </c>
      <c r="F196" s="10">
        <v>5</v>
      </c>
      <c r="G196" s="10">
        <v>1</v>
      </c>
      <c r="H196" s="5" t="str">
        <f t="shared" si="6"/>
        <v>det_537</v>
      </c>
      <c r="I196" s="5" t="str">
        <f t="shared" si="7"/>
        <v>W:\Performance Measurement\1. Freeway\1. raw data\2014\data files\det_537.txt</v>
      </c>
      <c r="J196" s="5" t="str">
        <f t="shared" si="8"/>
        <v>W:\Performance Measurement\1. Freeway\1. raw data\2014\data files\det_537.xlsx</v>
      </c>
      <c r="K196" s="5"/>
      <c r="M196" s="108" t="s">
        <v>69</v>
      </c>
      <c r="N196" s="10">
        <v>537</v>
      </c>
      <c r="O196" s="10">
        <v>5</v>
      </c>
      <c r="P196" s="10">
        <v>1</v>
      </c>
    </row>
    <row r="197" spans="4:16" x14ac:dyDescent="0.25">
      <c r="D197" s="95">
        <v>193</v>
      </c>
      <c r="E197" s="10">
        <v>538</v>
      </c>
      <c r="F197" s="10">
        <v>5</v>
      </c>
      <c r="G197" s="10">
        <v>1</v>
      </c>
      <c r="H197" s="5" t="str">
        <f t="shared" ref="H197:H260" si="9">"det_"&amp;E197&amp;""</f>
        <v>det_538</v>
      </c>
      <c r="I197" s="5" t="str">
        <f t="shared" ref="I197:I260" si="10">$B$5&amp;"\"&amp;H197&amp;".txt"</f>
        <v>W:\Performance Measurement\1. Freeway\1. raw data\2014\data files\det_538.txt</v>
      </c>
      <c r="J197" s="5" t="str">
        <f t="shared" ref="J197:J260" si="11">$B$5&amp;"\"&amp;H197&amp;".xlsx"</f>
        <v>W:\Performance Measurement\1. Freeway\1. raw data\2014\data files\det_538.xlsx</v>
      </c>
      <c r="K197" s="5"/>
      <c r="M197" s="108" t="s">
        <v>69</v>
      </c>
      <c r="N197" s="10">
        <v>538</v>
      </c>
      <c r="O197" s="10">
        <v>5</v>
      </c>
      <c r="P197" s="10">
        <v>1</v>
      </c>
    </row>
    <row r="198" spans="4:16" x14ac:dyDescent="0.25">
      <c r="D198" s="95">
        <v>194</v>
      </c>
      <c r="E198" s="10">
        <v>178</v>
      </c>
      <c r="F198" s="10">
        <v>3</v>
      </c>
      <c r="G198" s="10">
        <v>0</v>
      </c>
      <c r="H198" s="5" t="str">
        <f t="shared" si="9"/>
        <v>det_178</v>
      </c>
      <c r="I198" s="5" t="str">
        <f t="shared" si="10"/>
        <v>W:\Performance Measurement\1. Freeway\1. raw data\2014\data files\det_178.txt</v>
      </c>
      <c r="J198" s="5" t="str">
        <f t="shared" si="11"/>
        <v>W:\Performance Measurement\1. Freeway\1. raw data\2014\data files\det_178.xlsx</v>
      </c>
      <c r="K198" s="5"/>
      <c r="M198" s="108" t="s">
        <v>70</v>
      </c>
      <c r="N198" s="10">
        <v>178</v>
      </c>
      <c r="O198" s="10">
        <v>3</v>
      </c>
      <c r="P198" s="10">
        <v>0</v>
      </c>
    </row>
    <row r="199" spans="4:16" x14ac:dyDescent="0.25">
      <c r="D199" s="95">
        <v>195</v>
      </c>
      <c r="E199" s="10">
        <v>179</v>
      </c>
      <c r="F199" s="10">
        <v>2</v>
      </c>
      <c r="G199" s="10">
        <v>0</v>
      </c>
      <c r="H199" s="5" t="str">
        <f t="shared" si="9"/>
        <v>det_179</v>
      </c>
      <c r="I199" s="5" t="str">
        <f t="shared" si="10"/>
        <v>W:\Performance Measurement\1. Freeway\1. raw data\2014\data files\det_179.txt</v>
      </c>
      <c r="J199" s="5" t="str">
        <f t="shared" si="11"/>
        <v>W:\Performance Measurement\1. Freeway\1. raw data\2014\data files\det_179.xlsx</v>
      </c>
      <c r="K199" s="5"/>
      <c r="M199" s="108" t="s">
        <v>70</v>
      </c>
      <c r="N199" s="10">
        <v>179</v>
      </c>
      <c r="O199" s="10">
        <v>2</v>
      </c>
      <c r="P199" s="10">
        <v>0</v>
      </c>
    </row>
    <row r="200" spans="4:16" x14ac:dyDescent="0.25">
      <c r="D200" s="95">
        <v>196</v>
      </c>
      <c r="E200" s="10">
        <v>182</v>
      </c>
      <c r="F200" s="10">
        <v>3</v>
      </c>
      <c r="G200" s="10">
        <v>0</v>
      </c>
      <c r="H200" s="5" t="str">
        <f t="shared" si="9"/>
        <v>det_182</v>
      </c>
      <c r="I200" s="5" t="str">
        <f t="shared" si="10"/>
        <v>W:\Performance Measurement\1. Freeway\1. raw data\2014\data files\det_182.txt</v>
      </c>
      <c r="J200" s="5" t="str">
        <f t="shared" si="11"/>
        <v>W:\Performance Measurement\1. Freeway\1. raw data\2014\data files\det_182.xlsx</v>
      </c>
      <c r="K200" s="5"/>
      <c r="M200" s="108" t="s">
        <v>70</v>
      </c>
      <c r="N200" s="10">
        <v>182</v>
      </c>
      <c r="O200" s="10">
        <v>3</v>
      </c>
      <c r="P200" s="10">
        <v>0</v>
      </c>
    </row>
    <row r="201" spans="4:16" x14ac:dyDescent="0.25">
      <c r="D201" s="95">
        <v>197</v>
      </c>
      <c r="E201" s="10">
        <v>184</v>
      </c>
      <c r="F201" s="10">
        <v>2</v>
      </c>
      <c r="G201" s="10">
        <v>0</v>
      </c>
      <c r="H201" s="5" t="str">
        <f t="shared" si="9"/>
        <v>det_184</v>
      </c>
      <c r="I201" s="5" t="str">
        <f t="shared" si="10"/>
        <v>W:\Performance Measurement\1. Freeway\1. raw data\2014\data files\det_184.txt</v>
      </c>
      <c r="J201" s="5" t="str">
        <f t="shared" si="11"/>
        <v>W:\Performance Measurement\1. Freeway\1. raw data\2014\data files\det_184.xlsx</v>
      </c>
      <c r="K201" s="5"/>
      <c r="M201" s="108" t="s">
        <v>70</v>
      </c>
      <c r="N201" s="10">
        <v>184</v>
      </c>
      <c r="O201" s="10">
        <v>2</v>
      </c>
      <c r="P201" s="10">
        <v>0</v>
      </c>
    </row>
    <row r="202" spans="4:16" x14ac:dyDescent="0.25">
      <c r="D202" s="95">
        <v>198</v>
      </c>
      <c r="E202" s="10">
        <v>187</v>
      </c>
      <c r="F202" s="10">
        <v>2</v>
      </c>
      <c r="G202" s="10">
        <v>0</v>
      </c>
      <c r="H202" s="5" t="str">
        <f t="shared" si="9"/>
        <v>det_187</v>
      </c>
      <c r="I202" s="5" t="str">
        <f t="shared" si="10"/>
        <v>W:\Performance Measurement\1. Freeway\1. raw data\2014\data files\det_187.txt</v>
      </c>
      <c r="J202" s="5" t="str">
        <f t="shared" si="11"/>
        <v>W:\Performance Measurement\1. Freeway\1. raw data\2014\data files\det_187.xlsx</v>
      </c>
      <c r="K202" s="5"/>
      <c r="M202" s="108" t="s">
        <v>70</v>
      </c>
      <c r="N202" s="10">
        <v>187</v>
      </c>
      <c r="O202" s="10">
        <v>2</v>
      </c>
      <c r="P202" s="10">
        <v>0</v>
      </c>
    </row>
    <row r="203" spans="4:16" x14ac:dyDescent="0.25">
      <c r="D203" s="95">
        <v>199</v>
      </c>
      <c r="E203" s="10">
        <v>176</v>
      </c>
      <c r="F203" s="10">
        <v>2</v>
      </c>
      <c r="G203" s="10">
        <v>0</v>
      </c>
      <c r="H203" s="5" t="str">
        <f t="shared" si="9"/>
        <v>det_176</v>
      </c>
      <c r="I203" s="5" t="str">
        <f t="shared" si="10"/>
        <v>W:\Performance Measurement\1. Freeway\1. raw data\2014\data files\det_176.txt</v>
      </c>
      <c r="J203" s="5" t="str">
        <f t="shared" si="11"/>
        <v>W:\Performance Measurement\1. Freeway\1. raw data\2014\data files\det_176.xlsx</v>
      </c>
      <c r="K203" s="5"/>
      <c r="M203" s="108" t="s">
        <v>70</v>
      </c>
      <c r="N203" s="10">
        <v>176</v>
      </c>
      <c r="O203" s="10">
        <v>2</v>
      </c>
      <c r="P203" s="10">
        <v>0</v>
      </c>
    </row>
    <row r="204" spans="4:16" x14ac:dyDescent="0.25">
      <c r="D204" s="95">
        <v>200</v>
      </c>
      <c r="E204" s="10">
        <v>171</v>
      </c>
      <c r="F204" s="10">
        <v>3</v>
      </c>
      <c r="G204" s="10">
        <v>0</v>
      </c>
      <c r="H204" s="5" t="str">
        <f t="shared" si="9"/>
        <v>det_171</v>
      </c>
      <c r="I204" s="5" t="str">
        <f t="shared" si="10"/>
        <v>W:\Performance Measurement\1. Freeway\1. raw data\2014\data files\det_171.txt</v>
      </c>
      <c r="J204" s="5" t="str">
        <f t="shared" si="11"/>
        <v>W:\Performance Measurement\1. Freeway\1. raw data\2014\data files\det_171.xlsx</v>
      </c>
      <c r="K204" s="5"/>
      <c r="M204" s="108" t="s">
        <v>70</v>
      </c>
      <c r="N204" s="10">
        <v>171</v>
      </c>
      <c r="O204" s="10">
        <v>3</v>
      </c>
      <c r="P204" s="10">
        <v>0</v>
      </c>
    </row>
    <row r="205" spans="4:16" x14ac:dyDescent="0.25">
      <c r="D205" s="95">
        <v>201</v>
      </c>
      <c r="E205" s="10">
        <v>169</v>
      </c>
      <c r="F205" s="10">
        <v>3</v>
      </c>
      <c r="G205" s="10">
        <v>0</v>
      </c>
      <c r="H205" s="5" t="str">
        <f t="shared" si="9"/>
        <v>det_169</v>
      </c>
      <c r="I205" s="5" t="str">
        <f t="shared" si="10"/>
        <v>W:\Performance Measurement\1. Freeway\1. raw data\2014\data files\det_169.txt</v>
      </c>
      <c r="J205" s="5" t="str">
        <f t="shared" si="11"/>
        <v>W:\Performance Measurement\1. Freeway\1. raw data\2014\data files\det_169.xlsx</v>
      </c>
      <c r="K205" s="5"/>
      <c r="M205" s="108" t="s">
        <v>70</v>
      </c>
      <c r="N205" s="10">
        <v>169</v>
      </c>
      <c r="O205" s="10">
        <v>3</v>
      </c>
      <c r="P205" s="10">
        <v>0</v>
      </c>
    </row>
    <row r="206" spans="4:16" x14ac:dyDescent="0.25">
      <c r="D206" s="95">
        <v>202</v>
      </c>
      <c r="E206" s="10">
        <v>167</v>
      </c>
      <c r="F206" s="10">
        <v>2</v>
      </c>
      <c r="G206" s="10">
        <v>0</v>
      </c>
      <c r="H206" s="5" t="str">
        <f t="shared" si="9"/>
        <v>det_167</v>
      </c>
      <c r="I206" s="5" t="str">
        <f t="shared" si="10"/>
        <v>W:\Performance Measurement\1. Freeway\1. raw data\2014\data files\det_167.txt</v>
      </c>
      <c r="J206" s="5" t="str">
        <f t="shared" si="11"/>
        <v>W:\Performance Measurement\1. Freeway\1. raw data\2014\data files\det_167.xlsx</v>
      </c>
      <c r="K206" s="5"/>
      <c r="M206" s="108" t="s">
        <v>70</v>
      </c>
      <c r="N206" s="10">
        <v>167</v>
      </c>
      <c r="O206" s="10">
        <v>2</v>
      </c>
      <c r="P206" s="10">
        <v>0</v>
      </c>
    </row>
    <row r="207" spans="4:16" x14ac:dyDescent="0.25">
      <c r="D207" s="95">
        <v>203</v>
      </c>
      <c r="E207" s="10">
        <v>539</v>
      </c>
      <c r="F207" s="10">
        <v>0</v>
      </c>
      <c r="G207" s="10">
        <v>0</v>
      </c>
      <c r="H207" s="5" t="str">
        <f t="shared" si="9"/>
        <v>det_539</v>
      </c>
      <c r="I207" s="5" t="str">
        <f t="shared" si="10"/>
        <v>W:\Performance Measurement\1. Freeway\1. raw data\2014\data files\det_539.txt</v>
      </c>
      <c r="J207" s="5" t="str">
        <f t="shared" si="11"/>
        <v>W:\Performance Measurement\1. Freeway\1. raw data\2014\data files\det_539.xlsx</v>
      </c>
      <c r="K207" s="5"/>
      <c r="M207" s="108" t="s">
        <v>71</v>
      </c>
      <c r="N207" s="10">
        <v>539</v>
      </c>
      <c r="O207" s="10">
        <v>0</v>
      </c>
      <c r="P207" s="10">
        <v>0</v>
      </c>
    </row>
    <row r="208" spans="4:16" x14ac:dyDescent="0.25">
      <c r="D208" s="95">
        <v>204</v>
      </c>
      <c r="E208" s="10">
        <v>540</v>
      </c>
      <c r="F208" s="10">
        <v>3</v>
      </c>
      <c r="G208" s="10">
        <v>1</v>
      </c>
      <c r="H208" s="5" t="str">
        <f t="shared" si="9"/>
        <v>det_540</v>
      </c>
      <c r="I208" s="5" t="str">
        <f t="shared" si="10"/>
        <v>W:\Performance Measurement\1. Freeway\1. raw data\2014\data files\det_540.txt</v>
      </c>
      <c r="J208" s="5" t="str">
        <f t="shared" si="11"/>
        <v>W:\Performance Measurement\1. Freeway\1. raw data\2014\data files\det_540.xlsx</v>
      </c>
      <c r="K208" s="5"/>
      <c r="M208" s="108" t="s">
        <v>71</v>
      </c>
      <c r="N208" s="10">
        <v>540</v>
      </c>
      <c r="O208" s="10">
        <v>3</v>
      </c>
      <c r="P208" s="10">
        <v>1</v>
      </c>
    </row>
    <row r="209" spans="4:16" x14ac:dyDescent="0.25">
      <c r="D209" s="95">
        <v>205</v>
      </c>
      <c r="E209" s="10">
        <v>541</v>
      </c>
      <c r="F209" s="10">
        <v>3</v>
      </c>
      <c r="G209" s="10">
        <v>1</v>
      </c>
      <c r="H209" s="5" t="str">
        <f t="shared" si="9"/>
        <v>det_541</v>
      </c>
      <c r="I209" s="5" t="str">
        <f t="shared" si="10"/>
        <v>W:\Performance Measurement\1. Freeway\1. raw data\2014\data files\det_541.txt</v>
      </c>
      <c r="J209" s="5" t="str">
        <f t="shared" si="11"/>
        <v>W:\Performance Measurement\1. Freeway\1. raw data\2014\data files\det_541.xlsx</v>
      </c>
      <c r="K209" s="5"/>
      <c r="M209" s="108" t="s">
        <v>71</v>
      </c>
      <c r="N209" s="10">
        <v>541</v>
      </c>
      <c r="O209" s="10">
        <v>3</v>
      </c>
      <c r="P209" s="10">
        <v>1</v>
      </c>
    </row>
    <row r="210" spans="4:16" x14ac:dyDescent="0.25">
      <c r="D210" s="95">
        <v>206</v>
      </c>
      <c r="E210" s="10">
        <v>542</v>
      </c>
      <c r="F210" s="10">
        <v>3</v>
      </c>
      <c r="G210" s="10">
        <v>1</v>
      </c>
      <c r="H210" s="5" t="str">
        <f t="shared" si="9"/>
        <v>det_542</v>
      </c>
      <c r="I210" s="5" t="str">
        <f t="shared" si="10"/>
        <v>W:\Performance Measurement\1. Freeway\1. raw data\2014\data files\det_542.txt</v>
      </c>
      <c r="J210" s="5" t="str">
        <f t="shared" si="11"/>
        <v>W:\Performance Measurement\1. Freeway\1. raw data\2014\data files\det_542.xlsx</v>
      </c>
      <c r="K210" s="5"/>
      <c r="M210" s="108" t="s">
        <v>71</v>
      </c>
      <c r="N210" s="10">
        <v>542</v>
      </c>
      <c r="O210" s="10">
        <v>3</v>
      </c>
      <c r="P210" s="10">
        <v>1</v>
      </c>
    </row>
    <row r="211" spans="4:16" x14ac:dyDescent="0.25">
      <c r="D211" s="95">
        <v>207</v>
      </c>
      <c r="E211" s="10">
        <v>543</v>
      </c>
      <c r="F211" s="10">
        <v>3</v>
      </c>
      <c r="G211" s="10">
        <v>1</v>
      </c>
      <c r="H211" s="5" t="str">
        <f t="shared" si="9"/>
        <v>det_543</v>
      </c>
      <c r="I211" s="5" t="str">
        <f t="shared" si="10"/>
        <v>W:\Performance Measurement\1. Freeway\1. raw data\2014\data files\det_543.txt</v>
      </c>
      <c r="J211" s="5" t="str">
        <f t="shared" si="11"/>
        <v>W:\Performance Measurement\1. Freeway\1. raw data\2014\data files\det_543.xlsx</v>
      </c>
      <c r="K211" s="5"/>
      <c r="M211" s="108" t="s">
        <v>71</v>
      </c>
      <c r="N211" s="10">
        <v>543</v>
      </c>
      <c r="O211" s="10">
        <v>3</v>
      </c>
      <c r="P211" s="10">
        <v>1</v>
      </c>
    </row>
    <row r="212" spans="4:16" x14ac:dyDescent="0.25">
      <c r="D212" s="95">
        <v>208</v>
      </c>
      <c r="E212" s="10">
        <v>514</v>
      </c>
      <c r="F212" s="10">
        <v>4</v>
      </c>
      <c r="G212" s="10">
        <v>1</v>
      </c>
      <c r="H212" s="5" t="str">
        <f t="shared" si="9"/>
        <v>det_514</v>
      </c>
      <c r="I212" s="5" t="str">
        <f t="shared" si="10"/>
        <v>W:\Performance Measurement\1. Freeway\1. raw data\2014\data files\det_514.txt</v>
      </c>
      <c r="J212" s="5" t="str">
        <f t="shared" si="11"/>
        <v>W:\Performance Measurement\1. Freeway\1. raw data\2014\data files\det_514.xlsx</v>
      </c>
      <c r="K212" s="5"/>
      <c r="M212" s="108" t="s">
        <v>71</v>
      </c>
      <c r="N212" s="10">
        <v>514</v>
      </c>
      <c r="O212" s="10">
        <v>4</v>
      </c>
      <c r="P212" s="10">
        <v>1</v>
      </c>
    </row>
    <row r="213" spans="4:16" x14ac:dyDescent="0.25">
      <c r="D213" s="95">
        <v>209</v>
      </c>
      <c r="E213" s="10">
        <v>518</v>
      </c>
      <c r="F213" s="10">
        <v>3</v>
      </c>
      <c r="G213" s="10">
        <v>1</v>
      </c>
      <c r="H213" s="5" t="str">
        <f t="shared" si="9"/>
        <v>det_518</v>
      </c>
      <c r="I213" s="5" t="str">
        <f t="shared" si="10"/>
        <v>W:\Performance Measurement\1. Freeway\1. raw data\2014\data files\det_518.txt</v>
      </c>
      <c r="J213" s="5" t="str">
        <f t="shared" si="11"/>
        <v>W:\Performance Measurement\1. Freeway\1. raw data\2014\data files\det_518.xlsx</v>
      </c>
      <c r="K213" s="5"/>
      <c r="M213" s="108" t="s">
        <v>71</v>
      </c>
      <c r="N213" s="10">
        <v>518</v>
      </c>
      <c r="O213" s="10">
        <v>3</v>
      </c>
      <c r="P213" s="10">
        <v>1</v>
      </c>
    </row>
    <row r="214" spans="4:16" x14ac:dyDescent="0.25">
      <c r="D214" s="95">
        <v>210</v>
      </c>
      <c r="E214" s="10">
        <v>510</v>
      </c>
      <c r="F214" s="10">
        <v>4</v>
      </c>
      <c r="G214" s="10">
        <v>1</v>
      </c>
      <c r="H214" s="5" t="str">
        <f t="shared" si="9"/>
        <v>det_510</v>
      </c>
      <c r="I214" s="5" t="str">
        <f t="shared" si="10"/>
        <v>W:\Performance Measurement\1. Freeway\1. raw data\2014\data files\det_510.txt</v>
      </c>
      <c r="J214" s="5" t="str">
        <f t="shared" si="11"/>
        <v>W:\Performance Measurement\1. Freeway\1. raw data\2014\data files\det_510.xlsx</v>
      </c>
      <c r="K214" s="5"/>
      <c r="M214" s="108" t="s">
        <v>71</v>
      </c>
      <c r="N214" s="10">
        <v>510</v>
      </c>
      <c r="O214" s="10">
        <v>4</v>
      </c>
      <c r="P214" s="10">
        <v>1</v>
      </c>
    </row>
    <row r="215" spans="4:16" x14ac:dyDescent="0.25">
      <c r="D215" s="95">
        <v>211</v>
      </c>
      <c r="E215" s="10">
        <v>513</v>
      </c>
      <c r="F215" s="10">
        <v>3</v>
      </c>
      <c r="G215" s="10">
        <v>0</v>
      </c>
      <c r="H215" s="5" t="str">
        <f t="shared" si="9"/>
        <v>det_513</v>
      </c>
      <c r="I215" s="5" t="str">
        <f t="shared" si="10"/>
        <v>W:\Performance Measurement\1. Freeway\1. raw data\2014\data files\det_513.txt</v>
      </c>
      <c r="J215" s="5" t="str">
        <f t="shared" si="11"/>
        <v>W:\Performance Measurement\1. Freeway\1. raw data\2014\data files\det_513.xlsx</v>
      </c>
      <c r="K215" s="5"/>
      <c r="M215" s="108" t="s">
        <v>71</v>
      </c>
      <c r="N215" s="10">
        <v>513</v>
      </c>
      <c r="O215" s="10">
        <v>3</v>
      </c>
      <c r="P215" s="10">
        <v>0</v>
      </c>
    </row>
    <row r="216" spans="4:16" x14ac:dyDescent="0.25">
      <c r="D216" s="95">
        <v>212</v>
      </c>
      <c r="E216" s="10">
        <v>544</v>
      </c>
      <c r="F216" s="10">
        <v>3</v>
      </c>
      <c r="G216" s="10">
        <v>1</v>
      </c>
      <c r="H216" s="5" t="str">
        <f t="shared" si="9"/>
        <v>det_544</v>
      </c>
      <c r="I216" s="5" t="str">
        <f t="shared" si="10"/>
        <v>W:\Performance Measurement\1. Freeway\1. raw data\2014\data files\det_544.txt</v>
      </c>
      <c r="J216" s="5" t="str">
        <f t="shared" si="11"/>
        <v>W:\Performance Measurement\1. Freeway\1. raw data\2014\data files\det_544.xlsx</v>
      </c>
      <c r="K216" s="5"/>
      <c r="M216" s="108" t="s">
        <v>71</v>
      </c>
      <c r="N216" s="10">
        <v>544</v>
      </c>
      <c r="O216" s="10">
        <v>3</v>
      </c>
      <c r="P216" s="10">
        <v>1</v>
      </c>
    </row>
    <row r="217" spans="4:16" x14ac:dyDescent="0.25">
      <c r="D217" s="95">
        <v>213</v>
      </c>
      <c r="E217" s="10">
        <v>545</v>
      </c>
      <c r="F217" s="10">
        <v>3</v>
      </c>
      <c r="G217" s="10">
        <v>1</v>
      </c>
      <c r="H217" s="5" t="str">
        <f t="shared" si="9"/>
        <v>det_545</v>
      </c>
      <c r="I217" s="5" t="str">
        <f t="shared" si="10"/>
        <v>W:\Performance Measurement\1. Freeway\1. raw data\2014\data files\det_545.txt</v>
      </c>
      <c r="J217" s="5" t="str">
        <f t="shared" si="11"/>
        <v>W:\Performance Measurement\1. Freeway\1. raw data\2014\data files\det_545.xlsx</v>
      </c>
      <c r="K217" s="5"/>
      <c r="M217" s="108" t="s">
        <v>71</v>
      </c>
      <c r="N217" s="10">
        <v>545</v>
      </c>
      <c r="O217" s="10">
        <v>3</v>
      </c>
      <c r="P217" s="10">
        <v>1</v>
      </c>
    </row>
    <row r="218" spans="4:16" x14ac:dyDescent="0.25">
      <c r="D218" s="95">
        <v>214</v>
      </c>
      <c r="E218" s="10">
        <v>546</v>
      </c>
      <c r="F218" s="10">
        <v>3</v>
      </c>
      <c r="G218" s="10">
        <v>1</v>
      </c>
      <c r="H218" s="5" t="str">
        <f t="shared" si="9"/>
        <v>det_546</v>
      </c>
      <c r="I218" s="5" t="str">
        <f t="shared" si="10"/>
        <v>W:\Performance Measurement\1. Freeway\1. raw data\2014\data files\det_546.txt</v>
      </c>
      <c r="J218" s="5" t="str">
        <f t="shared" si="11"/>
        <v>W:\Performance Measurement\1. Freeway\1. raw data\2014\data files\det_546.xlsx</v>
      </c>
      <c r="K218" s="5"/>
      <c r="M218" s="108" t="s">
        <v>71</v>
      </c>
      <c r="N218" s="10">
        <v>546</v>
      </c>
      <c r="O218" s="10">
        <v>3</v>
      </c>
      <c r="P218" s="10">
        <v>1</v>
      </c>
    </row>
    <row r="219" spans="4:16" x14ac:dyDescent="0.25">
      <c r="D219" s="95">
        <v>215</v>
      </c>
      <c r="E219" s="10">
        <v>547</v>
      </c>
      <c r="F219" s="10">
        <v>3</v>
      </c>
      <c r="G219" s="10">
        <v>1</v>
      </c>
      <c r="H219" s="5" t="str">
        <f t="shared" si="9"/>
        <v>det_547</v>
      </c>
      <c r="I219" s="5" t="str">
        <f t="shared" si="10"/>
        <v>W:\Performance Measurement\1. Freeway\1. raw data\2014\data files\det_547.txt</v>
      </c>
      <c r="J219" s="5" t="str">
        <f t="shared" si="11"/>
        <v>W:\Performance Measurement\1. Freeway\1. raw data\2014\data files\det_547.xlsx</v>
      </c>
      <c r="K219" s="5"/>
      <c r="M219" s="108" t="s">
        <v>71</v>
      </c>
      <c r="N219" s="10">
        <v>547</v>
      </c>
      <c r="O219" s="10">
        <v>3</v>
      </c>
      <c r="P219" s="10">
        <v>1</v>
      </c>
    </row>
    <row r="220" spans="4:16" x14ac:dyDescent="0.25">
      <c r="D220" s="95">
        <v>216</v>
      </c>
      <c r="E220" s="10">
        <v>548</v>
      </c>
      <c r="F220" s="10">
        <v>2</v>
      </c>
      <c r="G220" s="10">
        <v>0</v>
      </c>
      <c r="H220" s="5" t="str">
        <f t="shared" si="9"/>
        <v>det_548</v>
      </c>
      <c r="I220" s="5" t="str">
        <f t="shared" si="10"/>
        <v>W:\Performance Measurement\1. Freeway\1. raw data\2014\data files\det_548.txt</v>
      </c>
      <c r="J220" s="5" t="str">
        <f t="shared" si="11"/>
        <v>W:\Performance Measurement\1. Freeway\1. raw data\2014\data files\det_548.xlsx</v>
      </c>
      <c r="K220" s="5"/>
      <c r="M220" s="108" t="s">
        <v>71</v>
      </c>
      <c r="N220" s="10">
        <v>548</v>
      </c>
      <c r="O220" s="10">
        <v>2</v>
      </c>
      <c r="P220" s="10">
        <v>0</v>
      </c>
    </row>
    <row r="221" spans="4:16" x14ac:dyDescent="0.25">
      <c r="D221" s="95">
        <v>217</v>
      </c>
      <c r="E221" s="10">
        <v>264</v>
      </c>
      <c r="F221" s="10">
        <v>5</v>
      </c>
      <c r="G221" s="10">
        <v>1</v>
      </c>
      <c r="H221" s="5" t="str">
        <f t="shared" si="9"/>
        <v>det_264</v>
      </c>
      <c r="I221" s="5" t="str">
        <f t="shared" si="10"/>
        <v>W:\Performance Measurement\1. Freeway\1. raw data\2014\data files\det_264.txt</v>
      </c>
      <c r="J221" s="5" t="str">
        <f t="shared" si="11"/>
        <v>W:\Performance Measurement\1. Freeway\1. raw data\2014\data files\det_264.xlsx</v>
      </c>
      <c r="K221" s="5"/>
      <c r="M221" s="108" t="s">
        <v>72</v>
      </c>
      <c r="N221" s="10">
        <v>264</v>
      </c>
      <c r="O221" s="10">
        <v>5</v>
      </c>
      <c r="P221" s="10">
        <v>1</v>
      </c>
    </row>
    <row r="222" spans="4:16" x14ac:dyDescent="0.25">
      <c r="D222" s="95">
        <v>218</v>
      </c>
      <c r="E222" s="10">
        <v>267</v>
      </c>
      <c r="F222" s="10">
        <v>4</v>
      </c>
      <c r="G222" s="10">
        <v>1</v>
      </c>
      <c r="H222" s="5" t="str">
        <f t="shared" si="9"/>
        <v>det_267</v>
      </c>
      <c r="I222" s="5" t="str">
        <f t="shared" si="10"/>
        <v>W:\Performance Measurement\1. Freeway\1. raw data\2014\data files\det_267.txt</v>
      </c>
      <c r="J222" s="5" t="str">
        <f t="shared" si="11"/>
        <v>W:\Performance Measurement\1. Freeway\1. raw data\2014\data files\det_267.xlsx</v>
      </c>
      <c r="K222" s="5"/>
      <c r="M222" s="108" t="s">
        <v>72</v>
      </c>
      <c r="N222" s="10">
        <v>267</v>
      </c>
      <c r="O222" s="10">
        <v>4</v>
      </c>
      <c r="P222" s="10">
        <v>1</v>
      </c>
    </row>
    <row r="223" spans="4:16" x14ac:dyDescent="0.25">
      <c r="D223" s="95">
        <v>219</v>
      </c>
      <c r="E223" s="10">
        <v>270</v>
      </c>
      <c r="F223" s="10">
        <v>3</v>
      </c>
      <c r="G223" s="10">
        <v>1</v>
      </c>
      <c r="H223" s="5" t="str">
        <f t="shared" si="9"/>
        <v>det_270</v>
      </c>
      <c r="I223" s="5" t="str">
        <f t="shared" si="10"/>
        <v>W:\Performance Measurement\1. Freeway\1. raw data\2014\data files\det_270.txt</v>
      </c>
      <c r="J223" s="5" t="str">
        <f t="shared" si="11"/>
        <v>W:\Performance Measurement\1. Freeway\1. raw data\2014\data files\det_270.xlsx</v>
      </c>
      <c r="K223" s="5"/>
      <c r="M223" s="108" t="s">
        <v>72</v>
      </c>
      <c r="N223" s="10">
        <v>270</v>
      </c>
      <c r="O223" s="10">
        <v>3</v>
      </c>
      <c r="P223" s="10">
        <v>1</v>
      </c>
    </row>
    <row r="224" spans="4:16" x14ac:dyDescent="0.25">
      <c r="D224" s="95">
        <v>220</v>
      </c>
      <c r="E224" s="10">
        <v>271</v>
      </c>
      <c r="F224" s="10">
        <v>3</v>
      </c>
      <c r="G224" s="10">
        <v>0</v>
      </c>
      <c r="H224" s="5" t="str">
        <f t="shared" si="9"/>
        <v>det_271</v>
      </c>
      <c r="I224" s="5" t="str">
        <f t="shared" si="10"/>
        <v>W:\Performance Measurement\1. Freeway\1. raw data\2014\data files\det_271.txt</v>
      </c>
      <c r="J224" s="5" t="str">
        <f t="shared" si="11"/>
        <v>W:\Performance Measurement\1. Freeway\1. raw data\2014\data files\det_271.xlsx</v>
      </c>
      <c r="K224" s="5"/>
      <c r="M224" s="108" t="s">
        <v>273</v>
      </c>
      <c r="N224" s="10">
        <v>271</v>
      </c>
      <c r="O224" s="10">
        <v>3</v>
      </c>
      <c r="P224" s="10">
        <v>0</v>
      </c>
    </row>
    <row r="225" spans="4:16" x14ac:dyDescent="0.25">
      <c r="D225" s="95">
        <v>221</v>
      </c>
      <c r="E225" s="10">
        <v>256</v>
      </c>
      <c r="F225" s="10">
        <v>3</v>
      </c>
      <c r="G225" s="10">
        <v>1</v>
      </c>
      <c r="H225" s="5" t="str">
        <f t="shared" si="9"/>
        <v>det_256</v>
      </c>
      <c r="I225" s="5" t="str">
        <f t="shared" si="10"/>
        <v>W:\Performance Measurement\1. Freeway\1. raw data\2014\data files\det_256.txt</v>
      </c>
      <c r="J225" s="5" t="str">
        <f t="shared" si="11"/>
        <v>W:\Performance Measurement\1. Freeway\1. raw data\2014\data files\det_256.xlsx</v>
      </c>
      <c r="K225" s="5"/>
      <c r="M225" s="108" t="s">
        <v>72</v>
      </c>
      <c r="N225" s="10">
        <v>256</v>
      </c>
      <c r="O225" s="10">
        <v>3</v>
      </c>
      <c r="P225" s="10">
        <v>1</v>
      </c>
    </row>
    <row r="226" spans="4:16" x14ac:dyDescent="0.25">
      <c r="D226" s="95">
        <v>222</v>
      </c>
      <c r="E226" s="10">
        <v>258</v>
      </c>
      <c r="F226" s="10">
        <v>5</v>
      </c>
      <c r="G226" s="10">
        <v>1</v>
      </c>
      <c r="H226" s="5" t="str">
        <f t="shared" si="9"/>
        <v>det_258</v>
      </c>
      <c r="I226" s="5" t="str">
        <f t="shared" si="10"/>
        <v>W:\Performance Measurement\1. Freeway\1. raw data\2014\data files\det_258.txt</v>
      </c>
      <c r="J226" s="5" t="str">
        <f t="shared" si="11"/>
        <v>W:\Performance Measurement\1. Freeway\1. raw data\2014\data files\det_258.xlsx</v>
      </c>
      <c r="K226" s="5"/>
      <c r="M226" s="108" t="s">
        <v>72</v>
      </c>
      <c r="N226" s="10">
        <v>258</v>
      </c>
      <c r="O226" s="10">
        <v>5</v>
      </c>
      <c r="P226" s="10">
        <v>1</v>
      </c>
    </row>
    <row r="227" spans="4:16" x14ac:dyDescent="0.25">
      <c r="D227" s="95">
        <v>223</v>
      </c>
      <c r="E227" s="10">
        <v>261</v>
      </c>
      <c r="F227" s="10">
        <v>4</v>
      </c>
      <c r="G227" s="10">
        <v>1</v>
      </c>
      <c r="H227" s="5" t="str">
        <f t="shared" si="9"/>
        <v>det_261</v>
      </c>
      <c r="I227" s="5" t="str">
        <f t="shared" si="10"/>
        <v>W:\Performance Measurement\1. Freeway\1. raw data\2014\data files\det_261.txt</v>
      </c>
      <c r="J227" s="5" t="str">
        <f t="shared" si="11"/>
        <v>W:\Performance Measurement\1. Freeway\1. raw data\2014\data files\det_261.xlsx</v>
      </c>
      <c r="K227" s="5"/>
      <c r="M227" s="108" t="s">
        <v>72</v>
      </c>
      <c r="N227" s="10">
        <v>261</v>
      </c>
      <c r="O227" s="10">
        <v>4</v>
      </c>
      <c r="P227" s="10">
        <v>1</v>
      </c>
    </row>
    <row r="228" spans="4:16" x14ac:dyDescent="0.25">
      <c r="D228" s="95">
        <v>224</v>
      </c>
      <c r="E228" s="10">
        <v>263</v>
      </c>
      <c r="F228" s="10">
        <v>4</v>
      </c>
      <c r="G228" s="10">
        <v>1</v>
      </c>
      <c r="H228" s="5" t="str">
        <f t="shared" si="9"/>
        <v>det_263</v>
      </c>
      <c r="I228" s="5" t="str">
        <f t="shared" si="10"/>
        <v>W:\Performance Measurement\1. Freeway\1. raw data\2014\data files\det_263.txt</v>
      </c>
      <c r="J228" s="5" t="str">
        <f t="shared" si="11"/>
        <v>W:\Performance Measurement\1. Freeway\1. raw data\2014\data files\det_263.xlsx</v>
      </c>
      <c r="K228" s="5"/>
      <c r="M228" s="108" t="s">
        <v>72</v>
      </c>
      <c r="N228" s="10">
        <v>263</v>
      </c>
      <c r="O228" s="10">
        <v>4</v>
      </c>
      <c r="P228" s="10">
        <v>1</v>
      </c>
    </row>
    <row r="229" spans="4:16" x14ac:dyDescent="0.25">
      <c r="D229" s="95">
        <v>225</v>
      </c>
      <c r="E229" s="10">
        <v>507</v>
      </c>
      <c r="F229" s="10">
        <v>3</v>
      </c>
      <c r="G229" s="10">
        <v>1</v>
      </c>
      <c r="H229" s="5" t="str">
        <f t="shared" si="9"/>
        <v>det_507</v>
      </c>
      <c r="I229" s="5" t="str">
        <f t="shared" si="10"/>
        <v>W:\Performance Measurement\1. Freeway\1. raw data\2014\data files\det_507.txt</v>
      </c>
      <c r="J229" s="5" t="str">
        <f t="shared" si="11"/>
        <v>W:\Performance Measurement\1. Freeway\1. raw data\2014\data files\det_507.xlsx</v>
      </c>
      <c r="K229" s="5"/>
      <c r="M229" s="108" t="s">
        <v>72</v>
      </c>
      <c r="N229" s="10">
        <v>507</v>
      </c>
      <c r="O229" s="10">
        <v>3</v>
      </c>
      <c r="P229" s="10">
        <v>1</v>
      </c>
    </row>
    <row r="230" spans="4:16" x14ac:dyDescent="0.25">
      <c r="D230" s="95">
        <v>226</v>
      </c>
      <c r="E230" s="10">
        <v>549</v>
      </c>
      <c r="F230" s="10">
        <v>4</v>
      </c>
      <c r="G230" s="10">
        <v>1</v>
      </c>
      <c r="H230" s="5" t="str">
        <f t="shared" si="9"/>
        <v>det_549</v>
      </c>
      <c r="I230" s="5" t="str">
        <f t="shared" si="10"/>
        <v>W:\Performance Measurement\1. Freeway\1. raw data\2014\data files\det_549.txt</v>
      </c>
      <c r="J230" s="5" t="str">
        <f t="shared" si="11"/>
        <v>W:\Performance Measurement\1. Freeway\1. raw data\2014\data files\det_549.xlsx</v>
      </c>
      <c r="K230" s="5"/>
      <c r="M230" s="108" t="s">
        <v>73</v>
      </c>
      <c r="N230" s="10">
        <v>549</v>
      </c>
      <c r="O230" s="10">
        <v>4</v>
      </c>
      <c r="P230" s="10">
        <v>1</v>
      </c>
    </row>
    <row r="231" spans="4:16" x14ac:dyDescent="0.25">
      <c r="D231" s="95">
        <v>227</v>
      </c>
      <c r="E231" s="10">
        <v>550</v>
      </c>
      <c r="F231" s="10">
        <v>3</v>
      </c>
      <c r="G231" s="10">
        <v>1</v>
      </c>
      <c r="H231" s="5" t="str">
        <f t="shared" si="9"/>
        <v>det_550</v>
      </c>
      <c r="I231" s="5" t="str">
        <f t="shared" si="10"/>
        <v>W:\Performance Measurement\1. Freeway\1. raw data\2014\data files\det_550.txt</v>
      </c>
      <c r="J231" s="5" t="str">
        <f t="shared" si="11"/>
        <v>W:\Performance Measurement\1. Freeway\1. raw data\2014\data files\det_550.xlsx</v>
      </c>
      <c r="K231" s="5"/>
      <c r="M231" s="108" t="s">
        <v>74</v>
      </c>
      <c r="N231" s="10">
        <v>550</v>
      </c>
      <c r="O231" s="10">
        <v>3</v>
      </c>
      <c r="P231" s="10">
        <v>1</v>
      </c>
    </row>
    <row r="232" spans="4:16" x14ac:dyDescent="0.25">
      <c r="D232" s="95">
        <v>228</v>
      </c>
      <c r="E232" s="10">
        <v>551</v>
      </c>
      <c r="F232" s="10">
        <v>3</v>
      </c>
      <c r="G232" s="10">
        <v>1</v>
      </c>
      <c r="H232" s="5" t="str">
        <f t="shared" si="9"/>
        <v>det_551</v>
      </c>
      <c r="I232" s="5" t="str">
        <f t="shared" si="10"/>
        <v>W:\Performance Measurement\1. Freeway\1. raw data\2014\data files\det_551.txt</v>
      </c>
      <c r="J232" s="5" t="str">
        <f t="shared" si="11"/>
        <v>W:\Performance Measurement\1. Freeway\1. raw data\2014\data files\det_551.xlsx</v>
      </c>
      <c r="K232" s="5"/>
      <c r="M232" s="108" t="s">
        <v>73</v>
      </c>
      <c r="N232" s="10">
        <v>551</v>
      </c>
      <c r="O232" s="10">
        <v>3</v>
      </c>
      <c r="P232" s="10">
        <v>1</v>
      </c>
    </row>
    <row r="233" spans="4:16" x14ac:dyDescent="0.25">
      <c r="D233" s="95">
        <v>229</v>
      </c>
      <c r="E233" s="10">
        <v>552</v>
      </c>
      <c r="F233" s="10">
        <v>3</v>
      </c>
      <c r="G233" s="10">
        <v>1</v>
      </c>
      <c r="H233" s="5" t="str">
        <f t="shared" si="9"/>
        <v>det_552</v>
      </c>
      <c r="I233" s="5" t="str">
        <f t="shared" si="10"/>
        <v>W:\Performance Measurement\1. Freeway\1. raw data\2014\data files\det_552.txt</v>
      </c>
      <c r="J233" s="5" t="str">
        <f t="shared" si="11"/>
        <v>W:\Performance Measurement\1. Freeway\1. raw data\2014\data files\det_552.xlsx</v>
      </c>
      <c r="K233" s="5"/>
      <c r="M233" s="108" t="s">
        <v>74</v>
      </c>
      <c r="N233" s="10">
        <v>552</v>
      </c>
      <c r="O233" s="10">
        <v>3</v>
      </c>
      <c r="P233" s="10">
        <v>1</v>
      </c>
    </row>
    <row r="234" spans="4:16" x14ac:dyDescent="0.25">
      <c r="D234" s="95">
        <v>230</v>
      </c>
      <c r="E234" s="10">
        <v>553</v>
      </c>
      <c r="F234" s="10">
        <v>3</v>
      </c>
      <c r="G234" s="10">
        <v>1</v>
      </c>
      <c r="H234" s="5" t="str">
        <f t="shared" si="9"/>
        <v>det_553</v>
      </c>
      <c r="I234" s="5" t="str">
        <f t="shared" si="10"/>
        <v>W:\Performance Measurement\1. Freeway\1. raw data\2014\data files\det_553.txt</v>
      </c>
      <c r="J234" s="5" t="str">
        <f t="shared" si="11"/>
        <v>W:\Performance Measurement\1. Freeway\1. raw data\2014\data files\det_553.xlsx</v>
      </c>
      <c r="K234" s="5"/>
      <c r="M234" s="108" t="s">
        <v>73</v>
      </c>
      <c r="N234" s="10">
        <v>553</v>
      </c>
      <c r="O234" s="10">
        <v>3</v>
      </c>
      <c r="P234" s="10">
        <v>1</v>
      </c>
    </row>
    <row r="235" spans="4:16" x14ac:dyDescent="0.25">
      <c r="D235" s="95">
        <v>231</v>
      </c>
      <c r="E235" s="10">
        <v>554</v>
      </c>
      <c r="F235" s="10">
        <v>3</v>
      </c>
      <c r="G235" s="10">
        <v>1</v>
      </c>
      <c r="H235" s="5" t="str">
        <f t="shared" si="9"/>
        <v>det_554</v>
      </c>
      <c r="I235" s="5" t="str">
        <f t="shared" si="10"/>
        <v>W:\Performance Measurement\1. Freeway\1. raw data\2014\data files\det_554.txt</v>
      </c>
      <c r="J235" s="5" t="str">
        <f t="shared" si="11"/>
        <v>W:\Performance Measurement\1. Freeway\1. raw data\2014\data files\det_554.xlsx</v>
      </c>
      <c r="K235" s="5"/>
      <c r="M235" s="108" t="s">
        <v>74</v>
      </c>
      <c r="N235" s="10">
        <v>554</v>
      </c>
      <c r="O235" s="10">
        <v>3</v>
      </c>
      <c r="P235" s="10">
        <v>1</v>
      </c>
    </row>
    <row r="236" spans="4:16" x14ac:dyDescent="0.25">
      <c r="D236" s="95">
        <v>232</v>
      </c>
      <c r="E236" s="10">
        <v>555</v>
      </c>
      <c r="F236" s="10">
        <v>3</v>
      </c>
      <c r="G236" s="10">
        <v>1</v>
      </c>
      <c r="H236" s="5" t="str">
        <f t="shared" si="9"/>
        <v>det_555</v>
      </c>
      <c r="I236" s="5" t="str">
        <f t="shared" si="10"/>
        <v>W:\Performance Measurement\1. Freeway\1. raw data\2014\data files\det_555.txt</v>
      </c>
      <c r="J236" s="5" t="str">
        <f t="shared" si="11"/>
        <v>W:\Performance Measurement\1. Freeway\1. raw data\2014\data files\det_555.xlsx</v>
      </c>
      <c r="K236" s="5"/>
      <c r="M236" s="108" t="s">
        <v>73</v>
      </c>
      <c r="N236" s="10">
        <v>555</v>
      </c>
      <c r="O236" s="10">
        <v>3</v>
      </c>
      <c r="P236" s="10">
        <v>1</v>
      </c>
    </row>
    <row r="237" spans="4:16" x14ac:dyDescent="0.25">
      <c r="D237" s="95">
        <v>233</v>
      </c>
      <c r="E237" s="10">
        <v>556</v>
      </c>
      <c r="F237" s="10">
        <v>3</v>
      </c>
      <c r="G237" s="10">
        <v>1</v>
      </c>
      <c r="H237" s="5" t="str">
        <f t="shared" si="9"/>
        <v>det_556</v>
      </c>
      <c r="I237" s="5" t="str">
        <f t="shared" si="10"/>
        <v>W:\Performance Measurement\1. Freeway\1. raw data\2014\data files\det_556.txt</v>
      </c>
      <c r="J237" s="5" t="str">
        <f t="shared" si="11"/>
        <v>W:\Performance Measurement\1. Freeway\1. raw data\2014\data files\det_556.xlsx</v>
      </c>
      <c r="K237" s="5"/>
      <c r="M237" s="108" t="s">
        <v>74</v>
      </c>
      <c r="N237" s="10">
        <v>556</v>
      </c>
      <c r="O237" s="10">
        <v>3</v>
      </c>
      <c r="P237" s="10">
        <v>1</v>
      </c>
    </row>
    <row r="238" spans="4:16" x14ac:dyDescent="0.25">
      <c r="D238" s="95">
        <v>234</v>
      </c>
      <c r="E238" s="10">
        <v>557</v>
      </c>
      <c r="F238" s="10">
        <v>3</v>
      </c>
      <c r="G238" s="10">
        <v>1</v>
      </c>
      <c r="H238" s="5" t="str">
        <f t="shared" si="9"/>
        <v>det_557</v>
      </c>
      <c r="I238" s="5" t="str">
        <f t="shared" si="10"/>
        <v>W:\Performance Measurement\1. Freeway\1. raw data\2014\data files\det_557.txt</v>
      </c>
      <c r="J238" s="5" t="str">
        <f t="shared" si="11"/>
        <v>W:\Performance Measurement\1. Freeway\1. raw data\2014\data files\det_557.xlsx</v>
      </c>
      <c r="K238" s="5"/>
      <c r="M238" s="108" t="s">
        <v>73</v>
      </c>
      <c r="N238" s="10">
        <v>557</v>
      </c>
      <c r="O238" s="10">
        <v>3</v>
      </c>
      <c r="P238" s="10">
        <v>1</v>
      </c>
    </row>
    <row r="239" spans="4:16" x14ac:dyDescent="0.25">
      <c r="D239" s="95">
        <v>235</v>
      </c>
      <c r="E239" s="10">
        <v>570</v>
      </c>
      <c r="F239" s="10">
        <v>3</v>
      </c>
      <c r="G239" s="10">
        <v>1</v>
      </c>
      <c r="H239" s="5" t="str">
        <f t="shared" si="9"/>
        <v>det_570</v>
      </c>
      <c r="I239" s="5" t="str">
        <f t="shared" si="10"/>
        <v>W:\Performance Measurement\1. Freeway\1. raw data\2014\data files\det_570.txt</v>
      </c>
      <c r="J239" s="5" t="str">
        <f t="shared" si="11"/>
        <v>W:\Performance Measurement\1. Freeway\1. raw data\2014\data files\det_570.xlsx</v>
      </c>
      <c r="K239" s="5"/>
      <c r="M239" s="108" t="s">
        <v>74</v>
      </c>
      <c r="N239" s="10">
        <v>570</v>
      </c>
      <c r="O239" s="10">
        <v>3</v>
      </c>
      <c r="P239" s="10">
        <v>1</v>
      </c>
    </row>
    <row r="240" spans="4:16" x14ac:dyDescent="0.25">
      <c r="D240" s="95">
        <v>236</v>
      </c>
      <c r="E240" s="10">
        <v>571</v>
      </c>
      <c r="F240" s="10">
        <v>3</v>
      </c>
      <c r="G240" s="10">
        <v>1</v>
      </c>
      <c r="H240" s="5" t="str">
        <f t="shared" si="9"/>
        <v>det_571</v>
      </c>
      <c r="I240" s="5" t="str">
        <f t="shared" si="10"/>
        <v>W:\Performance Measurement\1. Freeway\1. raw data\2014\data files\det_571.txt</v>
      </c>
      <c r="J240" s="5" t="str">
        <f t="shared" si="11"/>
        <v>W:\Performance Measurement\1. Freeway\1. raw data\2014\data files\det_571.xlsx</v>
      </c>
      <c r="K240" s="5"/>
      <c r="M240" s="108" t="s">
        <v>74</v>
      </c>
      <c r="N240" s="10">
        <v>571</v>
      </c>
      <c r="O240" s="10">
        <v>3</v>
      </c>
      <c r="P240" s="10">
        <v>1</v>
      </c>
    </row>
    <row r="241" spans="4:16" x14ac:dyDescent="0.25">
      <c r="D241" s="95">
        <v>237</v>
      </c>
      <c r="E241" s="10">
        <v>572</v>
      </c>
      <c r="F241" s="10">
        <v>3</v>
      </c>
      <c r="G241" s="10">
        <v>1</v>
      </c>
      <c r="H241" s="5" t="str">
        <f t="shared" si="9"/>
        <v>det_572</v>
      </c>
      <c r="I241" s="5" t="str">
        <f t="shared" si="10"/>
        <v>W:\Performance Measurement\1. Freeway\1. raw data\2014\data files\det_572.txt</v>
      </c>
      <c r="J241" s="5" t="str">
        <f t="shared" si="11"/>
        <v>W:\Performance Measurement\1. Freeway\1. raw data\2014\data files\det_572.xlsx</v>
      </c>
      <c r="K241" s="5"/>
      <c r="M241" s="108" t="s">
        <v>74</v>
      </c>
      <c r="N241" s="10">
        <v>572</v>
      </c>
      <c r="O241" s="10">
        <v>3</v>
      </c>
      <c r="P241" s="10">
        <v>1</v>
      </c>
    </row>
    <row r="242" spans="4:16" x14ac:dyDescent="0.25">
      <c r="D242" s="95">
        <v>238</v>
      </c>
      <c r="E242" s="10">
        <v>573</v>
      </c>
      <c r="F242" s="10">
        <v>3</v>
      </c>
      <c r="G242" s="10">
        <v>1</v>
      </c>
      <c r="H242" s="5" t="str">
        <f t="shared" si="9"/>
        <v>det_573</v>
      </c>
      <c r="I242" s="5" t="str">
        <f t="shared" si="10"/>
        <v>W:\Performance Measurement\1. Freeway\1. raw data\2014\data files\det_573.txt</v>
      </c>
      <c r="J242" s="5" t="str">
        <f t="shared" si="11"/>
        <v>W:\Performance Measurement\1. Freeway\1. raw data\2014\data files\det_573.xlsx</v>
      </c>
      <c r="K242" s="5"/>
      <c r="M242" s="108" t="s">
        <v>74</v>
      </c>
      <c r="N242" s="10">
        <v>573</v>
      </c>
      <c r="O242" s="10">
        <v>3</v>
      </c>
      <c r="P242" s="10">
        <v>1</v>
      </c>
    </row>
    <row r="243" spans="4:16" x14ac:dyDescent="0.25">
      <c r="D243" s="95">
        <v>239</v>
      </c>
      <c r="E243" s="10">
        <v>574</v>
      </c>
      <c r="F243" s="10">
        <v>3</v>
      </c>
      <c r="G243" s="10">
        <v>1</v>
      </c>
      <c r="H243" s="5" t="str">
        <f t="shared" si="9"/>
        <v>det_574</v>
      </c>
      <c r="I243" s="5" t="str">
        <f t="shared" si="10"/>
        <v>W:\Performance Measurement\1. Freeway\1. raw data\2014\data files\det_574.txt</v>
      </c>
      <c r="J243" s="5" t="str">
        <f t="shared" si="11"/>
        <v>W:\Performance Measurement\1. Freeway\1. raw data\2014\data files\det_574.xlsx</v>
      </c>
      <c r="K243" s="5"/>
      <c r="M243" s="108" t="s">
        <v>74</v>
      </c>
      <c r="N243" s="10">
        <v>574</v>
      </c>
      <c r="O243" s="10">
        <v>3</v>
      </c>
      <c r="P243" s="10">
        <v>1</v>
      </c>
    </row>
    <row r="244" spans="4:16" x14ac:dyDescent="0.25">
      <c r="D244" s="95">
        <v>240</v>
      </c>
      <c r="E244" s="10">
        <v>575</v>
      </c>
      <c r="F244" s="10">
        <v>3</v>
      </c>
      <c r="G244" s="10">
        <v>1</v>
      </c>
      <c r="H244" s="5" t="str">
        <f t="shared" si="9"/>
        <v>det_575</v>
      </c>
      <c r="I244" s="5" t="str">
        <f t="shared" si="10"/>
        <v>W:\Performance Measurement\1. Freeway\1. raw data\2014\data files\det_575.txt</v>
      </c>
      <c r="J244" s="5" t="str">
        <f t="shared" si="11"/>
        <v>W:\Performance Measurement\1. Freeway\1. raw data\2014\data files\det_575.xlsx</v>
      </c>
      <c r="K244" s="5"/>
      <c r="M244" s="108" t="s">
        <v>74</v>
      </c>
      <c r="N244" s="10">
        <v>575</v>
      </c>
      <c r="O244" s="10">
        <v>3</v>
      </c>
      <c r="P244" s="10">
        <v>1</v>
      </c>
    </row>
    <row r="245" spans="4:16" x14ac:dyDescent="0.25">
      <c r="D245" s="95">
        <v>241</v>
      </c>
      <c r="E245" s="10">
        <v>576</v>
      </c>
      <c r="F245" s="10">
        <v>3</v>
      </c>
      <c r="G245" s="10">
        <v>1</v>
      </c>
      <c r="H245" s="5" t="str">
        <f t="shared" si="9"/>
        <v>det_576</v>
      </c>
      <c r="I245" s="5" t="str">
        <f t="shared" si="10"/>
        <v>W:\Performance Measurement\1. Freeway\1. raw data\2014\data files\det_576.txt</v>
      </c>
      <c r="J245" s="5" t="str">
        <f t="shared" si="11"/>
        <v>W:\Performance Measurement\1. Freeway\1. raw data\2014\data files\det_576.xlsx</v>
      </c>
      <c r="K245" s="5"/>
      <c r="M245" s="108" t="s">
        <v>74</v>
      </c>
      <c r="N245" s="10">
        <v>576</v>
      </c>
      <c r="O245" s="10">
        <v>3</v>
      </c>
      <c r="P245" s="10">
        <v>1</v>
      </c>
    </row>
    <row r="246" spans="4:16" x14ac:dyDescent="0.25">
      <c r="D246" s="95">
        <v>242</v>
      </c>
      <c r="E246" s="10">
        <v>577</v>
      </c>
      <c r="F246" s="10">
        <v>3</v>
      </c>
      <c r="G246" s="10">
        <v>1</v>
      </c>
      <c r="H246" s="5" t="str">
        <f t="shared" si="9"/>
        <v>det_577</v>
      </c>
      <c r="I246" s="5" t="str">
        <f t="shared" si="10"/>
        <v>W:\Performance Measurement\1. Freeway\1. raw data\2014\data files\det_577.txt</v>
      </c>
      <c r="J246" s="5" t="str">
        <f t="shared" si="11"/>
        <v>W:\Performance Measurement\1. Freeway\1. raw data\2014\data files\det_577.xlsx</v>
      </c>
      <c r="K246" s="5"/>
      <c r="M246" s="108" t="s">
        <v>74</v>
      </c>
      <c r="N246" s="10">
        <v>577</v>
      </c>
      <c r="O246" s="10">
        <v>3</v>
      </c>
      <c r="P246" s="10">
        <v>1</v>
      </c>
    </row>
    <row r="247" spans="4:16" x14ac:dyDescent="0.25">
      <c r="D247" s="95">
        <v>243</v>
      </c>
      <c r="E247" s="10">
        <v>578</v>
      </c>
      <c r="F247" s="10">
        <v>4</v>
      </c>
      <c r="G247" s="10">
        <v>1</v>
      </c>
      <c r="H247" s="5" t="str">
        <f t="shared" si="9"/>
        <v>det_578</v>
      </c>
      <c r="I247" s="5" t="str">
        <f t="shared" si="10"/>
        <v>W:\Performance Measurement\1. Freeway\1. raw data\2014\data files\det_578.txt</v>
      </c>
      <c r="J247" s="5" t="str">
        <f t="shared" si="11"/>
        <v>W:\Performance Measurement\1. Freeway\1. raw data\2014\data files\det_578.xlsx</v>
      </c>
      <c r="K247" s="5"/>
      <c r="M247" s="108" t="s">
        <v>74</v>
      </c>
      <c r="N247" s="10">
        <v>578</v>
      </c>
      <c r="O247" s="10">
        <v>4</v>
      </c>
      <c r="P247" s="10">
        <v>1</v>
      </c>
    </row>
    <row r="248" spans="4:16" x14ac:dyDescent="0.25">
      <c r="D248" s="95">
        <v>244</v>
      </c>
      <c r="E248" s="10">
        <v>255</v>
      </c>
      <c r="F248" s="10">
        <v>4</v>
      </c>
      <c r="G248" s="10">
        <v>0</v>
      </c>
      <c r="H248" s="5" t="str">
        <f t="shared" si="9"/>
        <v>det_255</v>
      </c>
      <c r="I248" s="5" t="str">
        <f t="shared" si="10"/>
        <v>W:\Performance Measurement\1. Freeway\1. raw data\2014\data files\det_255.txt</v>
      </c>
      <c r="J248" s="5" t="str">
        <f t="shared" si="11"/>
        <v>W:\Performance Measurement\1. Freeway\1. raw data\2014\data files\det_255.xlsx</v>
      </c>
      <c r="K248" s="5"/>
      <c r="M248" s="108" t="s">
        <v>73</v>
      </c>
      <c r="N248" s="10">
        <v>255</v>
      </c>
      <c r="O248" s="10">
        <v>4</v>
      </c>
      <c r="P248" s="10">
        <v>0</v>
      </c>
    </row>
    <row r="249" spans="4:16" x14ac:dyDescent="0.25">
      <c r="D249" s="95">
        <v>245</v>
      </c>
      <c r="E249" s="10">
        <v>558</v>
      </c>
      <c r="F249" s="10">
        <v>3</v>
      </c>
      <c r="G249" s="10">
        <v>1</v>
      </c>
      <c r="H249" s="5" t="str">
        <f t="shared" si="9"/>
        <v>det_558</v>
      </c>
      <c r="I249" s="5" t="str">
        <f t="shared" si="10"/>
        <v>W:\Performance Measurement\1. Freeway\1. raw data\2014\data files\det_558.txt</v>
      </c>
      <c r="J249" s="5" t="str">
        <f t="shared" si="11"/>
        <v>W:\Performance Measurement\1. Freeway\1. raw data\2014\data files\det_558.xlsx</v>
      </c>
      <c r="K249" s="5"/>
      <c r="M249" s="108" t="s">
        <v>75</v>
      </c>
      <c r="N249" s="10">
        <v>558</v>
      </c>
      <c r="O249" s="10">
        <v>3</v>
      </c>
      <c r="P249" s="10">
        <v>1</v>
      </c>
    </row>
    <row r="250" spans="4:16" x14ac:dyDescent="0.25">
      <c r="D250" s="95">
        <v>246</v>
      </c>
      <c r="E250" s="10">
        <v>559</v>
      </c>
      <c r="F250" s="10">
        <v>3</v>
      </c>
      <c r="G250" s="10">
        <v>1</v>
      </c>
      <c r="H250" s="5" t="str">
        <f t="shared" si="9"/>
        <v>det_559</v>
      </c>
      <c r="I250" s="5" t="str">
        <f t="shared" si="10"/>
        <v>W:\Performance Measurement\1. Freeway\1. raw data\2014\data files\det_559.txt</v>
      </c>
      <c r="J250" s="5" t="str">
        <f t="shared" si="11"/>
        <v>W:\Performance Measurement\1. Freeway\1. raw data\2014\data files\det_559.xlsx</v>
      </c>
      <c r="M250" s="108" t="s">
        <v>75</v>
      </c>
      <c r="N250" s="10">
        <v>559</v>
      </c>
      <c r="O250" s="10">
        <v>3</v>
      </c>
      <c r="P250" s="10">
        <v>1</v>
      </c>
    </row>
    <row r="251" spans="4:16" x14ac:dyDescent="0.25">
      <c r="D251" s="95">
        <v>247</v>
      </c>
      <c r="E251" s="10">
        <v>560</v>
      </c>
      <c r="F251" s="10">
        <v>3</v>
      </c>
      <c r="G251" s="10">
        <v>1</v>
      </c>
      <c r="H251" s="5" t="str">
        <f t="shared" si="9"/>
        <v>det_560</v>
      </c>
      <c r="I251" s="5" t="str">
        <f t="shared" si="10"/>
        <v>W:\Performance Measurement\1. Freeway\1. raw data\2014\data files\det_560.txt</v>
      </c>
      <c r="J251" s="5" t="str">
        <f t="shared" si="11"/>
        <v>W:\Performance Measurement\1. Freeway\1. raw data\2014\data files\det_560.xlsx</v>
      </c>
      <c r="M251" s="108" t="s">
        <v>75</v>
      </c>
      <c r="N251" s="10">
        <v>560</v>
      </c>
      <c r="O251" s="10">
        <v>3</v>
      </c>
      <c r="P251" s="10">
        <v>1</v>
      </c>
    </row>
    <row r="252" spans="4:16" x14ac:dyDescent="0.25">
      <c r="D252" s="95">
        <v>248</v>
      </c>
      <c r="E252" s="10">
        <v>561</v>
      </c>
      <c r="F252" s="10">
        <v>4</v>
      </c>
      <c r="G252" s="10">
        <v>1</v>
      </c>
      <c r="H252" s="5" t="str">
        <f t="shared" si="9"/>
        <v>det_561</v>
      </c>
      <c r="I252" s="5" t="str">
        <f t="shared" si="10"/>
        <v>W:\Performance Measurement\1. Freeway\1. raw data\2014\data files\det_561.txt</v>
      </c>
      <c r="J252" s="5" t="str">
        <f t="shared" si="11"/>
        <v>W:\Performance Measurement\1. Freeway\1. raw data\2014\data files\det_561.xlsx</v>
      </c>
      <c r="M252" s="108" t="s">
        <v>75</v>
      </c>
      <c r="N252" s="10">
        <v>561</v>
      </c>
      <c r="O252" s="10">
        <v>4</v>
      </c>
      <c r="P252" s="10">
        <v>1</v>
      </c>
    </row>
    <row r="253" spans="4:16" x14ac:dyDescent="0.25">
      <c r="D253" s="95">
        <v>249</v>
      </c>
      <c r="E253" s="10">
        <v>562</v>
      </c>
      <c r="F253" s="10">
        <v>3</v>
      </c>
      <c r="G253" s="10">
        <v>1</v>
      </c>
      <c r="H253" s="5" t="str">
        <f t="shared" si="9"/>
        <v>det_562</v>
      </c>
      <c r="I253" s="5" t="str">
        <f t="shared" si="10"/>
        <v>W:\Performance Measurement\1. Freeway\1. raw data\2014\data files\det_562.txt</v>
      </c>
      <c r="J253" s="5" t="str">
        <f t="shared" si="11"/>
        <v>W:\Performance Measurement\1. Freeway\1. raw data\2014\data files\det_562.xlsx</v>
      </c>
      <c r="M253" s="108" t="s">
        <v>75</v>
      </c>
      <c r="N253" s="10">
        <v>562</v>
      </c>
      <c r="O253" s="10">
        <v>3</v>
      </c>
      <c r="P253" s="10">
        <v>1</v>
      </c>
    </row>
    <row r="254" spans="4:16" x14ac:dyDescent="0.25">
      <c r="D254" s="95">
        <v>250</v>
      </c>
      <c r="E254" s="10">
        <v>563</v>
      </c>
      <c r="F254" s="10">
        <v>4</v>
      </c>
      <c r="G254" s="10">
        <v>1</v>
      </c>
      <c r="H254" s="5" t="str">
        <f t="shared" si="9"/>
        <v>det_563</v>
      </c>
      <c r="I254" s="5" t="str">
        <f t="shared" si="10"/>
        <v>W:\Performance Measurement\1. Freeway\1. raw data\2014\data files\det_563.txt</v>
      </c>
      <c r="J254" s="5" t="str">
        <f t="shared" si="11"/>
        <v>W:\Performance Measurement\1. Freeway\1. raw data\2014\data files\det_563.xlsx</v>
      </c>
      <c r="M254" s="108" t="s">
        <v>75</v>
      </c>
      <c r="N254" s="10">
        <v>563</v>
      </c>
      <c r="O254" s="10">
        <v>4</v>
      </c>
      <c r="P254" s="10">
        <v>1</v>
      </c>
    </row>
    <row r="255" spans="4:16" x14ac:dyDescent="0.25">
      <c r="D255" s="95">
        <v>251</v>
      </c>
      <c r="E255" s="10">
        <v>564</v>
      </c>
      <c r="F255" s="10">
        <v>3</v>
      </c>
      <c r="G255" s="10">
        <v>1</v>
      </c>
      <c r="H255" s="5" t="str">
        <f t="shared" si="9"/>
        <v>det_564</v>
      </c>
      <c r="I255" s="5" t="str">
        <f t="shared" si="10"/>
        <v>W:\Performance Measurement\1. Freeway\1. raw data\2014\data files\det_564.txt</v>
      </c>
      <c r="J255" s="5" t="str">
        <f t="shared" si="11"/>
        <v>W:\Performance Measurement\1. Freeway\1. raw data\2014\data files\det_564.xlsx</v>
      </c>
      <c r="M255" s="108" t="s">
        <v>75</v>
      </c>
      <c r="N255" s="10">
        <v>564</v>
      </c>
      <c r="O255" s="10">
        <v>3</v>
      </c>
      <c r="P255" s="10">
        <v>1</v>
      </c>
    </row>
    <row r="256" spans="4:16" x14ac:dyDescent="0.25">
      <c r="D256" s="95">
        <v>252</v>
      </c>
      <c r="E256" s="10">
        <v>565</v>
      </c>
      <c r="F256" s="10">
        <v>4</v>
      </c>
      <c r="G256" s="10">
        <v>1</v>
      </c>
      <c r="H256" s="5" t="str">
        <f t="shared" si="9"/>
        <v>det_565</v>
      </c>
      <c r="I256" s="5" t="str">
        <f t="shared" si="10"/>
        <v>W:\Performance Measurement\1. Freeway\1. raw data\2014\data files\det_565.txt</v>
      </c>
      <c r="J256" s="5" t="str">
        <f t="shared" si="11"/>
        <v>W:\Performance Measurement\1. Freeway\1. raw data\2014\data files\det_565.xlsx</v>
      </c>
      <c r="M256" s="108" t="s">
        <v>75</v>
      </c>
      <c r="N256" s="10">
        <v>565</v>
      </c>
      <c r="O256" s="10">
        <v>4</v>
      </c>
      <c r="P256" s="10">
        <v>1</v>
      </c>
    </row>
    <row r="257" spans="4:16" x14ac:dyDescent="0.25">
      <c r="D257" s="95">
        <v>253</v>
      </c>
      <c r="E257" s="10">
        <v>566</v>
      </c>
      <c r="F257" s="10">
        <v>3</v>
      </c>
      <c r="G257" s="10">
        <v>1</v>
      </c>
      <c r="H257" s="5" t="str">
        <f t="shared" si="9"/>
        <v>det_566</v>
      </c>
      <c r="I257" s="5" t="str">
        <f t="shared" si="10"/>
        <v>W:\Performance Measurement\1. Freeway\1. raw data\2014\data files\det_566.txt</v>
      </c>
      <c r="J257" s="5" t="str">
        <f t="shared" si="11"/>
        <v>W:\Performance Measurement\1. Freeway\1. raw data\2014\data files\det_566.xlsx</v>
      </c>
      <c r="M257" s="108" t="s">
        <v>75</v>
      </c>
      <c r="N257" s="10">
        <v>566</v>
      </c>
      <c r="O257" s="10">
        <v>3</v>
      </c>
      <c r="P257" s="10">
        <v>1</v>
      </c>
    </row>
    <row r="258" spans="4:16" x14ac:dyDescent="0.25">
      <c r="D258" s="95">
        <v>254</v>
      </c>
      <c r="E258" s="10">
        <v>567</v>
      </c>
      <c r="F258" s="10">
        <v>4</v>
      </c>
      <c r="G258" s="10">
        <v>1</v>
      </c>
      <c r="H258" s="5" t="str">
        <f t="shared" si="9"/>
        <v>det_567</v>
      </c>
      <c r="I258" s="5" t="str">
        <f t="shared" si="10"/>
        <v>W:\Performance Measurement\1. Freeway\1. raw data\2014\data files\det_567.txt</v>
      </c>
      <c r="J258" s="5" t="str">
        <f t="shared" si="11"/>
        <v>W:\Performance Measurement\1. Freeway\1. raw data\2014\data files\det_567.xlsx</v>
      </c>
      <c r="K258" s="5"/>
      <c r="M258" s="108" t="s">
        <v>75</v>
      </c>
      <c r="N258" s="10">
        <v>567</v>
      </c>
      <c r="O258" s="10">
        <v>4</v>
      </c>
      <c r="P258" s="10">
        <v>1</v>
      </c>
    </row>
    <row r="259" spans="4:16" x14ac:dyDescent="0.25">
      <c r="D259" s="95">
        <v>255</v>
      </c>
      <c r="E259" s="10">
        <v>568</v>
      </c>
      <c r="F259" s="10">
        <v>3</v>
      </c>
      <c r="G259" s="10">
        <v>1</v>
      </c>
      <c r="H259" s="5" t="str">
        <f t="shared" si="9"/>
        <v>det_568</v>
      </c>
      <c r="I259" s="5" t="str">
        <f t="shared" si="10"/>
        <v>W:\Performance Measurement\1. Freeway\1. raw data\2014\data files\det_568.txt</v>
      </c>
      <c r="J259" s="5" t="str">
        <f t="shared" si="11"/>
        <v>W:\Performance Measurement\1. Freeway\1. raw data\2014\data files\det_568.xlsx</v>
      </c>
      <c r="M259" s="108" t="s">
        <v>75</v>
      </c>
      <c r="N259" s="10">
        <v>568</v>
      </c>
      <c r="O259" s="10">
        <v>3</v>
      </c>
      <c r="P259" s="10">
        <v>1</v>
      </c>
    </row>
    <row r="260" spans="4:16" x14ac:dyDescent="0.25">
      <c r="D260" s="95">
        <v>256</v>
      </c>
      <c r="E260" s="10">
        <v>569</v>
      </c>
      <c r="F260" s="10">
        <v>3</v>
      </c>
      <c r="G260" s="10">
        <v>1</v>
      </c>
      <c r="H260" s="5" t="str">
        <f t="shared" si="9"/>
        <v>det_569</v>
      </c>
      <c r="I260" s="5" t="str">
        <f t="shared" si="10"/>
        <v>W:\Performance Measurement\1. Freeway\1. raw data\2014\data files\det_569.txt</v>
      </c>
      <c r="J260" s="5" t="str">
        <f t="shared" si="11"/>
        <v>W:\Performance Measurement\1. Freeway\1. raw data\2014\data files\det_569.xlsx</v>
      </c>
      <c r="M260" s="108" t="s">
        <v>75</v>
      </c>
      <c r="N260" s="10">
        <v>569</v>
      </c>
      <c r="O260" s="10">
        <v>3</v>
      </c>
      <c r="P260" s="10">
        <v>1</v>
      </c>
    </row>
    <row r="261" spans="4:16" x14ac:dyDescent="0.25">
      <c r="D261" s="95">
        <v>257</v>
      </c>
      <c r="E261" s="10">
        <v>601</v>
      </c>
      <c r="F261" s="10">
        <v>4</v>
      </c>
      <c r="G261" s="10">
        <v>0</v>
      </c>
      <c r="H261" s="5" t="str">
        <f t="shared" ref="H261:H324" si="12">"det_"&amp;E261&amp;""</f>
        <v>det_601</v>
      </c>
      <c r="I261" s="5" t="str">
        <f t="shared" ref="I261:I324" si="13">$B$5&amp;"\"&amp;H261&amp;".txt"</f>
        <v>W:\Performance Measurement\1. Freeway\1. raw data\2014\data files\det_601.txt</v>
      </c>
      <c r="J261" s="5" t="str">
        <f t="shared" ref="J261:J324" si="14">$B$5&amp;"\"&amp;H261&amp;".xlsx"</f>
        <v>W:\Performance Measurement\1. Freeway\1. raw data\2014\data files\det_601.xlsx</v>
      </c>
      <c r="M261" s="108" t="s">
        <v>76</v>
      </c>
      <c r="N261" s="10">
        <v>601</v>
      </c>
      <c r="O261" s="10">
        <v>4</v>
      </c>
      <c r="P261" s="10">
        <v>0</v>
      </c>
    </row>
    <row r="262" spans="4:16" x14ac:dyDescent="0.25">
      <c r="D262" s="95">
        <v>258</v>
      </c>
      <c r="E262" s="10">
        <v>602</v>
      </c>
      <c r="F262" s="10">
        <v>3</v>
      </c>
      <c r="G262" s="10">
        <v>1</v>
      </c>
      <c r="H262" s="5" t="str">
        <f t="shared" si="12"/>
        <v>det_602</v>
      </c>
      <c r="I262" s="5" t="str">
        <f t="shared" si="13"/>
        <v>W:\Performance Measurement\1. Freeway\1. raw data\2014\data files\det_602.txt</v>
      </c>
      <c r="J262" s="5" t="str">
        <f t="shared" si="14"/>
        <v>W:\Performance Measurement\1. Freeway\1. raw data\2014\data files\det_602.xlsx</v>
      </c>
      <c r="M262" s="108" t="s">
        <v>76</v>
      </c>
      <c r="N262" s="10">
        <v>602</v>
      </c>
      <c r="O262" s="10">
        <v>3</v>
      </c>
      <c r="P262" s="10">
        <v>1</v>
      </c>
    </row>
    <row r="263" spans="4:16" x14ac:dyDescent="0.25">
      <c r="D263" s="95">
        <v>259</v>
      </c>
      <c r="E263" s="10">
        <v>603</v>
      </c>
      <c r="F263" s="10">
        <v>3</v>
      </c>
      <c r="G263" s="10">
        <v>1</v>
      </c>
      <c r="H263" s="5" t="str">
        <f t="shared" si="12"/>
        <v>det_603</v>
      </c>
      <c r="I263" s="5" t="str">
        <f t="shared" si="13"/>
        <v>W:\Performance Measurement\1. Freeway\1. raw data\2014\data files\det_603.txt</v>
      </c>
      <c r="J263" s="5" t="str">
        <f t="shared" si="14"/>
        <v>W:\Performance Measurement\1. Freeway\1. raw data\2014\data files\det_603.xlsx</v>
      </c>
      <c r="M263" s="108" t="s">
        <v>76</v>
      </c>
      <c r="N263" s="10">
        <v>603</v>
      </c>
      <c r="O263" s="10">
        <v>3</v>
      </c>
      <c r="P263" s="10">
        <v>1</v>
      </c>
    </row>
    <row r="264" spans="4:16" x14ac:dyDescent="0.25">
      <c r="D264" s="95">
        <v>260</v>
      </c>
      <c r="E264" s="10">
        <v>604</v>
      </c>
      <c r="F264" s="10">
        <v>3</v>
      </c>
      <c r="G264" s="10">
        <v>1</v>
      </c>
      <c r="H264" s="5" t="str">
        <f t="shared" si="12"/>
        <v>det_604</v>
      </c>
      <c r="I264" s="5" t="str">
        <f t="shared" si="13"/>
        <v>W:\Performance Measurement\1. Freeway\1. raw data\2014\data files\det_604.txt</v>
      </c>
      <c r="J264" s="5" t="str">
        <f t="shared" si="14"/>
        <v>W:\Performance Measurement\1. Freeway\1. raw data\2014\data files\det_604.xlsx</v>
      </c>
      <c r="M264" s="108" t="s">
        <v>76</v>
      </c>
      <c r="N264" s="10">
        <v>604</v>
      </c>
      <c r="O264" s="10">
        <v>3</v>
      </c>
      <c r="P264" s="10">
        <v>1</v>
      </c>
    </row>
    <row r="265" spans="4:16" x14ac:dyDescent="0.25">
      <c r="D265" s="95">
        <v>261</v>
      </c>
      <c r="E265" s="10">
        <v>605</v>
      </c>
      <c r="F265" s="10">
        <v>3</v>
      </c>
      <c r="G265" s="10">
        <v>1</v>
      </c>
      <c r="H265" s="5" t="str">
        <f t="shared" si="12"/>
        <v>det_605</v>
      </c>
      <c r="I265" s="5" t="str">
        <f t="shared" si="13"/>
        <v>W:\Performance Measurement\1. Freeway\1. raw data\2014\data files\det_605.txt</v>
      </c>
      <c r="J265" s="5" t="str">
        <f t="shared" si="14"/>
        <v>W:\Performance Measurement\1. Freeway\1. raw data\2014\data files\det_605.xlsx</v>
      </c>
      <c r="M265" s="108" t="s">
        <v>76</v>
      </c>
      <c r="N265" s="10">
        <v>605</v>
      </c>
      <c r="O265" s="10">
        <v>3</v>
      </c>
      <c r="P265" s="10">
        <v>1</v>
      </c>
    </row>
    <row r="266" spans="4:16" x14ac:dyDescent="0.25">
      <c r="D266" s="95">
        <v>262</v>
      </c>
      <c r="E266" s="10">
        <v>606</v>
      </c>
      <c r="F266" s="10">
        <v>3</v>
      </c>
      <c r="G266" s="10">
        <v>1</v>
      </c>
      <c r="H266" s="5" t="str">
        <f t="shared" si="12"/>
        <v>det_606</v>
      </c>
      <c r="I266" s="5" t="str">
        <f t="shared" si="13"/>
        <v>W:\Performance Measurement\1. Freeway\1. raw data\2014\data files\det_606.txt</v>
      </c>
      <c r="J266" s="5" t="str">
        <f t="shared" si="14"/>
        <v>W:\Performance Measurement\1. Freeway\1. raw data\2014\data files\det_606.xlsx</v>
      </c>
      <c r="M266" s="108" t="s">
        <v>76</v>
      </c>
      <c r="N266" s="10">
        <v>606</v>
      </c>
      <c r="O266" s="10">
        <v>3</v>
      </c>
      <c r="P266" s="10">
        <v>1</v>
      </c>
    </row>
    <row r="267" spans="4:16" x14ac:dyDescent="0.25">
      <c r="D267" s="95">
        <v>263</v>
      </c>
      <c r="E267" s="10">
        <v>594</v>
      </c>
      <c r="F267" s="10">
        <v>3</v>
      </c>
      <c r="G267" s="10">
        <v>1</v>
      </c>
      <c r="H267" s="5" t="str">
        <f t="shared" si="12"/>
        <v>det_594</v>
      </c>
      <c r="I267" s="5" t="str">
        <f t="shared" si="13"/>
        <v>W:\Performance Measurement\1. Freeway\1. raw data\2014\data files\det_594.txt</v>
      </c>
      <c r="J267" s="5" t="str">
        <f t="shared" si="14"/>
        <v>W:\Performance Measurement\1. Freeway\1. raw data\2014\data files\det_594.xlsx</v>
      </c>
      <c r="M267" s="108" t="s">
        <v>76</v>
      </c>
      <c r="N267" s="10">
        <v>594</v>
      </c>
      <c r="O267" s="10">
        <v>3</v>
      </c>
      <c r="P267" s="10">
        <v>1</v>
      </c>
    </row>
    <row r="268" spans="4:16" x14ac:dyDescent="0.25">
      <c r="D268" s="95">
        <v>264</v>
      </c>
      <c r="E268" s="10">
        <v>595</v>
      </c>
      <c r="F268" s="10">
        <v>3</v>
      </c>
      <c r="G268" s="10">
        <v>1</v>
      </c>
      <c r="H268" s="5" t="str">
        <f t="shared" si="12"/>
        <v>det_595</v>
      </c>
      <c r="I268" s="5" t="str">
        <f t="shared" si="13"/>
        <v>W:\Performance Measurement\1. Freeway\1. raw data\2014\data files\det_595.txt</v>
      </c>
      <c r="J268" s="5" t="str">
        <f t="shared" si="14"/>
        <v>W:\Performance Measurement\1. Freeway\1. raw data\2014\data files\det_595.xlsx</v>
      </c>
      <c r="M268" s="108" t="s">
        <v>76</v>
      </c>
      <c r="N268" s="10">
        <v>595</v>
      </c>
      <c r="O268" s="10">
        <v>3</v>
      </c>
      <c r="P268" s="10">
        <v>1</v>
      </c>
    </row>
    <row r="269" spans="4:16" x14ac:dyDescent="0.25">
      <c r="D269" s="95">
        <v>265</v>
      </c>
      <c r="E269" s="10">
        <v>596</v>
      </c>
      <c r="F269" s="10">
        <v>3</v>
      </c>
      <c r="G269" s="10">
        <v>1</v>
      </c>
      <c r="H269" s="5" t="str">
        <f t="shared" si="12"/>
        <v>det_596</v>
      </c>
      <c r="I269" s="5" t="str">
        <f t="shared" si="13"/>
        <v>W:\Performance Measurement\1. Freeway\1. raw data\2014\data files\det_596.txt</v>
      </c>
      <c r="J269" s="5" t="str">
        <f t="shared" si="14"/>
        <v>W:\Performance Measurement\1. Freeway\1. raw data\2014\data files\det_596.xlsx</v>
      </c>
      <c r="M269" s="108" t="s">
        <v>76</v>
      </c>
      <c r="N269" s="10">
        <v>596</v>
      </c>
      <c r="O269" s="10">
        <v>3</v>
      </c>
      <c r="P269" s="10">
        <v>1</v>
      </c>
    </row>
    <row r="270" spans="4:16" x14ac:dyDescent="0.25">
      <c r="D270" s="95">
        <v>266</v>
      </c>
      <c r="E270" s="10">
        <v>597</v>
      </c>
      <c r="F270" s="10">
        <v>3</v>
      </c>
      <c r="G270" s="10">
        <v>1</v>
      </c>
      <c r="H270" s="5" t="str">
        <f t="shared" si="12"/>
        <v>det_597</v>
      </c>
      <c r="I270" s="5" t="str">
        <f t="shared" si="13"/>
        <v>W:\Performance Measurement\1. Freeway\1. raw data\2014\data files\det_597.txt</v>
      </c>
      <c r="J270" s="5" t="str">
        <f t="shared" si="14"/>
        <v>W:\Performance Measurement\1. Freeway\1. raw data\2014\data files\det_597.xlsx</v>
      </c>
      <c r="M270" s="108" t="s">
        <v>76</v>
      </c>
      <c r="N270" s="10">
        <v>597</v>
      </c>
      <c r="O270" s="10">
        <v>3</v>
      </c>
      <c r="P270" s="10">
        <v>1</v>
      </c>
    </row>
    <row r="271" spans="4:16" x14ac:dyDescent="0.25">
      <c r="D271" s="95">
        <v>267</v>
      </c>
      <c r="E271" s="10">
        <v>598</v>
      </c>
      <c r="F271" s="10">
        <v>3</v>
      </c>
      <c r="G271" s="10">
        <v>1</v>
      </c>
      <c r="H271" s="5" t="str">
        <f t="shared" si="12"/>
        <v>det_598</v>
      </c>
      <c r="I271" s="5" t="str">
        <f t="shared" si="13"/>
        <v>W:\Performance Measurement\1. Freeway\1. raw data\2014\data files\det_598.txt</v>
      </c>
      <c r="J271" s="5" t="str">
        <f t="shared" si="14"/>
        <v>W:\Performance Measurement\1. Freeway\1. raw data\2014\data files\det_598.xlsx</v>
      </c>
      <c r="K271" s="5"/>
      <c r="M271" s="108" t="s">
        <v>76</v>
      </c>
      <c r="N271" s="10">
        <v>598</v>
      </c>
      <c r="O271" s="10">
        <v>3</v>
      </c>
      <c r="P271" s="10">
        <v>1</v>
      </c>
    </row>
    <row r="272" spans="4:16" x14ac:dyDescent="0.25">
      <c r="D272" s="95">
        <v>268</v>
      </c>
      <c r="E272" s="10">
        <v>599</v>
      </c>
      <c r="F272" s="10">
        <v>3</v>
      </c>
      <c r="G272" s="10">
        <v>1</v>
      </c>
      <c r="H272" s="5" t="str">
        <f t="shared" si="12"/>
        <v>det_599</v>
      </c>
      <c r="I272" s="5" t="str">
        <f t="shared" si="13"/>
        <v>W:\Performance Measurement\1. Freeway\1. raw data\2014\data files\det_599.txt</v>
      </c>
      <c r="J272" s="5" t="str">
        <f t="shared" si="14"/>
        <v>W:\Performance Measurement\1. Freeway\1. raw data\2014\data files\det_599.xlsx</v>
      </c>
      <c r="K272" s="5"/>
      <c r="M272" s="108" t="s">
        <v>76</v>
      </c>
      <c r="N272" s="10">
        <v>599</v>
      </c>
      <c r="O272" s="10">
        <v>3</v>
      </c>
      <c r="P272" s="10">
        <v>1</v>
      </c>
    </row>
    <row r="273" spans="4:16" x14ac:dyDescent="0.25">
      <c r="D273" s="95">
        <v>269</v>
      </c>
      <c r="E273" s="10">
        <v>600</v>
      </c>
      <c r="F273" s="10">
        <v>3</v>
      </c>
      <c r="G273" s="10">
        <v>1</v>
      </c>
      <c r="H273" s="5" t="str">
        <f t="shared" si="12"/>
        <v>det_600</v>
      </c>
      <c r="I273" s="5" t="str">
        <f t="shared" si="13"/>
        <v>W:\Performance Measurement\1. Freeway\1. raw data\2014\data files\det_600.txt</v>
      </c>
      <c r="J273" s="5" t="str">
        <f t="shared" si="14"/>
        <v>W:\Performance Measurement\1. Freeway\1. raw data\2014\data files\det_600.xlsx</v>
      </c>
      <c r="K273" s="5"/>
      <c r="M273" s="108" t="s">
        <v>76</v>
      </c>
      <c r="N273" s="10">
        <v>600</v>
      </c>
      <c r="O273" s="10">
        <v>3</v>
      </c>
      <c r="P273" s="10">
        <v>1</v>
      </c>
    </row>
    <row r="274" spans="4:16" x14ac:dyDescent="0.25">
      <c r="D274" s="95">
        <v>270</v>
      </c>
      <c r="E274" s="10">
        <v>586</v>
      </c>
      <c r="F274" s="10">
        <v>4</v>
      </c>
      <c r="G274" s="10">
        <v>0</v>
      </c>
      <c r="H274" s="5" t="str">
        <f t="shared" si="12"/>
        <v>det_586</v>
      </c>
      <c r="I274" s="5" t="str">
        <f t="shared" si="13"/>
        <v>W:\Performance Measurement\1. Freeway\1. raw data\2014\data files\det_586.txt</v>
      </c>
      <c r="J274" s="5" t="str">
        <f t="shared" si="14"/>
        <v>W:\Performance Measurement\1. Freeway\1. raw data\2014\data files\det_586.xlsx</v>
      </c>
      <c r="K274" s="5"/>
      <c r="M274" s="108" t="s">
        <v>77</v>
      </c>
      <c r="N274" s="10">
        <v>586</v>
      </c>
      <c r="O274" s="10">
        <v>4</v>
      </c>
      <c r="P274" s="10">
        <v>0</v>
      </c>
    </row>
    <row r="275" spans="4:16" x14ac:dyDescent="0.25">
      <c r="D275" s="95">
        <v>271</v>
      </c>
      <c r="E275" s="10">
        <v>587</v>
      </c>
      <c r="F275" s="10">
        <v>4</v>
      </c>
      <c r="G275" s="10">
        <v>0</v>
      </c>
      <c r="H275" s="5" t="str">
        <f t="shared" si="12"/>
        <v>det_587</v>
      </c>
      <c r="I275" s="5" t="str">
        <f t="shared" si="13"/>
        <v>W:\Performance Measurement\1. Freeway\1. raw data\2014\data files\det_587.txt</v>
      </c>
      <c r="J275" s="5" t="str">
        <f t="shared" si="14"/>
        <v>W:\Performance Measurement\1. Freeway\1. raw data\2014\data files\det_587.xlsx</v>
      </c>
      <c r="K275" s="5"/>
      <c r="M275" s="108" t="s">
        <v>77</v>
      </c>
      <c r="N275" s="10">
        <v>587</v>
      </c>
      <c r="O275" s="10">
        <v>4</v>
      </c>
      <c r="P275" s="10">
        <v>0</v>
      </c>
    </row>
    <row r="276" spans="4:16" x14ac:dyDescent="0.25">
      <c r="D276" s="95">
        <v>272</v>
      </c>
      <c r="E276" s="10">
        <v>588</v>
      </c>
      <c r="F276" s="10">
        <v>4</v>
      </c>
      <c r="G276" s="10">
        <v>0</v>
      </c>
      <c r="H276" s="5" t="str">
        <f t="shared" si="12"/>
        <v>det_588</v>
      </c>
      <c r="I276" s="5" t="str">
        <f t="shared" si="13"/>
        <v>W:\Performance Measurement\1. Freeway\1. raw data\2014\data files\det_588.txt</v>
      </c>
      <c r="J276" s="5" t="str">
        <f t="shared" si="14"/>
        <v>W:\Performance Measurement\1. Freeway\1. raw data\2014\data files\det_588.xlsx</v>
      </c>
      <c r="K276" s="5"/>
      <c r="M276" s="108" t="s">
        <v>77</v>
      </c>
      <c r="N276" s="10">
        <v>588</v>
      </c>
      <c r="O276" s="10">
        <v>4</v>
      </c>
      <c r="P276" s="10">
        <v>0</v>
      </c>
    </row>
    <row r="277" spans="4:16" x14ac:dyDescent="0.25">
      <c r="D277" s="95">
        <v>273</v>
      </c>
      <c r="E277" s="10">
        <v>589</v>
      </c>
      <c r="F277" s="10">
        <v>4</v>
      </c>
      <c r="G277" s="10">
        <v>0</v>
      </c>
      <c r="H277" s="5" t="str">
        <f t="shared" si="12"/>
        <v>det_589</v>
      </c>
      <c r="I277" s="5" t="str">
        <f t="shared" si="13"/>
        <v>W:\Performance Measurement\1. Freeway\1. raw data\2014\data files\det_589.txt</v>
      </c>
      <c r="J277" s="5" t="str">
        <f t="shared" si="14"/>
        <v>W:\Performance Measurement\1. Freeway\1. raw data\2014\data files\det_589.xlsx</v>
      </c>
      <c r="K277" s="5"/>
      <c r="M277" s="108" t="s">
        <v>77</v>
      </c>
      <c r="N277" s="10">
        <v>589</v>
      </c>
      <c r="O277" s="10">
        <v>4</v>
      </c>
      <c r="P277" s="10">
        <v>0</v>
      </c>
    </row>
    <row r="278" spans="4:16" x14ac:dyDescent="0.25">
      <c r="D278" s="95">
        <v>274</v>
      </c>
      <c r="E278" s="10">
        <v>590</v>
      </c>
      <c r="F278" s="10">
        <v>4</v>
      </c>
      <c r="G278" s="10">
        <v>0</v>
      </c>
      <c r="H278" s="5" t="str">
        <f t="shared" si="12"/>
        <v>det_590</v>
      </c>
      <c r="I278" s="5" t="str">
        <f t="shared" si="13"/>
        <v>W:\Performance Measurement\1. Freeway\1. raw data\2014\data files\det_590.txt</v>
      </c>
      <c r="J278" s="5" t="str">
        <f t="shared" si="14"/>
        <v>W:\Performance Measurement\1. Freeway\1. raw data\2014\data files\det_590.xlsx</v>
      </c>
      <c r="K278" s="5"/>
      <c r="M278" s="108" t="s">
        <v>77</v>
      </c>
      <c r="N278" s="10">
        <v>590</v>
      </c>
      <c r="O278" s="10">
        <v>4</v>
      </c>
      <c r="P278" s="10">
        <v>0</v>
      </c>
    </row>
    <row r="279" spans="4:16" x14ac:dyDescent="0.25">
      <c r="D279" s="95">
        <v>275</v>
      </c>
      <c r="E279" s="10">
        <v>591</v>
      </c>
      <c r="F279" s="10">
        <v>4</v>
      </c>
      <c r="G279" s="10">
        <v>0</v>
      </c>
      <c r="H279" s="5" t="str">
        <f t="shared" si="12"/>
        <v>det_591</v>
      </c>
      <c r="I279" s="5" t="str">
        <f t="shared" si="13"/>
        <v>W:\Performance Measurement\1. Freeway\1. raw data\2014\data files\det_591.txt</v>
      </c>
      <c r="J279" s="5" t="str">
        <f t="shared" si="14"/>
        <v>W:\Performance Measurement\1. Freeway\1. raw data\2014\data files\det_591.xlsx</v>
      </c>
      <c r="K279" s="5"/>
      <c r="M279" s="108" t="s">
        <v>77</v>
      </c>
      <c r="N279" s="10">
        <v>591</v>
      </c>
      <c r="O279" s="10">
        <v>4</v>
      </c>
      <c r="P279" s="10">
        <v>0</v>
      </c>
    </row>
    <row r="280" spans="4:16" x14ac:dyDescent="0.25">
      <c r="D280" s="95">
        <v>276</v>
      </c>
      <c r="E280" s="10">
        <v>592</v>
      </c>
      <c r="F280" s="10">
        <v>5</v>
      </c>
      <c r="G280" s="10">
        <v>0</v>
      </c>
      <c r="H280" s="5" t="str">
        <f t="shared" si="12"/>
        <v>det_592</v>
      </c>
      <c r="I280" s="5" t="str">
        <f t="shared" si="13"/>
        <v>W:\Performance Measurement\1. Freeway\1. raw data\2014\data files\det_592.txt</v>
      </c>
      <c r="J280" s="5" t="str">
        <f t="shared" si="14"/>
        <v>W:\Performance Measurement\1. Freeway\1. raw data\2014\data files\det_592.xlsx</v>
      </c>
      <c r="K280" s="5"/>
      <c r="M280" s="108" t="s">
        <v>77</v>
      </c>
      <c r="N280" s="10">
        <v>592</v>
      </c>
      <c r="O280" s="10">
        <v>5</v>
      </c>
      <c r="P280" s="10">
        <v>0</v>
      </c>
    </row>
    <row r="281" spans="4:16" x14ac:dyDescent="0.25">
      <c r="D281" s="95">
        <v>277</v>
      </c>
      <c r="E281" s="10">
        <v>593</v>
      </c>
      <c r="F281" s="10">
        <v>4</v>
      </c>
      <c r="G281" s="10">
        <v>0</v>
      </c>
      <c r="H281" s="5" t="str">
        <f t="shared" si="12"/>
        <v>det_593</v>
      </c>
      <c r="I281" s="5" t="str">
        <f t="shared" si="13"/>
        <v>W:\Performance Measurement\1. Freeway\1. raw data\2014\data files\det_593.txt</v>
      </c>
      <c r="J281" s="5" t="str">
        <f t="shared" si="14"/>
        <v>W:\Performance Measurement\1. Freeway\1. raw data\2014\data files\det_593.xlsx</v>
      </c>
      <c r="K281" s="5"/>
      <c r="M281" s="108" t="s">
        <v>77</v>
      </c>
      <c r="N281" s="10">
        <v>593</v>
      </c>
      <c r="O281" s="10">
        <v>4</v>
      </c>
      <c r="P281" s="10">
        <v>0</v>
      </c>
    </row>
    <row r="282" spans="4:16" x14ac:dyDescent="0.25">
      <c r="D282" s="95">
        <v>278</v>
      </c>
      <c r="E282" s="10">
        <v>579</v>
      </c>
      <c r="F282" s="10">
        <v>4</v>
      </c>
      <c r="G282" s="10">
        <v>0</v>
      </c>
      <c r="H282" s="5" t="str">
        <f t="shared" si="12"/>
        <v>det_579</v>
      </c>
      <c r="I282" s="5" t="str">
        <f t="shared" si="13"/>
        <v>W:\Performance Measurement\1. Freeway\1. raw data\2014\data files\det_579.txt</v>
      </c>
      <c r="J282" s="5" t="str">
        <f t="shared" si="14"/>
        <v>W:\Performance Measurement\1. Freeway\1. raw data\2014\data files\det_579.xlsx</v>
      </c>
      <c r="K282" s="5"/>
      <c r="M282" s="108" t="s">
        <v>77</v>
      </c>
      <c r="N282" s="10">
        <v>579</v>
      </c>
      <c r="O282" s="10">
        <v>4</v>
      </c>
      <c r="P282" s="10">
        <v>0</v>
      </c>
    </row>
    <row r="283" spans="4:16" x14ac:dyDescent="0.25">
      <c r="D283" s="95">
        <v>279</v>
      </c>
      <c r="E283" s="10">
        <v>580</v>
      </c>
      <c r="F283" s="10">
        <v>5</v>
      </c>
      <c r="G283" s="10">
        <v>0</v>
      </c>
      <c r="H283" s="5" t="str">
        <f t="shared" si="12"/>
        <v>det_580</v>
      </c>
      <c r="I283" s="5" t="str">
        <f t="shared" si="13"/>
        <v>W:\Performance Measurement\1. Freeway\1. raw data\2014\data files\det_580.txt</v>
      </c>
      <c r="J283" s="5" t="str">
        <f t="shared" si="14"/>
        <v>W:\Performance Measurement\1. Freeway\1. raw data\2014\data files\det_580.xlsx</v>
      </c>
      <c r="K283" s="5"/>
      <c r="M283" s="108" t="s">
        <v>77</v>
      </c>
      <c r="N283" s="10">
        <v>580</v>
      </c>
      <c r="O283" s="10">
        <v>5</v>
      </c>
      <c r="P283" s="10">
        <v>0</v>
      </c>
    </row>
    <row r="284" spans="4:16" x14ac:dyDescent="0.25">
      <c r="D284" s="95">
        <v>280</v>
      </c>
      <c r="E284" s="10">
        <v>581</v>
      </c>
      <c r="F284" s="10">
        <v>4</v>
      </c>
      <c r="G284" s="10">
        <v>0</v>
      </c>
      <c r="H284" s="5" t="str">
        <f t="shared" si="12"/>
        <v>det_581</v>
      </c>
      <c r="I284" s="5" t="str">
        <f t="shared" si="13"/>
        <v>W:\Performance Measurement\1. Freeway\1. raw data\2014\data files\det_581.txt</v>
      </c>
      <c r="J284" s="5" t="str">
        <f t="shared" si="14"/>
        <v>W:\Performance Measurement\1. Freeway\1. raw data\2014\data files\det_581.xlsx</v>
      </c>
      <c r="K284" s="5"/>
      <c r="M284" s="108" t="s">
        <v>77</v>
      </c>
      <c r="N284" s="10">
        <v>581</v>
      </c>
      <c r="O284" s="10">
        <v>4</v>
      </c>
      <c r="P284" s="10">
        <v>0</v>
      </c>
    </row>
    <row r="285" spans="4:16" x14ac:dyDescent="0.25">
      <c r="D285" s="95">
        <v>281</v>
      </c>
      <c r="E285" s="10">
        <v>582</v>
      </c>
      <c r="F285" s="10">
        <v>4</v>
      </c>
      <c r="G285" s="10">
        <v>0</v>
      </c>
      <c r="H285" s="5" t="str">
        <f t="shared" si="12"/>
        <v>det_582</v>
      </c>
      <c r="I285" s="5" t="str">
        <f t="shared" si="13"/>
        <v>W:\Performance Measurement\1. Freeway\1. raw data\2014\data files\det_582.txt</v>
      </c>
      <c r="J285" s="5" t="str">
        <f t="shared" si="14"/>
        <v>W:\Performance Measurement\1. Freeway\1. raw data\2014\data files\det_582.xlsx</v>
      </c>
      <c r="K285" s="5"/>
      <c r="M285" s="108" t="s">
        <v>77</v>
      </c>
      <c r="N285" s="10">
        <v>582</v>
      </c>
      <c r="O285" s="10">
        <v>4</v>
      </c>
      <c r="P285" s="10">
        <v>0</v>
      </c>
    </row>
    <row r="286" spans="4:16" x14ac:dyDescent="0.25">
      <c r="D286" s="95">
        <v>282</v>
      </c>
      <c r="E286" s="10">
        <v>583</v>
      </c>
      <c r="F286" s="10">
        <v>4</v>
      </c>
      <c r="G286" s="10">
        <v>0</v>
      </c>
      <c r="H286" s="5" t="str">
        <f t="shared" si="12"/>
        <v>det_583</v>
      </c>
      <c r="I286" s="5" t="str">
        <f t="shared" si="13"/>
        <v>W:\Performance Measurement\1. Freeway\1. raw data\2014\data files\det_583.txt</v>
      </c>
      <c r="J286" s="5" t="str">
        <f t="shared" si="14"/>
        <v>W:\Performance Measurement\1. Freeway\1. raw data\2014\data files\det_583.xlsx</v>
      </c>
      <c r="K286" s="5"/>
      <c r="M286" s="108" t="s">
        <v>77</v>
      </c>
      <c r="N286" s="10">
        <v>583</v>
      </c>
      <c r="O286" s="10">
        <v>4</v>
      </c>
      <c r="P286" s="10">
        <v>0</v>
      </c>
    </row>
    <row r="287" spans="4:16" x14ac:dyDescent="0.25">
      <c r="D287" s="95">
        <v>283</v>
      </c>
      <c r="E287" s="10">
        <v>584</v>
      </c>
      <c r="F287" s="10">
        <v>4</v>
      </c>
      <c r="G287" s="10">
        <v>0</v>
      </c>
      <c r="H287" s="5" t="str">
        <f t="shared" si="12"/>
        <v>det_584</v>
      </c>
      <c r="I287" s="5" t="str">
        <f t="shared" si="13"/>
        <v>W:\Performance Measurement\1. Freeway\1. raw data\2014\data files\det_584.txt</v>
      </c>
      <c r="J287" s="5" t="str">
        <f t="shared" si="14"/>
        <v>W:\Performance Measurement\1. Freeway\1. raw data\2014\data files\det_584.xlsx</v>
      </c>
      <c r="K287" s="5"/>
      <c r="M287" s="108" t="s">
        <v>77</v>
      </c>
      <c r="N287" s="10">
        <v>584</v>
      </c>
      <c r="O287" s="10">
        <v>4</v>
      </c>
      <c r="P287" s="10">
        <v>0</v>
      </c>
    </row>
    <row r="288" spans="4:16" x14ac:dyDescent="0.25">
      <c r="D288" s="95">
        <v>284</v>
      </c>
      <c r="E288" s="10">
        <v>585</v>
      </c>
      <c r="F288" s="10">
        <v>3</v>
      </c>
      <c r="G288" s="10">
        <v>0</v>
      </c>
      <c r="H288" s="5" t="str">
        <f t="shared" si="12"/>
        <v>det_585</v>
      </c>
      <c r="I288" s="5" t="str">
        <f t="shared" si="13"/>
        <v>W:\Performance Measurement\1. Freeway\1. raw data\2014\data files\det_585.txt</v>
      </c>
      <c r="J288" s="5" t="str">
        <f t="shared" si="14"/>
        <v>W:\Performance Measurement\1. Freeway\1. raw data\2014\data files\det_585.xlsx</v>
      </c>
      <c r="K288" s="5"/>
      <c r="M288" s="108" t="s">
        <v>77</v>
      </c>
      <c r="N288" s="10">
        <v>585</v>
      </c>
      <c r="O288" s="10">
        <v>3</v>
      </c>
      <c r="P288" s="10">
        <v>0</v>
      </c>
    </row>
    <row r="289" spans="4:16" x14ac:dyDescent="0.25">
      <c r="D289" s="95">
        <v>285</v>
      </c>
      <c r="E289" s="10">
        <v>607</v>
      </c>
      <c r="F289" s="10">
        <v>2</v>
      </c>
      <c r="G289" s="10">
        <v>1</v>
      </c>
      <c r="H289" s="5" t="str">
        <f t="shared" si="12"/>
        <v>det_607</v>
      </c>
      <c r="I289" s="5" t="str">
        <f t="shared" si="13"/>
        <v>W:\Performance Measurement\1. Freeway\1. raw data\2014\data files\det_607.txt</v>
      </c>
      <c r="J289" s="5" t="str">
        <f t="shared" si="14"/>
        <v>W:\Performance Measurement\1. Freeway\1. raw data\2014\data files\det_607.xlsx</v>
      </c>
      <c r="K289" s="5"/>
      <c r="M289" s="108" t="s">
        <v>78</v>
      </c>
      <c r="N289" s="10">
        <v>607</v>
      </c>
      <c r="O289" s="10">
        <v>2</v>
      </c>
      <c r="P289" s="10">
        <v>1</v>
      </c>
    </row>
    <row r="290" spans="4:16" x14ac:dyDescent="0.25">
      <c r="D290" s="95">
        <v>286</v>
      </c>
      <c r="E290" s="10">
        <v>608</v>
      </c>
      <c r="F290" s="10">
        <v>3</v>
      </c>
      <c r="G290" s="10">
        <v>1</v>
      </c>
      <c r="H290" s="5" t="str">
        <f t="shared" si="12"/>
        <v>det_608</v>
      </c>
      <c r="I290" s="5" t="str">
        <f t="shared" si="13"/>
        <v>W:\Performance Measurement\1. Freeway\1. raw data\2014\data files\det_608.txt</v>
      </c>
      <c r="J290" s="5" t="str">
        <f t="shared" si="14"/>
        <v>W:\Performance Measurement\1. Freeway\1. raw data\2014\data files\det_608.xlsx</v>
      </c>
      <c r="K290" s="5"/>
      <c r="M290" s="108" t="s">
        <v>78</v>
      </c>
      <c r="N290" s="10">
        <v>608</v>
      </c>
      <c r="O290" s="10">
        <v>3</v>
      </c>
      <c r="P290" s="10">
        <v>1</v>
      </c>
    </row>
    <row r="291" spans="4:16" x14ac:dyDescent="0.25">
      <c r="D291" s="95">
        <v>287</v>
      </c>
      <c r="E291" s="10">
        <v>609</v>
      </c>
      <c r="F291" s="10">
        <v>3</v>
      </c>
      <c r="G291" s="10">
        <v>1</v>
      </c>
      <c r="H291" s="5" t="str">
        <f t="shared" si="12"/>
        <v>det_609</v>
      </c>
      <c r="I291" s="5" t="str">
        <f t="shared" si="13"/>
        <v>W:\Performance Measurement\1. Freeway\1. raw data\2014\data files\det_609.txt</v>
      </c>
      <c r="J291" s="5" t="str">
        <f t="shared" si="14"/>
        <v>W:\Performance Measurement\1. Freeway\1. raw data\2014\data files\det_609.xlsx</v>
      </c>
      <c r="K291" s="5"/>
      <c r="M291" s="108" t="s">
        <v>78</v>
      </c>
      <c r="N291" s="10">
        <v>609</v>
      </c>
      <c r="O291" s="10">
        <v>3</v>
      </c>
      <c r="P291" s="10">
        <v>1</v>
      </c>
    </row>
    <row r="292" spans="4:16" x14ac:dyDescent="0.25">
      <c r="D292" s="95">
        <v>288</v>
      </c>
      <c r="E292" s="10">
        <v>610</v>
      </c>
      <c r="F292" s="10">
        <v>3</v>
      </c>
      <c r="G292" s="10">
        <v>1</v>
      </c>
      <c r="H292" s="5" t="str">
        <f t="shared" si="12"/>
        <v>det_610</v>
      </c>
      <c r="I292" s="5" t="str">
        <f t="shared" si="13"/>
        <v>W:\Performance Measurement\1. Freeway\1. raw data\2014\data files\det_610.txt</v>
      </c>
      <c r="J292" s="5" t="str">
        <f t="shared" si="14"/>
        <v>W:\Performance Measurement\1. Freeway\1. raw data\2014\data files\det_610.xlsx</v>
      </c>
      <c r="K292" s="5"/>
      <c r="M292" s="108" t="s">
        <v>78</v>
      </c>
      <c r="N292" s="10">
        <v>610</v>
      </c>
      <c r="O292" s="10">
        <v>3</v>
      </c>
      <c r="P292" s="10">
        <v>1</v>
      </c>
    </row>
    <row r="293" spans="4:16" x14ac:dyDescent="0.25">
      <c r="D293" s="95">
        <v>289</v>
      </c>
      <c r="E293" s="10">
        <v>611</v>
      </c>
      <c r="F293" s="10">
        <v>3</v>
      </c>
      <c r="G293" s="10">
        <v>1</v>
      </c>
      <c r="H293" s="5" t="str">
        <f t="shared" si="12"/>
        <v>det_611</v>
      </c>
      <c r="I293" s="5" t="str">
        <f t="shared" si="13"/>
        <v>W:\Performance Measurement\1. Freeway\1. raw data\2014\data files\det_611.txt</v>
      </c>
      <c r="J293" s="5" t="str">
        <f t="shared" si="14"/>
        <v>W:\Performance Measurement\1. Freeway\1. raw data\2014\data files\det_611.xlsx</v>
      </c>
      <c r="K293" s="5"/>
      <c r="M293" s="108" t="s">
        <v>78</v>
      </c>
      <c r="N293" s="10">
        <v>611</v>
      </c>
      <c r="O293" s="10">
        <v>3</v>
      </c>
      <c r="P293" s="10">
        <v>1</v>
      </c>
    </row>
    <row r="294" spans="4:16" x14ac:dyDescent="0.25">
      <c r="D294" s="95">
        <v>290</v>
      </c>
      <c r="E294" s="10">
        <v>612</v>
      </c>
      <c r="F294" s="10">
        <v>3</v>
      </c>
      <c r="G294" s="10">
        <v>1</v>
      </c>
      <c r="H294" s="5" t="str">
        <f t="shared" si="12"/>
        <v>det_612</v>
      </c>
      <c r="I294" s="5" t="str">
        <f t="shared" si="13"/>
        <v>W:\Performance Measurement\1. Freeway\1. raw data\2014\data files\det_612.txt</v>
      </c>
      <c r="J294" s="5" t="str">
        <f t="shared" si="14"/>
        <v>W:\Performance Measurement\1. Freeway\1. raw data\2014\data files\det_612.xlsx</v>
      </c>
      <c r="K294" s="5"/>
      <c r="M294" s="108" t="s">
        <v>78</v>
      </c>
      <c r="N294" s="10">
        <v>612</v>
      </c>
      <c r="O294" s="10">
        <v>3</v>
      </c>
      <c r="P294" s="10">
        <v>1</v>
      </c>
    </row>
    <row r="295" spans="4:16" x14ac:dyDescent="0.25">
      <c r="D295" s="95">
        <v>291</v>
      </c>
      <c r="E295" s="10">
        <v>613</v>
      </c>
      <c r="F295" s="10">
        <v>3</v>
      </c>
      <c r="G295" s="10">
        <v>1</v>
      </c>
      <c r="H295" s="5" t="str">
        <f t="shared" si="12"/>
        <v>det_613</v>
      </c>
      <c r="I295" s="5" t="str">
        <f t="shared" si="13"/>
        <v>W:\Performance Measurement\1. Freeway\1. raw data\2014\data files\det_613.txt</v>
      </c>
      <c r="J295" s="5" t="str">
        <f t="shared" si="14"/>
        <v>W:\Performance Measurement\1. Freeway\1. raw data\2014\data files\det_613.xlsx</v>
      </c>
      <c r="K295" s="5"/>
      <c r="M295" s="108" t="s">
        <v>78</v>
      </c>
      <c r="N295" s="10">
        <v>613</v>
      </c>
      <c r="O295" s="10">
        <v>3</v>
      </c>
      <c r="P295" s="10">
        <v>1</v>
      </c>
    </row>
    <row r="296" spans="4:16" x14ac:dyDescent="0.25">
      <c r="D296" s="95">
        <v>292</v>
      </c>
      <c r="E296" s="10">
        <v>614</v>
      </c>
      <c r="F296" s="10">
        <v>3</v>
      </c>
      <c r="G296" s="10">
        <v>1</v>
      </c>
      <c r="H296" s="5" t="str">
        <f t="shared" si="12"/>
        <v>det_614</v>
      </c>
      <c r="I296" s="5" t="str">
        <f t="shared" si="13"/>
        <v>W:\Performance Measurement\1. Freeway\1. raw data\2014\data files\det_614.txt</v>
      </c>
      <c r="J296" s="5" t="str">
        <f t="shared" si="14"/>
        <v>W:\Performance Measurement\1. Freeway\1. raw data\2014\data files\det_614.xlsx</v>
      </c>
      <c r="K296" s="5"/>
      <c r="M296" s="108" t="s">
        <v>78</v>
      </c>
      <c r="N296" s="10">
        <v>614</v>
      </c>
      <c r="O296" s="10">
        <v>3</v>
      </c>
      <c r="P296" s="10">
        <v>1</v>
      </c>
    </row>
    <row r="297" spans="4:16" x14ac:dyDescent="0.25">
      <c r="D297" s="95">
        <v>293</v>
      </c>
      <c r="E297" s="10">
        <v>615</v>
      </c>
      <c r="F297" s="10">
        <v>3</v>
      </c>
      <c r="G297" s="10">
        <v>1</v>
      </c>
      <c r="H297" s="5" t="str">
        <f t="shared" si="12"/>
        <v>det_615</v>
      </c>
      <c r="I297" s="5" t="str">
        <f t="shared" si="13"/>
        <v>W:\Performance Measurement\1. Freeway\1. raw data\2014\data files\det_615.txt</v>
      </c>
      <c r="J297" s="5" t="str">
        <f t="shared" si="14"/>
        <v>W:\Performance Measurement\1. Freeway\1. raw data\2014\data files\det_615.xlsx</v>
      </c>
      <c r="K297" s="5"/>
      <c r="M297" s="108" t="s">
        <v>78</v>
      </c>
      <c r="N297" s="10">
        <v>615</v>
      </c>
      <c r="O297" s="10">
        <v>3</v>
      </c>
      <c r="P297" s="10">
        <v>1</v>
      </c>
    </row>
    <row r="298" spans="4:16" x14ac:dyDescent="0.25">
      <c r="D298" s="95">
        <v>294</v>
      </c>
      <c r="E298" s="10">
        <v>616</v>
      </c>
      <c r="F298" s="10">
        <v>3</v>
      </c>
      <c r="G298" s="10">
        <v>1</v>
      </c>
      <c r="H298" s="5" t="str">
        <f t="shared" si="12"/>
        <v>det_616</v>
      </c>
      <c r="I298" s="5" t="str">
        <f t="shared" si="13"/>
        <v>W:\Performance Measurement\1. Freeway\1. raw data\2014\data files\det_616.txt</v>
      </c>
      <c r="J298" s="5" t="str">
        <f t="shared" si="14"/>
        <v>W:\Performance Measurement\1. Freeway\1. raw data\2014\data files\det_616.xlsx</v>
      </c>
      <c r="K298" s="5"/>
      <c r="M298" s="108" t="s">
        <v>78</v>
      </c>
      <c r="N298" s="10">
        <v>616</v>
      </c>
      <c r="O298" s="10">
        <v>3</v>
      </c>
      <c r="P298" s="10">
        <v>1</v>
      </c>
    </row>
    <row r="299" spans="4:16" x14ac:dyDescent="0.25">
      <c r="D299" s="95">
        <v>295</v>
      </c>
      <c r="E299" s="10">
        <v>617</v>
      </c>
      <c r="F299" s="10">
        <v>3</v>
      </c>
      <c r="G299" s="10">
        <v>1</v>
      </c>
      <c r="H299" s="5" t="str">
        <f t="shared" si="12"/>
        <v>det_617</v>
      </c>
      <c r="I299" s="5" t="str">
        <f t="shared" si="13"/>
        <v>W:\Performance Measurement\1. Freeway\1. raw data\2014\data files\det_617.txt</v>
      </c>
      <c r="J299" s="5" t="str">
        <f t="shared" si="14"/>
        <v>W:\Performance Measurement\1. Freeway\1. raw data\2014\data files\det_617.xlsx</v>
      </c>
      <c r="K299" s="5"/>
      <c r="M299" s="108" t="s">
        <v>78</v>
      </c>
      <c r="N299" s="10">
        <v>617</v>
      </c>
      <c r="O299" s="10">
        <v>3</v>
      </c>
      <c r="P299" s="10">
        <v>1</v>
      </c>
    </row>
    <row r="300" spans="4:16" x14ac:dyDescent="0.25">
      <c r="D300" s="95">
        <v>296</v>
      </c>
      <c r="E300" s="10">
        <v>618</v>
      </c>
      <c r="F300" s="10">
        <v>3</v>
      </c>
      <c r="G300" s="10">
        <v>1</v>
      </c>
      <c r="H300" s="5" t="str">
        <f t="shared" si="12"/>
        <v>det_618</v>
      </c>
      <c r="I300" s="5" t="str">
        <f t="shared" si="13"/>
        <v>W:\Performance Measurement\1. Freeway\1. raw data\2014\data files\det_618.txt</v>
      </c>
      <c r="J300" s="5" t="str">
        <f t="shared" si="14"/>
        <v>W:\Performance Measurement\1. Freeway\1. raw data\2014\data files\det_618.xlsx</v>
      </c>
      <c r="K300" s="5"/>
      <c r="M300" s="108" t="s">
        <v>78</v>
      </c>
      <c r="N300" s="10">
        <v>618</v>
      </c>
      <c r="O300" s="10">
        <v>3</v>
      </c>
      <c r="P300" s="10">
        <v>1</v>
      </c>
    </row>
    <row r="301" spans="4:16" x14ac:dyDescent="0.25">
      <c r="D301" s="95">
        <v>297</v>
      </c>
      <c r="E301" s="10">
        <v>619</v>
      </c>
      <c r="F301" s="10">
        <v>3</v>
      </c>
      <c r="G301" s="10">
        <v>1</v>
      </c>
      <c r="H301" s="5" t="str">
        <f t="shared" si="12"/>
        <v>det_619</v>
      </c>
      <c r="I301" s="5" t="str">
        <f t="shared" si="13"/>
        <v>W:\Performance Measurement\1. Freeway\1. raw data\2014\data files\det_619.txt</v>
      </c>
      <c r="J301" s="5" t="str">
        <f t="shared" si="14"/>
        <v>W:\Performance Measurement\1. Freeway\1. raw data\2014\data files\det_619.xlsx</v>
      </c>
      <c r="M301" s="108" t="s">
        <v>78</v>
      </c>
      <c r="N301" s="10">
        <v>619</v>
      </c>
      <c r="O301" s="10">
        <v>3</v>
      </c>
      <c r="P301" s="10">
        <v>1</v>
      </c>
    </row>
    <row r="302" spans="4:16" x14ac:dyDescent="0.25">
      <c r="D302" s="95">
        <v>298</v>
      </c>
      <c r="E302" s="10">
        <v>620</v>
      </c>
      <c r="F302" s="10">
        <v>3</v>
      </c>
      <c r="G302" s="10">
        <v>1</v>
      </c>
      <c r="H302" s="5" t="str">
        <f t="shared" si="12"/>
        <v>det_620</v>
      </c>
      <c r="I302" s="5" t="str">
        <f t="shared" si="13"/>
        <v>W:\Performance Measurement\1. Freeway\1. raw data\2014\data files\det_620.txt</v>
      </c>
      <c r="J302" s="5" t="str">
        <f t="shared" si="14"/>
        <v>W:\Performance Measurement\1. Freeway\1. raw data\2014\data files\det_620.xlsx</v>
      </c>
      <c r="M302" s="108" t="s">
        <v>78</v>
      </c>
      <c r="N302" s="10">
        <v>620</v>
      </c>
      <c r="O302" s="10">
        <v>3</v>
      </c>
      <c r="P302" s="10">
        <v>1</v>
      </c>
    </row>
    <row r="303" spans="4:16" x14ac:dyDescent="0.25">
      <c r="D303" s="95">
        <v>299</v>
      </c>
      <c r="E303" s="10">
        <v>643</v>
      </c>
      <c r="F303" s="10">
        <v>2</v>
      </c>
      <c r="G303" s="10">
        <v>1</v>
      </c>
      <c r="H303" s="5" t="str">
        <f t="shared" si="12"/>
        <v>det_643</v>
      </c>
      <c r="I303" s="5" t="str">
        <f t="shared" si="13"/>
        <v>W:\Performance Measurement\1. Freeway\1. raw data\2014\data files\det_643.txt</v>
      </c>
      <c r="J303" s="5" t="str">
        <f t="shared" si="14"/>
        <v>W:\Performance Measurement\1. Freeway\1. raw data\2014\data files\det_643.xlsx</v>
      </c>
      <c r="M303" s="108" t="s">
        <v>282</v>
      </c>
      <c r="N303" s="10">
        <v>643</v>
      </c>
      <c r="O303" s="10">
        <v>2</v>
      </c>
      <c r="P303" s="10">
        <v>1</v>
      </c>
    </row>
    <row r="304" spans="4:16" x14ac:dyDescent="0.25">
      <c r="D304" s="95">
        <v>300</v>
      </c>
      <c r="E304" s="10">
        <v>644</v>
      </c>
      <c r="F304" s="10">
        <v>2</v>
      </c>
      <c r="G304" s="10">
        <v>1</v>
      </c>
      <c r="H304" s="5" t="str">
        <f t="shared" si="12"/>
        <v>det_644</v>
      </c>
      <c r="I304" s="5" t="str">
        <f t="shared" si="13"/>
        <v>W:\Performance Measurement\1. Freeway\1. raw data\2014\data files\det_644.txt</v>
      </c>
      <c r="J304" s="5" t="str">
        <f t="shared" si="14"/>
        <v>W:\Performance Measurement\1. Freeway\1. raw data\2014\data files\det_644.xlsx</v>
      </c>
      <c r="M304" s="108" t="s">
        <v>282</v>
      </c>
      <c r="N304" s="10">
        <v>644</v>
      </c>
      <c r="O304" s="10">
        <v>2</v>
      </c>
      <c r="P304" s="10">
        <v>1</v>
      </c>
    </row>
    <row r="305" spans="4:16" x14ac:dyDescent="0.25">
      <c r="D305" s="95">
        <v>301</v>
      </c>
      <c r="E305" s="10">
        <v>645</v>
      </c>
      <c r="F305" s="10">
        <v>2</v>
      </c>
      <c r="G305" s="10">
        <v>1</v>
      </c>
      <c r="H305" s="5" t="str">
        <f t="shared" si="12"/>
        <v>det_645</v>
      </c>
      <c r="I305" s="5" t="str">
        <f t="shared" si="13"/>
        <v>W:\Performance Measurement\1. Freeway\1. raw data\2014\data files\det_645.txt</v>
      </c>
      <c r="J305" s="5" t="str">
        <f t="shared" si="14"/>
        <v>W:\Performance Measurement\1. Freeway\1. raw data\2014\data files\det_645.xlsx</v>
      </c>
      <c r="M305" s="108" t="s">
        <v>282</v>
      </c>
      <c r="N305" s="10">
        <v>645</v>
      </c>
      <c r="O305" s="10">
        <v>2</v>
      </c>
      <c r="P305" s="10">
        <v>1</v>
      </c>
    </row>
    <row r="306" spans="4:16" x14ac:dyDescent="0.25">
      <c r="D306" s="95">
        <v>302</v>
      </c>
      <c r="E306" s="10">
        <v>646</v>
      </c>
      <c r="F306" s="10">
        <v>2</v>
      </c>
      <c r="G306" s="10">
        <v>1</v>
      </c>
      <c r="H306" s="5" t="str">
        <f t="shared" si="12"/>
        <v>det_646</v>
      </c>
      <c r="I306" s="5" t="str">
        <f t="shared" si="13"/>
        <v>W:\Performance Measurement\1. Freeway\1. raw data\2014\data files\det_646.txt</v>
      </c>
      <c r="J306" s="5" t="str">
        <f t="shared" si="14"/>
        <v>W:\Performance Measurement\1. Freeway\1. raw data\2014\data files\det_646.xlsx</v>
      </c>
      <c r="M306" s="108" t="s">
        <v>282</v>
      </c>
      <c r="N306" s="10">
        <v>646</v>
      </c>
      <c r="O306" s="10">
        <v>2</v>
      </c>
      <c r="P306" s="10">
        <v>1</v>
      </c>
    </row>
    <row r="307" spans="4:16" x14ac:dyDescent="0.25">
      <c r="D307" s="95">
        <v>303</v>
      </c>
      <c r="E307" s="10">
        <v>647</v>
      </c>
      <c r="F307" s="10">
        <v>2</v>
      </c>
      <c r="G307" s="10">
        <v>1</v>
      </c>
      <c r="H307" s="5" t="str">
        <f t="shared" si="12"/>
        <v>det_647</v>
      </c>
      <c r="I307" s="5" t="str">
        <f t="shared" si="13"/>
        <v>W:\Performance Measurement\1. Freeway\1. raw data\2014\data files\det_647.txt</v>
      </c>
      <c r="J307" s="5" t="str">
        <f t="shared" si="14"/>
        <v>W:\Performance Measurement\1. Freeway\1. raw data\2014\data files\det_647.xlsx</v>
      </c>
      <c r="M307" s="108" t="s">
        <v>282</v>
      </c>
      <c r="N307" s="10">
        <v>647</v>
      </c>
      <c r="O307" s="10">
        <v>2</v>
      </c>
      <c r="P307" s="10">
        <v>1</v>
      </c>
    </row>
    <row r="308" spans="4:16" x14ac:dyDescent="0.25">
      <c r="D308" s="95">
        <v>304</v>
      </c>
      <c r="E308" s="10">
        <v>648</v>
      </c>
      <c r="F308" s="10">
        <v>2</v>
      </c>
      <c r="G308" s="10">
        <v>1</v>
      </c>
      <c r="H308" s="5" t="str">
        <f t="shared" si="12"/>
        <v>det_648</v>
      </c>
      <c r="I308" s="5" t="str">
        <f t="shared" si="13"/>
        <v>W:\Performance Measurement\1. Freeway\1. raw data\2014\data files\det_648.txt</v>
      </c>
      <c r="J308" s="5" t="str">
        <f t="shared" si="14"/>
        <v>W:\Performance Measurement\1. Freeway\1. raw data\2014\data files\det_648.xlsx</v>
      </c>
      <c r="M308" s="108" t="s">
        <v>282</v>
      </c>
      <c r="N308" s="10">
        <v>648</v>
      </c>
      <c r="O308" s="10">
        <v>2</v>
      </c>
      <c r="P308" s="10">
        <v>1</v>
      </c>
    </row>
    <row r="309" spans="4:16" x14ac:dyDescent="0.25">
      <c r="D309" s="95">
        <v>305</v>
      </c>
      <c r="E309" s="10">
        <v>649</v>
      </c>
      <c r="F309" s="10">
        <v>2</v>
      </c>
      <c r="G309" s="10">
        <v>1</v>
      </c>
      <c r="H309" s="5" t="str">
        <f t="shared" si="12"/>
        <v>det_649</v>
      </c>
      <c r="I309" s="5" t="str">
        <f t="shared" si="13"/>
        <v>W:\Performance Measurement\1. Freeway\1. raw data\2014\data files\det_649.txt</v>
      </c>
      <c r="J309" s="5" t="str">
        <f t="shared" si="14"/>
        <v>W:\Performance Measurement\1. Freeway\1. raw data\2014\data files\det_649.xlsx</v>
      </c>
      <c r="M309" s="108" t="s">
        <v>282</v>
      </c>
      <c r="N309" s="10">
        <v>649</v>
      </c>
      <c r="O309" s="10">
        <v>2</v>
      </c>
      <c r="P309" s="10">
        <v>1</v>
      </c>
    </row>
    <row r="310" spans="4:16" x14ac:dyDescent="0.25">
      <c r="D310" s="95">
        <v>306</v>
      </c>
      <c r="E310" s="10">
        <v>650</v>
      </c>
      <c r="F310" s="10">
        <v>3</v>
      </c>
      <c r="G310" s="10">
        <v>1</v>
      </c>
      <c r="H310" s="5" t="str">
        <f t="shared" si="12"/>
        <v>det_650</v>
      </c>
      <c r="I310" s="5" t="str">
        <f t="shared" si="13"/>
        <v>W:\Performance Measurement\1. Freeway\1. raw data\2014\data files\det_650.txt</v>
      </c>
      <c r="J310" s="5" t="str">
        <f t="shared" si="14"/>
        <v>W:\Performance Measurement\1. Freeway\1. raw data\2014\data files\det_650.xlsx</v>
      </c>
      <c r="M310" s="108" t="s">
        <v>282</v>
      </c>
      <c r="N310" s="10">
        <v>650</v>
      </c>
      <c r="O310" s="10">
        <v>3</v>
      </c>
      <c r="P310" s="10">
        <v>1</v>
      </c>
    </row>
    <row r="311" spans="4:16" x14ac:dyDescent="0.25">
      <c r="D311" s="95">
        <v>307</v>
      </c>
      <c r="E311" s="10">
        <v>659</v>
      </c>
      <c r="F311" s="10">
        <v>2</v>
      </c>
      <c r="G311" s="10">
        <v>1</v>
      </c>
      <c r="H311" s="5" t="str">
        <f t="shared" si="12"/>
        <v>det_659</v>
      </c>
      <c r="I311" s="5" t="str">
        <f t="shared" si="13"/>
        <v>W:\Performance Measurement\1. Freeway\1. raw data\2014\data files\det_659.txt</v>
      </c>
      <c r="J311" s="5" t="str">
        <f t="shared" si="14"/>
        <v>W:\Performance Measurement\1. Freeway\1. raw data\2014\data files\det_659.xlsx</v>
      </c>
      <c r="M311" s="108" t="s">
        <v>282</v>
      </c>
      <c r="N311" s="10">
        <v>659</v>
      </c>
      <c r="O311" s="10">
        <v>2</v>
      </c>
      <c r="P311" s="10">
        <v>1</v>
      </c>
    </row>
    <row r="312" spans="4:16" x14ac:dyDescent="0.25">
      <c r="D312" s="95">
        <v>308</v>
      </c>
      <c r="E312" s="10">
        <v>660</v>
      </c>
      <c r="F312" s="10">
        <v>2</v>
      </c>
      <c r="G312" s="10">
        <v>1</v>
      </c>
      <c r="H312" s="5" t="str">
        <f t="shared" si="12"/>
        <v>det_660</v>
      </c>
      <c r="I312" s="5" t="str">
        <f t="shared" si="13"/>
        <v>W:\Performance Measurement\1. Freeway\1. raw data\2014\data files\det_660.txt</v>
      </c>
      <c r="J312" s="5" t="str">
        <f t="shared" si="14"/>
        <v>W:\Performance Measurement\1. Freeway\1. raw data\2014\data files\det_660.xlsx</v>
      </c>
      <c r="M312" s="108" t="s">
        <v>282</v>
      </c>
      <c r="N312" s="10">
        <v>660</v>
      </c>
      <c r="O312" s="10">
        <v>2</v>
      </c>
      <c r="P312" s="10">
        <v>1</v>
      </c>
    </row>
    <row r="313" spans="4:16" x14ac:dyDescent="0.25">
      <c r="D313" s="95">
        <v>309</v>
      </c>
      <c r="E313" s="10">
        <v>661</v>
      </c>
      <c r="F313" s="10">
        <v>2</v>
      </c>
      <c r="G313" s="10">
        <v>1</v>
      </c>
      <c r="H313" s="5" t="str">
        <f t="shared" si="12"/>
        <v>det_661</v>
      </c>
      <c r="I313" s="5" t="str">
        <f t="shared" si="13"/>
        <v>W:\Performance Measurement\1. Freeway\1. raw data\2014\data files\det_661.txt</v>
      </c>
      <c r="J313" s="5" t="str">
        <f t="shared" si="14"/>
        <v>W:\Performance Measurement\1. Freeway\1. raw data\2014\data files\det_661.xlsx</v>
      </c>
      <c r="M313" s="108" t="s">
        <v>282</v>
      </c>
      <c r="N313" s="10">
        <v>661</v>
      </c>
      <c r="O313" s="10">
        <v>2</v>
      </c>
      <c r="P313" s="10">
        <v>1</v>
      </c>
    </row>
    <row r="314" spans="4:16" x14ac:dyDescent="0.25">
      <c r="D314" s="95">
        <v>310</v>
      </c>
      <c r="E314" s="10">
        <v>662</v>
      </c>
      <c r="F314" s="10">
        <v>2</v>
      </c>
      <c r="G314" s="10">
        <v>1</v>
      </c>
      <c r="H314" s="5" t="str">
        <f t="shared" si="12"/>
        <v>det_662</v>
      </c>
      <c r="I314" s="5" t="str">
        <f t="shared" si="13"/>
        <v>W:\Performance Measurement\1. Freeway\1. raw data\2014\data files\det_662.txt</v>
      </c>
      <c r="J314" s="5" t="str">
        <f t="shared" si="14"/>
        <v>W:\Performance Measurement\1. Freeway\1. raw data\2014\data files\det_662.xlsx</v>
      </c>
      <c r="M314" s="108" t="s">
        <v>282</v>
      </c>
      <c r="N314" s="10">
        <v>662</v>
      </c>
      <c r="O314" s="10">
        <v>2</v>
      </c>
      <c r="P314" s="10">
        <v>1</v>
      </c>
    </row>
    <row r="315" spans="4:16" x14ac:dyDescent="0.25">
      <c r="D315" s="95">
        <v>311</v>
      </c>
      <c r="E315" s="10">
        <v>663</v>
      </c>
      <c r="F315" s="10">
        <v>2</v>
      </c>
      <c r="G315" s="10">
        <v>1</v>
      </c>
      <c r="H315" s="5" t="str">
        <f t="shared" si="12"/>
        <v>det_663</v>
      </c>
      <c r="I315" s="5" t="str">
        <f t="shared" si="13"/>
        <v>W:\Performance Measurement\1. Freeway\1. raw data\2014\data files\det_663.txt</v>
      </c>
      <c r="J315" s="5" t="str">
        <f t="shared" si="14"/>
        <v>W:\Performance Measurement\1. Freeway\1. raw data\2014\data files\det_663.xlsx</v>
      </c>
      <c r="M315" s="108" t="s">
        <v>282</v>
      </c>
      <c r="N315" s="10">
        <v>663</v>
      </c>
      <c r="O315" s="10">
        <v>2</v>
      </c>
      <c r="P315" s="10">
        <v>1</v>
      </c>
    </row>
    <row r="316" spans="4:16" x14ac:dyDescent="0.25">
      <c r="D316" s="95">
        <v>312</v>
      </c>
      <c r="E316" s="10">
        <v>664</v>
      </c>
      <c r="F316" s="10">
        <v>2</v>
      </c>
      <c r="G316" s="10">
        <v>1</v>
      </c>
      <c r="H316" s="5" t="str">
        <f t="shared" si="12"/>
        <v>det_664</v>
      </c>
      <c r="I316" s="5" t="str">
        <f t="shared" si="13"/>
        <v>W:\Performance Measurement\1. Freeway\1. raw data\2014\data files\det_664.txt</v>
      </c>
      <c r="J316" s="5" t="str">
        <f t="shared" si="14"/>
        <v>W:\Performance Measurement\1. Freeway\1. raw data\2014\data files\det_664.xlsx</v>
      </c>
      <c r="M316" s="108" t="s">
        <v>282</v>
      </c>
      <c r="N316" s="10">
        <v>664</v>
      </c>
      <c r="O316" s="10">
        <v>2</v>
      </c>
      <c r="P316" s="10">
        <v>1</v>
      </c>
    </row>
    <row r="317" spans="4:16" x14ac:dyDescent="0.25">
      <c r="D317" s="95">
        <v>313</v>
      </c>
      <c r="E317" s="10">
        <v>665</v>
      </c>
      <c r="F317" s="10">
        <v>2</v>
      </c>
      <c r="G317" s="10">
        <v>1</v>
      </c>
      <c r="H317" s="5" t="str">
        <f t="shared" si="12"/>
        <v>det_665</v>
      </c>
      <c r="I317" s="5" t="str">
        <f t="shared" si="13"/>
        <v>W:\Performance Measurement\1. Freeway\1. raw data\2014\data files\det_665.txt</v>
      </c>
      <c r="J317" s="5" t="str">
        <f t="shared" si="14"/>
        <v>W:\Performance Measurement\1. Freeway\1. raw data\2014\data files\det_665.xlsx</v>
      </c>
      <c r="M317" s="108" t="s">
        <v>282</v>
      </c>
      <c r="N317" s="10">
        <v>665</v>
      </c>
      <c r="O317" s="10">
        <v>2</v>
      </c>
      <c r="P317" s="10">
        <v>1</v>
      </c>
    </row>
    <row r="318" spans="4:16" x14ac:dyDescent="0.25">
      <c r="D318" s="95">
        <v>314</v>
      </c>
      <c r="E318" s="10">
        <v>635</v>
      </c>
      <c r="F318" s="10">
        <v>2</v>
      </c>
      <c r="G318" s="10">
        <v>0</v>
      </c>
      <c r="H318" s="5" t="str">
        <f t="shared" si="12"/>
        <v>det_635</v>
      </c>
      <c r="I318" s="5" t="str">
        <f t="shared" si="13"/>
        <v>W:\Performance Measurement\1. Freeway\1. raw data\2014\data files\det_635.txt</v>
      </c>
      <c r="J318" s="5" t="str">
        <f t="shared" si="14"/>
        <v>W:\Performance Measurement\1. Freeway\1. raw data\2014\data files\det_635.xlsx</v>
      </c>
      <c r="M318" s="108" t="s">
        <v>283</v>
      </c>
      <c r="N318" s="10">
        <v>635</v>
      </c>
      <c r="O318" s="10">
        <v>2</v>
      </c>
      <c r="P318" s="10">
        <v>0</v>
      </c>
    </row>
    <row r="319" spans="4:16" x14ac:dyDescent="0.25">
      <c r="D319" s="95">
        <v>315</v>
      </c>
      <c r="E319" s="10">
        <v>636</v>
      </c>
      <c r="F319" s="10">
        <v>2</v>
      </c>
      <c r="G319" s="10">
        <v>1</v>
      </c>
      <c r="H319" s="5" t="str">
        <f t="shared" si="12"/>
        <v>det_636</v>
      </c>
      <c r="I319" s="5" t="str">
        <f t="shared" si="13"/>
        <v>W:\Performance Measurement\1. Freeway\1. raw data\2014\data files\det_636.txt</v>
      </c>
      <c r="J319" s="5" t="str">
        <f t="shared" si="14"/>
        <v>W:\Performance Measurement\1. Freeway\1. raw data\2014\data files\det_636.xlsx</v>
      </c>
      <c r="M319" s="108" t="s">
        <v>283</v>
      </c>
      <c r="N319" s="10">
        <v>636</v>
      </c>
      <c r="O319" s="10">
        <v>2</v>
      </c>
      <c r="P319" s="10">
        <v>1</v>
      </c>
    </row>
    <row r="320" spans="4:16" x14ac:dyDescent="0.25">
      <c r="D320" s="95">
        <v>316</v>
      </c>
      <c r="E320" s="10">
        <v>637</v>
      </c>
      <c r="F320" s="10">
        <v>2</v>
      </c>
      <c r="G320" s="10">
        <v>1</v>
      </c>
      <c r="H320" s="5" t="str">
        <f t="shared" si="12"/>
        <v>det_637</v>
      </c>
      <c r="I320" s="5" t="str">
        <f t="shared" si="13"/>
        <v>W:\Performance Measurement\1. Freeway\1. raw data\2014\data files\det_637.txt</v>
      </c>
      <c r="J320" s="5" t="str">
        <f t="shared" si="14"/>
        <v>W:\Performance Measurement\1. Freeway\1. raw data\2014\data files\det_637.xlsx</v>
      </c>
      <c r="M320" s="108" t="s">
        <v>283</v>
      </c>
      <c r="N320" s="10">
        <v>637</v>
      </c>
      <c r="O320" s="10">
        <v>2</v>
      </c>
      <c r="P320" s="10">
        <v>1</v>
      </c>
    </row>
    <row r="321" spans="4:16" x14ac:dyDescent="0.25">
      <c r="D321" s="95">
        <v>317</v>
      </c>
      <c r="E321" s="10">
        <v>638</v>
      </c>
      <c r="F321" s="10">
        <v>2</v>
      </c>
      <c r="G321" s="10">
        <v>1</v>
      </c>
      <c r="H321" s="5" t="str">
        <f t="shared" si="12"/>
        <v>det_638</v>
      </c>
      <c r="I321" s="5" t="str">
        <f t="shared" si="13"/>
        <v>W:\Performance Measurement\1. Freeway\1. raw data\2014\data files\det_638.txt</v>
      </c>
      <c r="J321" s="5" t="str">
        <f t="shared" si="14"/>
        <v>W:\Performance Measurement\1. Freeway\1. raw data\2014\data files\det_638.xlsx</v>
      </c>
      <c r="M321" s="108" t="s">
        <v>283</v>
      </c>
      <c r="N321" s="10">
        <v>638</v>
      </c>
      <c r="O321" s="10">
        <v>2</v>
      </c>
      <c r="P321" s="10">
        <v>1</v>
      </c>
    </row>
    <row r="322" spans="4:16" x14ac:dyDescent="0.25">
      <c r="D322" s="95">
        <v>318</v>
      </c>
      <c r="E322" s="10">
        <v>639</v>
      </c>
      <c r="F322" s="10">
        <v>2</v>
      </c>
      <c r="G322" s="10">
        <v>1</v>
      </c>
      <c r="H322" s="5" t="str">
        <f t="shared" si="12"/>
        <v>det_639</v>
      </c>
      <c r="I322" s="5" t="str">
        <f t="shared" si="13"/>
        <v>W:\Performance Measurement\1. Freeway\1. raw data\2014\data files\det_639.txt</v>
      </c>
      <c r="J322" s="5" t="str">
        <f t="shared" si="14"/>
        <v>W:\Performance Measurement\1. Freeway\1. raw data\2014\data files\det_639.xlsx</v>
      </c>
      <c r="M322" s="108" t="s">
        <v>283</v>
      </c>
      <c r="N322" s="10">
        <v>639</v>
      </c>
      <c r="O322" s="10">
        <v>2</v>
      </c>
      <c r="P322" s="10">
        <v>1</v>
      </c>
    </row>
    <row r="323" spans="4:16" x14ac:dyDescent="0.25">
      <c r="D323" s="95">
        <v>319</v>
      </c>
      <c r="E323" s="10">
        <v>640</v>
      </c>
      <c r="F323" s="10">
        <v>2</v>
      </c>
      <c r="G323" s="10">
        <v>1</v>
      </c>
      <c r="H323" s="5" t="str">
        <f t="shared" si="12"/>
        <v>det_640</v>
      </c>
      <c r="I323" s="5" t="str">
        <f t="shared" si="13"/>
        <v>W:\Performance Measurement\1. Freeway\1. raw data\2014\data files\det_640.txt</v>
      </c>
      <c r="J323" s="5" t="str">
        <f t="shared" si="14"/>
        <v>W:\Performance Measurement\1. Freeway\1. raw data\2014\data files\det_640.xlsx</v>
      </c>
      <c r="M323" s="108" t="s">
        <v>283</v>
      </c>
      <c r="N323" s="10">
        <v>640</v>
      </c>
      <c r="O323" s="10">
        <v>2</v>
      </c>
      <c r="P323" s="10">
        <v>1</v>
      </c>
    </row>
    <row r="324" spans="4:16" x14ac:dyDescent="0.25">
      <c r="D324" s="95">
        <v>320</v>
      </c>
      <c r="E324" s="10">
        <v>641</v>
      </c>
      <c r="F324" s="10">
        <v>2</v>
      </c>
      <c r="G324" s="10">
        <v>1</v>
      </c>
      <c r="H324" s="5" t="str">
        <f t="shared" si="12"/>
        <v>det_641</v>
      </c>
      <c r="I324" s="5" t="str">
        <f t="shared" si="13"/>
        <v>W:\Performance Measurement\1. Freeway\1. raw data\2014\data files\det_641.txt</v>
      </c>
      <c r="J324" s="5" t="str">
        <f t="shared" si="14"/>
        <v>W:\Performance Measurement\1. Freeway\1. raw data\2014\data files\det_641.xlsx</v>
      </c>
      <c r="M324" s="108" t="s">
        <v>283</v>
      </c>
      <c r="N324" s="10">
        <v>641</v>
      </c>
      <c r="O324" s="10">
        <v>2</v>
      </c>
      <c r="P324" s="10">
        <v>1</v>
      </c>
    </row>
    <row r="325" spans="4:16" x14ac:dyDescent="0.25">
      <c r="D325" s="95">
        <v>321</v>
      </c>
      <c r="E325" s="10">
        <v>642</v>
      </c>
      <c r="F325" s="10">
        <v>2</v>
      </c>
      <c r="G325" s="10">
        <v>1</v>
      </c>
      <c r="H325" s="5" t="str">
        <f t="shared" ref="H325:H358" si="15">"det_"&amp;E325&amp;""</f>
        <v>det_642</v>
      </c>
      <c r="I325" s="5" t="str">
        <f t="shared" ref="I325:I358" si="16">$B$5&amp;"\"&amp;H325&amp;".txt"</f>
        <v>W:\Performance Measurement\1. Freeway\1. raw data\2014\data files\det_642.txt</v>
      </c>
      <c r="J325" s="5" t="str">
        <f t="shared" ref="J325:J358" si="17">$B$5&amp;"\"&amp;H325&amp;".xlsx"</f>
        <v>W:\Performance Measurement\1. Freeway\1. raw data\2014\data files\det_642.xlsx</v>
      </c>
      <c r="M325" s="108" t="s">
        <v>283</v>
      </c>
      <c r="N325" s="10">
        <v>642</v>
      </c>
      <c r="O325" s="10">
        <v>2</v>
      </c>
      <c r="P325" s="10">
        <v>1</v>
      </c>
    </row>
    <row r="326" spans="4:16" x14ac:dyDescent="0.25">
      <c r="D326" s="95">
        <v>322</v>
      </c>
      <c r="E326" s="10">
        <v>651</v>
      </c>
      <c r="F326" s="10">
        <v>3</v>
      </c>
      <c r="G326" s="10">
        <v>0</v>
      </c>
      <c r="H326" s="5" t="str">
        <f t="shared" si="15"/>
        <v>det_651</v>
      </c>
      <c r="I326" s="5" t="str">
        <f t="shared" si="16"/>
        <v>W:\Performance Measurement\1. Freeway\1. raw data\2014\data files\det_651.txt</v>
      </c>
      <c r="J326" s="5" t="str">
        <f t="shared" si="17"/>
        <v>W:\Performance Measurement\1. Freeway\1. raw data\2014\data files\det_651.xlsx</v>
      </c>
      <c r="M326" s="108" t="s">
        <v>283</v>
      </c>
      <c r="N326" s="10">
        <v>651</v>
      </c>
      <c r="O326" s="10">
        <v>3</v>
      </c>
      <c r="P326" s="10">
        <v>0</v>
      </c>
    </row>
    <row r="327" spans="4:16" x14ac:dyDescent="0.25">
      <c r="D327" s="95">
        <v>323</v>
      </c>
      <c r="E327" s="10">
        <v>652</v>
      </c>
      <c r="F327" s="10">
        <v>3</v>
      </c>
      <c r="G327" s="10">
        <v>1</v>
      </c>
      <c r="H327" s="5" t="str">
        <f t="shared" si="15"/>
        <v>det_652</v>
      </c>
      <c r="I327" s="5" t="str">
        <f t="shared" si="16"/>
        <v>W:\Performance Measurement\1. Freeway\1. raw data\2014\data files\det_652.txt</v>
      </c>
      <c r="J327" s="5" t="str">
        <f t="shared" si="17"/>
        <v>W:\Performance Measurement\1. Freeway\1. raw data\2014\data files\det_652.xlsx</v>
      </c>
      <c r="M327" s="108" t="s">
        <v>283</v>
      </c>
      <c r="N327" s="10">
        <v>652</v>
      </c>
      <c r="O327" s="10">
        <v>3</v>
      </c>
      <c r="P327" s="10">
        <v>1</v>
      </c>
    </row>
    <row r="328" spans="4:16" x14ac:dyDescent="0.25">
      <c r="D328" s="95">
        <v>324</v>
      </c>
      <c r="E328" s="10">
        <v>653</v>
      </c>
      <c r="F328" s="10">
        <v>3</v>
      </c>
      <c r="G328" s="10">
        <v>1</v>
      </c>
      <c r="H328" s="5" t="str">
        <f t="shared" si="15"/>
        <v>det_653</v>
      </c>
      <c r="I328" s="5" t="str">
        <f t="shared" si="16"/>
        <v>W:\Performance Measurement\1. Freeway\1. raw data\2014\data files\det_653.txt</v>
      </c>
      <c r="J328" s="5" t="str">
        <f t="shared" si="17"/>
        <v>W:\Performance Measurement\1. Freeway\1. raw data\2014\data files\det_653.xlsx</v>
      </c>
      <c r="M328" s="108" t="s">
        <v>283</v>
      </c>
      <c r="N328" s="10">
        <v>653</v>
      </c>
      <c r="O328" s="10">
        <v>3</v>
      </c>
      <c r="P328" s="10">
        <v>1</v>
      </c>
    </row>
    <row r="329" spans="4:16" x14ac:dyDescent="0.25">
      <c r="D329" s="95">
        <v>325</v>
      </c>
      <c r="E329" s="10">
        <v>654</v>
      </c>
      <c r="F329" s="10">
        <v>3</v>
      </c>
      <c r="G329" s="10">
        <v>1</v>
      </c>
      <c r="H329" s="5" t="str">
        <f t="shared" si="15"/>
        <v>det_654</v>
      </c>
      <c r="I329" s="5" t="str">
        <f t="shared" si="16"/>
        <v>W:\Performance Measurement\1. Freeway\1. raw data\2014\data files\det_654.txt</v>
      </c>
      <c r="J329" s="5" t="str">
        <f t="shared" si="17"/>
        <v>W:\Performance Measurement\1. Freeway\1. raw data\2014\data files\det_654.xlsx</v>
      </c>
      <c r="M329" s="108" t="s">
        <v>283</v>
      </c>
      <c r="N329" s="10">
        <v>654</v>
      </c>
      <c r="O329" s="10">
        <v>3</v>
      </c>
      <c r="P329" s="10">
        <v>1</v>
      </c>
    </row>
    <row r="330" spans="4:16" x14ac:dyDescent="0.25">
      <c r="D330" s="95">
        <v>326</v>
      </c>
      <c r="E330" s="10">
        <v>655</v>
      </c>
      <c r="F330" s="10">
        <v>3</v>
      </c>
      <c r="G330" s="10">
        <v>1</v>
      </c>
      <c r="H330" s="5" t="str">
        <f t="shared" si="15"/>
        <v>det_655</v>
      </c>
      <c r="I330" s="5" t="str">
        <f t="shared" si="16"/>
        <v>W:\Performance Measurement\1. Freeway\1. raw data\2014\data files\det_655.txt</v>
      </c>
      <c r="J330" s="5" t="str">
        <f t="shared" si="17"/>
        <v>W:\Performance Measurement\1. Freeway\1. raw data\2014\data files\det_655.xlsx</v>
      </c>
      <c r="M330" s="108" t="s">
        <v>283</v>
      </c>
      <c r="N330" s="10">
        <v>655</v>
      </c>
      <c r="O330" s="10">
        <v>3</v>
      </c>
      <c r="P330" s="10">
        <v>1</v>
      </c>
    </row>
    <row r="331" spans="4:16" x14ac:dyDescent="0.25">
      <c r="D331" s="95">
        <v>327</v>
      </c>
      <c r="E331" s="10">
        <v>656</v>
      </c>
      <c r="F331" s="10">
        <v>3</v>
      </c>
      <c r="G331" s="10">
        <v>1</v>
      </c>
      <c r="H331" s="5" t="str">
        <f t="shared" si="15"/>
        <v>det_656</v>
      </c>
      <c r="I331" s="5" t="str">
        <f t="shared" si="16"/>
        <v>W:\Performance Measurement\1. Freeway\1. raw data\2014\data files\det_656.txt</v>
      </c>
      <c r="J331" s="5" t="str">
        <f t="shared" si="17"/>
        <v>W:\Performance Measurement\1. Freeway\1. raw data\2014\data files\det_656.xlsx</v>
      </c>
      <c r="M331" s="108" t="s">
        <v>283</v>
      </c>
      <c r="N331" s="10">
        <v>656</v>
      </c>
      <c r="O331" s="10">
        <v>3</v>
      </c>
      <c r="P331" s="10">
        <v>1</v>
      </c>
    </row>
    <row r="332" spans="4:16" x14ac:dyDescent="0.25">
      <c r="D332" s="95">
        <v>328</v>
      </c>
      <c r="E332" s="10">
        <v>657</v>
      </c>
      <c r="F332" s="10">
        <v>3</v>
      </c>
      <c r="G332" s="10">
        <v>1</v>
      </c>
      <c r="H332" s="5" t="str">
        <f t="shared" si="15"/>
        <v>det_657</v>
      </c>
      <c r="I332" s="5" t="str">
        <f t="shared" si="16"/>
        <v>W:\Performance Measurement\1. Freeway\1. raw data\2014\data files\det_657.txt</v>
      </c>
      <c r="J332" s="5" t="str">
        <f t="shared" si="17"/>
        <v>W:\Performance Measurement\1. Freeway\1. raw data\2014\data files\det_657.xlsx</v>
      </c>
      <c r="M332" s="108" t="s">
        <v>283</v>
      </c>
      <c r="N332" s="10">
        <v>657</v>
      </c>
      <c r="O332" s="10">
        <v>3</v>
      </c>
      <c r="P332" s="10">
        <v>1</v>
      </c>
    </row>
    <row r="333" spans="4:16" x14ac:dyDescent="0.25">
      <c r="D333" s="95">
        <v>329</v>
      </c>
      <c r="E333" s="10">
        <v>658</v>
      </c>
      <c r="F333" s="10">
        <v>2</v>
      </c>
      <c r="G333" s="10">
        <v>1</v>
      </c>
      <c r="H333" s="5" t="str">
        <f t="shared" si="15"/>
        <v>det_658</v>
      </c>
      <c r="I333" s="5" t="str">
        <f t="shared" si="16"/>
        <v>W:\Performance Measurement\1. Freeway\1. raw data\2014\data files\det_658.txt</v>
      </c>
      <c r="J333" s="5" t="str">
        <f t="shared" si="17"/>
        <v>W:\Performance Measurement\1. Freeway\1. raw data\2014\data files\det_658.xlsx</v>
      </c>
      <c r="M333" s="108" t="s">
        <v>283</v>
      </c>
      <c r="N333" s="10">
        <v>658</v>
      </c>
      <c r="O333" s="10">
        <v>2</v>
      </c>
      <c r="P333" s="10">
        <v>1</v>
      </c>
    </row>
    <row r="334" spans="4:16" x14ac:dyDescent="0.25">
      <c r="D334" s="95">
        <v>330</v>
      </c>
      <c r="E334" s="10">
        <v>624</v>
      </c>
      <c r="F334" s="10">
        <v>3</v>
      </c>
      <c r="G334" s="10">
        <v>1</v>
      </c>
      <c r="H334" s="5" t="str">
        <f t="shared" si="15"/>
        <v>det_624</v>
      </c>
      <c r="I334" s="5" t="str">
        <f t="shared" si="16"/>
        <v>W:\Performance Measurement\1. Freeway\1. raw data\2014\data files\det_624.txt</v>
      </c>
      <c r="J334" s="5" t="str">
        <f t="shared" si="17"/>
        <v>W:\Performance Measurement\1. Freeway\1. raw data\2014\data files\det_624.xlsx</v>
      </c>
      <c r="M334" s="108" t="s">
        <v>284</v>
      </c>
      <c r="N334" s="10">
        <v>624</v>
      </c>
      <c r="O334" s="10">
        <v>3</v>
      </c>
      <c r="P334" s="10">
        <v>1</v>
      </c>
    </row>
    <row r="335" spans="4:16" x14ac:dyDescent="0.25">
      <c r="D335" s="95">
        <v>331</v>
      </c>
      <c r="E335" s="10">
        <v>625</v>
      </c>
      <c r="F335" s="10">
        <v>3</v>
      </c>
      <c r="G335" s="10">
        <v>1</v>
      </c>
      <c r="H335" s="5" t="str">
        <f t="shared" si="15"/>
        <v>det_625</v>
      </c>
      <c r="I335" s="5" t="str">
        <f t="shared" si="16"/>
        <v>W:\Performance Measurement\1. Freeway\1. raw data\2014\data files\det_625.txt</v>
      </c>
      <c r="J335" s="5" t="str">
        <f t="shared" si="17"/>
        <v>W:\Performance Measurement\1. Freeway\1. raw data\2014\data files\det_625.xlsx</v>
      </c>
      <c r="M335" s="108" t="s">
        <v>284</v>
      </c>
      <c r="N335" s="10">
        <v>625</v>
      </c>
      <c r="O335" s="10">
        <v>3</v>
      </c>
      <c r="P335" s="10">
        <v>1</v>
      </c>
    </row>
    <row r="336" spans="4:16" x14ac:dyDescent="0.25">
      <c r="D336" s="95">
        <v>332</v>
      </c>
      <c r="E336" s="10">
        <v>626</v>
      </c>
      <c r="F336" s="10">
        <v>3</v>
      </c>
      <c r="G336" s="10">
        <v>1</v>
      </c>
      <c r="H336" s="5" t="str">
        <f t="shared" si="15"/>
        <v>det_626</v>
      </c>
      <c r="I336" s="5" t="str">
        <f t="shared" si="16"/>
        <v>W:\Performance Measurement\1. Freeway\1. raw data\2014\data files\det_626.txt</v>
      </c>
      <c r="J336" s="5" t="str">
        <f t="shared" si="17"/>
        <v>W:\Performance Measurement\1. Freeway\1. raw data\2014\data files\det_626.xlsx</v>
      </c>
      <c r="M336" s="108" t="s">
        <v>284</v>
      </c>
      <c r="N336" s="10">
        <v>626</v>
      </c>
      <c r="O336" s="10">
        <v>3</v>
      </c>
      <c r="P336" s="10">
        <v>1</v>
      </c>
    </row>
    <row r="337" spans="4:16" x14ac:dyDescent="0.25">
      <c r="D337" s="95">
        <v>333</v>
      </c>
      <c r="E337" s="10">
        <v>627</v>
      </c>
      <c r="F337" s="10">
        <v>3</v>
      </c>
      <c r="G337" s="10">
        <v>1</v>
      </c>
      <c r="H337" s="5" t="str">
        <f t="shared" si="15"/>
        <v>det_627</v>
      </c>
      <c r="I337" s="5" t="str">
        <f t="shared" si="16"/>
        <v>W:\Performance Measurement\1. Freeway\1. raw data\2014\data files\det_627.txt</v>
      </c>
      <c r="J337" s="5" t="str">
        <f t="shared" si="17"/>
        <v>W:\Performance Measurement\1. Freeway\1. raw data\2014\data files\det_627.xlsx</v>
      </c>
      <c r="M337" s="108" t="s">
        <v>284</v>
      </c>
      <c r="N337" s="10">
        <v>627</v>
      </c>
      <c r="O337" s="10">
        <v>3</v>
      </c>
      <c r="P337" s="10">
        <v>1</v>
      </c>
    </row>
    <row r="338" spans="4:16" x14ac:dyDescent="0.25">
      <c r="D338" s="95">
        <v>334</v>
      </c>
      <c r="E338" s="10">
        <v>628</v>
      </c>
      <c r="F338" s="10">
        <v>3</v>
      </c>
      <c r="G338" s="10">
        <v>1</v>
      </c>
      <c r="H338" s="5" t="str">
        <f t="shared" si="15"/>
        <v>det_628</v>
      </c>
      <c r="I338" s="5" t="str">
        <f t="shared" si="16"/>
        <v>W:\Performance Measurement\1. Freeway\1. raw data\2014\data files\det_628.txt</v>
      </c>
      <c r="J338" s="5" t="str">
        <f t="shared" si="17"/>
        <v>W:\Performance Measurement\1. Freeway\1. raw data\2014\data files\det_628.xlsx</v>
      </c>
      <c r="M338" s="108" t="s">
        <v>284</v>
      </c>
      <c r="N338" s="10">
        <v>628</v>
      </c>
      <c r="O338" s="10">
        <v>3</v>
      </c>
      <c r="P338" s="10">
        <v>1</v>
      </c>
    </row>
    <row r="339" spans="4:16" x14ac:dyDescent="0.25">
      <c r="D339" s="95">
        <v>335</v>
      </c>
      <c r="E339" s="10">
        <v>629</v>
      </c>
      <c r="F339" s="10">
        <v>3</v>
      </c>
      <c r="G339" s="10">
        <v>1</v>
      </c>
      <c r="H339" s="5" t="str">
        <f t="shared" si="15"/>
        <v>det_629</v>
      </c>
      <c r="I339" s="5" t="str">
        <f t="shared" si="16"/>
        <v>W:\Performance Measurement\1. Freeway\1. raw data\2014\data files\det_629.txt</v>
      </c>
      <c r="J339" s="5" t="str">
        <f t="shared" si="17"/>
        <v>W:\Performance Measurement\1. Freeway\1. raw data\2014\data files\det_629.xlsx</v>
      </c>
      <c r="M339" s="108" t="s">
        <v>284</v>
      </c>
      <c r="N339" s="10">
        <v>629</v>
      </c>
      <c r="O339" s="10">
        <v>3</v>
      </c>
      <c r="P339" s="10">
        <v>1</v>
      </c>
    </row>
    <row r="340" spans="4:16" x14ac:dyDescent="0.25">
      <c r="D340" s="95">
        <v>336</v>
      </c>
      <c r="E340" s="10">
        <v>630</v>
      </c>
      <c r="F340" s="10">
        <v>3</v>
      </c>
      <c r="G340" s="10">
        <v>1</v>
      </c>
      <c r="H340" s="5" t="str">
        <f t="shared" si="15"/>
        <v>det_630</v>
      </c>
      <c r="I340" s="5" t="str">
        <f t="shared" si="16"/>
        <v>W:\Performance Measurement\1. Freeway\1. raw data\2014\data files\det_630.txt</v>
      </c>
      <c r="J340" s="5" t="str">
        <f t="shared" si="17"/>
        <v>W:\Performance Measurement\1. Freeway\1. raw data\2014\data files\det_630.xlsx</v>
      </c>
      <c r="M340" s="108" t="s">
        <v>284</v>
      </c>
      <c r="N340" s="10">
        <v>630</v>
      </c>
      <c r="O340" s="10">
        <v>3</v>
      </c>
      <c r="P340" s="10">
        <v>1</v>
      </c>
    </row>
    <row r="341" spans="4:16" x14ac:dyDescent="0.25">
      <c r="D341" s="95">
        <v>337</v>
      </c>
      <c r="E341" s="10">
        <v>631</v>
      </c>
      <c r="F341" s="10">
        <v>3</v>
      </c>
      <c r="G341" s="10">
        <v>1</v>
      </c>
      <c r="H341" s="5" t="str">
        <f t="shared" si="15"/>
        <v>det_631</v>
      </c>
      <c r="I341" s="5" t="str">
        <f t="shared" si="16"/>
        <v>W:\Performance Measurement\1. Freeway\1. raw data\2014\data files\det_631.txt</v>
      </c>
      <c r="J341" s="5" t="str">
        <f t="shared" si="17"/>
        <v>W:\Performance Measurement\1. Freeway\1. raw data\2014\data files\det_631.xlsx</v>
      </c>
      <c r="M341" s="108" t="s">
        <v>284</v>
      </c>
      <c r="N341" s="10">
        <v>631</v>
      </c>
      <c r="O341" s="10">
        <v>3</v>
      </c>
      <c r="P341" s="10">
        <v>1</v>
      </c>
    </row>
    <row r="342" spans="4:16" x14ac:dyDescent="0.25">
      <c r="D342" s="95">
        <v>338</v>
      </c>
      <c r="E342" s="10">
        <v>632</v>
      </c>
      <c r="F342" s="10">
        <v>3</v>
      </c>
      <c r="G342" s="10">
        <v>1</v>
      </c>
      <c r="H342" s="5" t="str">
        <f t="shared" si="15"/>
        <v>det_632</v>
      </c>
      <c r="I342" s="5" t="str">
        <f t="shared" si="16"/>
        <v>W:\Performance Measurement\1. Freeway\1. raw data\2014\data files\det_632.txt</v>
      </c>
      <c r="J342" s="5" t="str">
        <f t="shared" si="17"/>
        <v>W:\Performance Measurement\1. Freeway\1. raw data\2014\data files\det_632.xlsx</v>
      </c>
      <c r="M342" s="108" t="s">
        <v>284</v>
      </c>
      <c r="N342" s="10">
        <v>632</v>
      </c>
      <c r="O342" s="10">
        <v>3</v>
      </c>
      <c r="P342" s="10">
        <v>1</v>
      </c>
    </row>
    <row r="343" spans="4:16" x14ac:dyDescent="0.25">
      <c r="D343" s="95">
        <v>339</v>
      </c>
      <c r="E343" s="10">
        <v>633</v>
      </c>
      <c r="F343" s="10">
        <v>4</v>
      </c>
      <c r="G343" s="10">
        <v>1</v>
      </c>
      <c r="H343" s="5" t="str">
        <f t="shared" si="15"/>
        <v>det_633</v>
      </c>
      <c r="I343" s="5" t="str">
        <f t="shared" si="16"/>
        <v>W:\Performance Measurement\1. Freeway\1. raw data\2014\data files\det_633.txt</v>
      </c>
      <c r="J343" s="5" t="str">
        <f t="shared" si="17"/>
        <v>W:\Performance Measurement\1. Freeway\1. raw data\2014\data files\det_633.xlsx</v>
      </c>
      <c r="M343" s="108" t="s">
        <v>284</v>
      </c>
      <c r="N343" s="10">
        <v>633</v>
      </c>
      <c r="O343" s="10">
        <v>4</v>
      </c>
      <c r="P343" s="10">
        <v>1</v>
      </c>
    </row>
    <row r="344" spans="4:16" x14ac:dyDescent="0.25">
      <c r="D344" s="95">
        <v>340</v>
      </c>
      <c r="E344" s="10">
        <v>634</v>
      </c>
      <c r="F344" s="10">
        <v>3</v>
      </c>
      <c r="G344" s="10">
        <v>1</v>
      </c>
      <c r="H344" s="5" t="str">
        <f t="shared" si="15"/>
        <v>det_634</v>
      </c>
      <c r="I344" s="5" t="str">
        <f t="shared" si="16"/>
        <v>W:\Performance Measurement\1. Freeway\1. raw data\2014\data files\det_634.txt</v>
      </c>
      <c r="J344" s="5" t="str">
        <f t="shared" si="17"/>
        <v>W:\Performance Measurement\1. Freeway\1. raw data\2014\data files\det_634.xlsx</v>
      </c>
      <c r="M344" s="108" t="s">
        <v>284</v>
      </c>
      <c r="N344" s="10">
        <v>634</v>
      </c>
      <c r="O344" s="10">
        <v>3</v>
      </c>
      <c r="P344" s="10">
        <v>1</v>
      </c>
    </row>
    <row r="345" spans="4:16" x14ac:dyDescent="0.25">
      <c r="D345" s="95">
        <v>341</v>
      </c>
      <c r="E345" s="10">
        <v>607</v>
      </c>
      <c r="F345" s="10">
        <v>4</v>
      </c>
      <c r="G345" s="10">
        <v>0</v>
      </c>
      <c r="H345" s="5" t="str">
        <f t="shared" si="15"/>
        <v>det_607</v>
      </c>
      <c r="I345" s="5" t="str">
        <f t="shared" si="16"/>
        <v>W:\Performance Measurement\1. Freeway\1. raw data\2014\data files\det_607.txt</v>
      </c>
      <c r="J345" s="5" t="str">
        <f t="shared" si="17"/>
        <v>W:\Performance Measurement\1. Freeway\1. raw data\2014\data files\det_607.xlsx</v>
      </c>
      <c r="M345" s="108" t="s">
        <v>79</v>
      </c>
      <c r="N345" s="10">
        <v>607</v>
      </c>
      <c r="O345" s="10">
        <v>4</v>
      </c>
      <c r="P345" s="10">
        <v>0</v>
      </c>
    </row>
    <row r="346" spans="4:16" x14ac:dyDescent="0.25">
      <c r="D346" s="95">
        <v>342</v>
      </c>
      <c r="E346" s="10">
        <v>608</v>
      </c>
      <c r="F346" s="10">
        <v>4</v>
      </c>
      <c r="G346" s="10">
        <v>0</v>
      </c>
      <c r="H346" s="5" t="str">
        <f t="shared" si="15"/>
        <v>det_608</v>
      </c>
      <c r="I346" s="5" t="str">
        <f t="shared" si="16"/>
        <v>W:\Performance Measurement\1. Freeway\1. raw data\2014\data files\det_608.txt</v>
      </c>
      <c r="J346" s="5" t="str">
        <f t="shared" si="17"/>
        <v>W:\Performance Measurement\1. Freeway\1. raw data\2014\data files\det_608.xlsx</v>
      </c>
      <c r="M346" s="108" t="s">
        <v>79</v>
      </c>
      <c r="N346" s="10">
        <v>608</v>
      </c>
      <c r="O346" s="10">
        <v>4</v>
      </c>
      <c r="P346" s="10">
        <v>0</v>
      </c>
    </row>
    <row r="347" spans="4:16" x14ac:dyDescent="0.25">
      <c r="D347" s="95">
        <v>343</v>
      </c>
      <c r="E347" s="10">
        <v>609</v>
      </c>
      <c r="F347" s="10">
        <v>4</v>
      </c>
      <c r="G347" s="10">
        <v>0</v>
      </c>
      <c r="H347" s="5" t="str">
        <f t="shared" si="15"/>
        <v>det_609</v>
      </c>
      <c r="I347" s="5" t="str">
        <f t="shared" si="16"/>
        <v>W:\Performance Measurement\1. Freeway\1. raw data\2014\data files\det_609.txt</v>
      </c>
      <c r="J347" s="5" t="str">
        <f t="shared" si="17"/>
        <v>W:\Performance Measurement\1. Freeway\1. raw data\2014\data files\det_609.xlsx</v>
      </c>
      <c r="M347" s="108" t="s">
        <v>79</v>
      </c>
      <c r="N347" s="10">
        <v>609</v>
      </c>
      <c r="O347" s="10">
        <v>4</v>
      </c>
      <c r="P347" s="10">
        <v>0</v>
      </c>
    </row>
    <row r="348" spans="4:16" x14ac:dyDescent="0.25">
      <c r="D348" s="95">
        <v>344</v>
      </c>
      <c r="E348" s="10">
        <v>610</v>
      </c>
      <c r="F348" s="10">
        <v>4</v>
      </c>
      <c r="G348" s="10">
        <v>0</v>
      </c>
      <c r="H348" s="5" t="str">
        <f t="shared" si="15"/>
        <v>det_610</v>
      </c>
      <c r="I348" s="5" t="str">
        <f t="shared" si="16"/>
        <v>W:\Performance Measurement\1. Freeway\1. raw data\2014\data files\det_610.txt</v>
      </c>
      <c r="J348" s="5" t="str">
        <f t="shared" si="17"/>
        <v>W:\Performance Measurement\1. Freeway\1. raw data\2014\data files\det_610.xlsx</v>
      </c>
      <c r="M348" s="108" t="s">
        <v>79</v>
      </c>
      <c r="N348" s="10">
        <v>610</v>
      </c>
      <c r="O348" s="10">
        <v>4</v>
      </c>
      <c r="P348" s="10">
        <v>0</v>
      </c>
    </row>
    <row r="349" spans="4:16" x14ac:dyDescent="0.25">
      <c r="D349" s="95">
        <v>345</v>
      </c>
      <c r="E349" s="10">
        <v>611</v>
      </c>
      <c r="F349" s="10">
        <v>4</v>
      </c>
      <c r="G349" s="10">
        <v>0</v>
      </c>
      <c r="H349" s="5" t="str">
        <f t="shared" si="15"/>
        <v>det_611</v>
      </c>
      <c r="I349" s="5" t="str">
        <f t="shared" si="16"/>
        <v>W:\Performance Measurement\1. Freeway\1. raw data\2014\data files\det_611.txt</v>
      </c>
      <c r="J349" s="5" t="str">
        <f t="shared" si="17"/>
        <v>W:\Performance Measurement\1. Freeway\1. raw data\2014\data files\det_611.xlsx</v>
      </c>
      <c r="M349" s="108" t="s">
        <v>79</v>
      </c>
      <c r="N349" s="10">
        <v>611</v>
      </c>
      <c r="O349" s="10">
        <v>4</v>
      </c>
      <c r="P349" s="10">
        <v>0</v>
      </c>
    </row>
    <row r="350" spans="4:16" x14ac:dyDescent="0.25">
      <c r="D350" s="95">
        <v>346</v>
      </c>
      <c r="E350" s="10">
        <v>612</v>
      </c>
      <c r="F350" s="10">
        <v>4</v>
      </c>
      <c r="G350" s="10">
        <v>0</v>
      </c>
      <c r="H350" s="5" t="str">
        <f t="shared" si="15"/>
        <v>det_612</v>
      </c>
      <c r="I350" s="5" t="str">
        <f t="shared" si="16"/>
        <v>W:\Performance Measurement\1. Freeway\1. raw data\2014\data files\det_612.txt</v>
      </c>
      <c r="J350" s="5" t="str">
        <f t="shared" si="17"/>
        <v>W:\Performance Measurement\1. Freeway\1. raw data\2014\data files\det_612.xlsx</v>
      </c>
      <c r="M350" s="108" t="s">
        <v>79</v>
      </c>
      <c r="N350" s="10">
        <v>612</v>
      </c>
      <c r="O350" s="10">
        <v>4</v>
      </c>
      <c r="P350" s="10">
        <v>0</v>
      </c>
    </row>
    <row r="351" spans="4:16" x14ac:dyDescent="0.25">
      <c r="D351" s="95">
        <v>347</v>
      </c>
      <c r="E351" s="10">
        <v>613</v>
      </c>
      <c r="F351" s="10">
        <v>4</v>
      </c>
      <c r="G351" s="10">
        <v>0</v>
      </c>
      <c r="H351" s="5" t="str">
        <f t="shared" si="15"/>
        <v>det_613</v>
      </c>
      <c r="I351" s="5" t="str">
        <f t="shared" si="16"/>
        <v>W:\Performance Measurement\1. Freeway\1. raw data\2014\data files\det_613.txt</v>
      </c>
      <c r="J351" s="5" t="str">
        <f t="shared" si="17"/>
        <v>W:\Performance Measurement\1. Freeway\1. raw data\2014\data files\det_613.xlsx</v>
      </c>
      <c r="M351" s="108" t="s">
        <v>79</v>
      </c>
      <c r="N351" s="10">
        <v>613</v>
      </c>
      <c r="O351" s="10">
        <v>4</v>
      </c>
      <c r="P351" s="10">
        <v>0</v>
      </c>
    </row>
    <row r="352" spans="4:16" x14ac:dyDescent="0.25">
      <c r="D352" s="95">
        <v>348</v>
      </c>
      <c r="E352" s="10">
        <v>614</v>
      </c>
      <c r="F352" s="10">
        <v>4</v>
      </c>
      <c r="G352" s="10">
        <v>0</v>
      </c>
      <c r="H352" s="5" t="str">
        <f t="shared" si="15"/>
        <v>det_614</v>
      </c>
      <c r="I352" s="5" t="str">
        <f t="shared" si="16"/>
        <v>W:\Performance Measurement\1. Freeway\1. raw data\2014\data files\det_614.txt</v>
      </c>
      <c r="J352" s="5" t="str">
        <f t="shared" si="17"/>
        <v>W:\Performance Measurement\1. Freeway\1. raw data\2014\data files\det_614.xlsx</v>
      </c>
      <c r="M352" s="108" t="s">
        <v>79</v>
      </c>
      <c r="N352" s="10">
        <v>614</v>
      </c>
      <c r="O352" s="10">
        <v>4</v>
      </c>
      <c r="P352" s="10">
        <v>0</v>
      </c>
    </row>
    <row r="353" spans="4:16" x14ac:dyDescent="0.25">
      <c r="D353" s="95">
        <v>349</v>
      </c>
      <c r="E353" s="10">
        <v>615</v>
      </c>
      <c r="F353" s="10">
        <v>4</v>
      </c>
      <c r="G353" s="10">
        <v>0</v>
      </c>
      <c r="H353" s="5" t="str">
        <f t="shared" si="15"/>
        <v>det_615</v>
      </c>
      <c r="I353" s="5" t="str">
        <f t="shared" si="16"/>
        <v>W:\Performance Measurement\1. Freeway\1. raw data\2014\data files\det_615.txt</v>
      </c>
      <c r="J353" s="5" t="str">
        <f t="shared" si="17"/>
        <v>W:\Performance Measurement\1. Freeway\1. raw data\2014\data files\det_615.xlsx</v>
      </c>
      <c r="M353" s="108" t="s">
        <v>79</v>
      </c>
      <c r="N353" s="10">
        <v>615</v>
      </c>
      <c r="O353" s="10">
        <v>4</v>
      </c>
      <c r="P353" s="10">
        <v>0</v>
      </c>
    </row>
    <row r="354" spans="4:16" x14ac:dyDescent="0.25">
      <c r="D354" s="95">
        <v>350</v>
      </c>
      <c r="E354" s="10">
        <v>616</v>
      </c>
      <c r="F354" s="10">
        <v>4</v>
      </c>
      <c r="G354" s="10">
        <v>0</v>
      </c>
      <c r="H354" s="5" t="str">
        <f t="shared" si="15"/>
        <v>det_616</v>
      </c>
      <c r="I354" s="5" t="str">
        <f t="shared" si="16"/>
        <v>W:\Performance Measurement\1. Freeway\1. raw data\2014\data files\det_616.txt</v>
      </c>
      <c r="J354" s="5" t="str">
        <f t="shared" si="17"/>
        <v>W:\Performance Measurement\1. Freeway\1. raw data\2014\data files\det_616.xlsx</v>
      </c>
      <c r="M354" s="108" t="s">
        <v>79</v>
      </c>
      <c r="N354" s="10">
        <v>616</v>
      </c>
      <c r="O354" s="10">
        <v>4</v>
      </c>
      <c r="P354" s="10">
        <v>0</v>
      </c>
    </row>
    <row r="355" spans="4:16" x14ac:dyDescent="0.25">
      <c r="D355" s="95">
        <v>351</v>
      </c>
      <c r="E355" s="10">
        <v>617</v>
      </c>
      <c r="F355" s="10">
        <v>4</v>
      </c>
      <c r="G355" s="10">
        <v>0</v>
      </c>
      <c r="H355" s="5" t="str">
        <f t="shared" si="15"/>
        <v>det_617</v>
      </c>
      <c r="I355" s="5" t="str">
        <f t="shared" si="16"/>
        <v>W:\Performance Measurement\1. Freeway\1. raw data\2014\data files\det_617.txt</v>
      </c>
      <c r="J355" s="5" t="str">
        <f t="shared" si="17"/>
        <v>W:\Performance Measurement\1. Freeway\1. raw data\2014\data files\det_617.xlsx</v>
      </c>
      <c r="M355" s="108" t="s">
        <v>79</v>
      </c>
      <c r="N355" s="10">
        <v>617</v>
      </c>
      <c r="O355" s="10">
        <v>4</v>
      </c>
      <c r="P355" s="10">
        <v>0</v>
      </c>
    </row>
    <row r="356" spans="4:16" x14ac:dyDescent="0.25">
      <c r="D356" s="95">
        <v>352</v>
      </c>
      <c r="E356" s="10">
        <v>618</v>
      </c>
      <c r="F356" s="10">
        <v>4</v>
      </c>
      <c r="G356" s="10">
        <v>0</v>
      </c>
      <c r="H356" s="5" t="str">
        <f t="shared" si="15"/>
        <v>det_618</v>
      </c>
      <c r="I356" s="5" t="str">
        <f t="shared" si="16"/>
        <v>W:\Performance Measurement\1. Freeway\1. raw data\2014\data files\det_618.txt</v>
      </c>
      <c r="J356" s="5" t="str">
        <f t="shared" si="17"/>
        <v>W:\Performance Measurement\1. Freeway\1. raw data\2014\data files\det_618.xlsx</v>
      </c>
      <c r="M356" s="108" t="s">
        <v>79</v>
      </c>
      <c r="N356" s="10">
        <v>618</v>
      </c>
      <c r="O356" s="10">
        <v>4</v>
      </c>
      <c r="P356" s="10">
        <v>0</v>
      </c>
    </row>
    <row r="357" spans="4:16" x14ac:dyDescent="0.25">
      <c r="D357" s="95">
        <v>353</v>
      </c>
      <c r="E357" s="10">
        <v>619</v>
      </c>
      <c r="F357" s="10">
        <v>4</v>
      </c>
      <c r="G357" s="10">
        <v>0</v>
      </c>
      <c r="H357" s="5" t="str">
        <f t="shared" si="15"/>
        <v>det_619</v>
      </c>
      <c r="I357" s="5" t="str">
        <f t="shared" si="16"/>
        <v>W:\Performance Measurement\1. Freeway\1. raw data\2014\data files\det_619.txt</v>
      </c>
      <c r="J357" s="5" t="str">
        <f t="shared" si="17"/>
        <v>W:\Performance Measurement\1. Freeway\1. raw data\2014\data files\det_619.xlsx</v>
      </c>
      <c r="M357" s="108" t="s">
        <v>79</v>
      </c>
      <c r="N357" s="10">
        <v>619</v>
      </c>
      <c r="O357" s="10">
        <v>4</v>
      </c>
      <c r="P357" s="10">
        <v>0</v>
      </c>
    </row>
    <row r="358" spans="4:16" x14ac:dyDescent="0.25">
      <c r="D358" s="95">
        <v>354</v>
      </c>
      <c r="E358" s="10">
        <v>620</v>
      </c>
      <c r="F358" s="10">
        <v>4</v>
      </c>
      <c r="G358" s="10">
        <v>0</v>
      </c>
      <c r="H358" s="5" t="str">
        <f t="shared" si="15"/>
        <v>det_620</v>
      </c>
      <c r="I358" s="5" t="str">
        <f t="shared" si="16"/>
        <v>W:\Performance Measurement\1. Freeway\1. raw data\2014\data files\det_620.txt</v>
      </c>
      <c r="J358" s="5" t="str">
        <f t="shared" si="17"/>
        <v>W:\Performance Measurement\1. Freeway\1. raw data\2014\data files\det_620.xlsx</v>
      </c>
      <c r="M358" s="108" t="s">
        <v>79</v>
      </c>
      <c r="N358" s="10">
        <v>620</v>
      </c>
      <c r="O358" s="10">
        <v>4</v>
      </c>
      <c r="P358" s="10">
        <v>0</v>
      </c>
    </row>
    <row r="359" spans="4:16" x14ac:dyDescent="0.25">
      <c r="N359" s="10"/>
      <c r="O359" s="10"/>
      <c r="P359" s="10"/>
    </row>
    <row r="360" spans="4:16" x14ac:dyDescent="0.25">
      <c r="N360" s="10"/>
      <c r="O360" s="10"/>
      <c r="P360" s="10"/>
    </row>
    <row r="361" spans="4:16" x14ac:dyDescent="0.25">
      <c r="N361" s="10"/>
      <c r="O361" s="10"/>
      <c r="P361" s="10"/>
    </row>
    <row r="362" spans="4:16" x14ac:dyDescent="0.25">
      <c r="N362" s="10"/>
      <c r="O362" s="10"/>
      <c r="P362" s="10"/>
    </row>
    <row r="363" spans="4:16" x14ac:dyDescent="0.25">
      <c r="N363" s="10"/>
      <c r="O363" s="10"/>
      <c r="P363" s="10"/>
    </row>
    <row r="364" spans="4:16" x14ac:dyDescent="0.25">
      <c r="N364" s="10"/>
      <c r="O364" s="10"/>
      <c r="P364" s="10"/>
    </row>
    <row r="365" spans="4:16" x14ac:dyDescent="0.25">
      <c r="N365" s="10"/>
      <c r="O365" s="10"/>
      <c r="P365" s="10"/>
    </row>
    <row r="366" spans="4:16" x14ac:dyDescent="0.25">
      <c r="N366" s="10"/>
      <c r="O366" s="10"/>
      <c r="P366" s="10"/>
    </row>
    <row r="367" spans="4:16" x14ac:dyDescent="0.25">
      <c r="N367" s="10"/>
      <c r="O367" s="10"/>
      <c r="P367" s="10"/>
    </row>
    <row r="368" spans="4:16" x14ac:dyDescent="0.25">
      <c r="N368" s="10"/>
      <c r="O368" s="10"/>
      <c r="P368" s="10"/>
    </row>
    <row r="369" spans="14:16" x14ac:dyDescent="0.25">
      <c r="N369" s="10"/>
      <c r="O369" s="10"/>
      <c r="P369" s="10"/>
    </row>
    <row r="370" spans="14:16" x14ac:dyDescent="0.25">
      <c r="N370" s="10"/>
      <c r="O370" s="10"/>
      <c r="P370" s="10"/>
    </row>
    <row r="371" spans="14:16" x14ac:dyDescent="0.25">
      <c r="N371" s="10"/>
      <c r="O371" s="10"/>
      <c r="P371" s="10"/>
    </row>
    <row r="372" spans="14:16" x14ac:dyDescent="0.25">
      <c r="N372" s="10"/>
      <c r="O372" s="10"/>
      <c r="P372" s="10"/>
    </row>
    <row r="373" spans="14:16" x14ac:dyDescent="0.25">
      <c r="N373" s="10"/>
      <c r="O373" s="10"/>
      <c r="P373" s="10"/>
    </row>
    <row r="374" spans="14:16" x14ac:dyDescent="0.25">
      <c r="N374" s="10"/>
      <c r="O374" s="10"/>
      <c r="P374" s="10"/>
    </row>
    <row r="375" spans="14:16" x14ac:dyDescent="0.25">
      <c r="N375" s="10"/>
      <c r="O375" s="10"/>
      <c r="P375" s="10"/>
    </row>
    <row r="376" spans="14:16" x14ac:dyDescent="0.25">
      <c r="N376" s="10"/>
      <c r="O376" s="10"/>
      <c r="P376" s="10"/>
    </row>
    <row r="377" spans="14:16" x14ac:dyDescent="0.25">
      <c r="N377" s="10"/>
      <c r="O377" s="10"/>
      <c r="P377" s="10"/>
    </row>
    <row r="378" spans="14:16" x14ac:dyDescent="0.25">
      <c r="N378" s="10"/>
      <c r="O378" s="10"/>
      <c r="P378" s="10"/>
    </row>
    <row r="379" spans="14:16" x14ac:dyDescent="0.25">
      <c r="N379" s="10"/>
      <c r="O379" s="10"/>
      <c r="P379" s="10"/>
    </row>
    <row r="380" spans="14:16" x14ac:dyDescent="0.25">
      <c r="N380" s="10"/>
      <c r="O380" s="10"/>
      <c r="P380" s="10"/>
    </row>
    <row r="381" spans="14:16" x14ac:dyDescent="0.25">
      <c r="N381" s="10"/>
      <c r="O381" s="10"/>
      <c r="P381" s="10"/>
    </row>
    <row r="382" spans="14:16" x14ac:dyDescent="0.25">
      <c r="N382" s="10"/>
      <c r="O382" s="10"/>
      <c r="P382" s="10"/>
    </row>
    <row r="383" spans="14:16" x14ac:dyDescent="0.25">
      <c r="N383" s="10"/>
      <c r="O383" s="10"/>
      <c r="P383" s="10"/>
    </row>
    <row r="384" spans="14:16" x14ac:dyDescent="0.25">
      <c r="N384" s="10"/>
      <c r="O384" s="10"/>
      <c r="P384" s="10"/>
    </row>
    <row r="385" spans="14:16" x14ac:dyDescent="0.25">
      <c r="N385" s="10"/>
      <c r="O385" s="10"/>
      <c r="P385" s="10"/>
    </row>
    <row r="386" spans="14:16" x14ac:dyDescent="0.25">
      <c r="N386" s="10"/>
      <c r="O386" s="10"/>
      <c r="P386" s="10"/>
    </row>
    <row r="387" spans="14:16" x14ac:dyDescent="0.25">
      <c r="N387" s="10"/>
      <c r="O387" s="10"/>
      <c r="P387" s="10"/>
    </row>
    <row r="388" spans="14:16" x14ac:dyDescent="0.25">
      <c r="N388" s="10"/>
      <c r="O388" s="10"/>
      <c r="P388" s="10"/>
    </row>
    <row r="389" spans="14:16" x14ac:dyDescent="0.25">
      <c r="N389" s="10"/>
      <c r="O389" s="10"/>
      <c r="P389" s="10"/>
    </row>
    <row r="390" spans="14:16" x14ac:dyDescent="0.25">
      <c r="N390" s="10"/>
      <c r="O390" s="10"/>
      <c r="P390" s="10"/>
    </row>
    <row r="391" spans="14:16" x14ac:dyDescent="0.25">
      <c r="N391" s="10"/>
      <c r="O391" s="10"/>
      <c r="P391" s="10"/>
    </row>
    <row r="392" spans="14:16" x14ac:dyDescent="0.25">
      <c r="N392" s="10"/>
      <c r="O392" s="10"/>
      <c r="P392" s="10"/>
    </row>
    <row r="393" spans="14:16" x14ac:dyDescent="0.25">
      <c r="N393" s="10"/>
      <c r="O393" s="10"/>
      <c r="P393" s="10"/>
    </row>
    <row r="394" spans="14:16" x14ac:dyDescent="0.25">
      <c r="N394" s="10"/>
      <c r="O394" s="10"/>
      <c r="P394" s="10"/>
    </row>
    <row r="395" spans="14:16" x14ac:dyDescent="0.25">
      <c r="N395" s="10"/>
      <c r="O395" s="10"/>
      <c r="P395" s="10"/>
    </row>
    <row r="396" spans="14:16" x14ac:dyDescent="0.25">
      <c r="N396" s="10"/>
      <c r="O396" s="10"/>
      <c r="P396" s="10"/>
    </row>
    <row r="397" spans="14:16" x14ac:dyDescent="0.25">
      <c r="N397" s="10"/>
      <c r="O397" s="10"/>
      <c r="P397" s="10"/>
    </row>
    <row r="398" spans="14:16" x14ac:dyDescent="0.25">
      <c r="N398" s="10"/>
      <c r="O398" s="10"/>
      <c r="P398" s="10"/>
    </row>
    <row r="399" spans="14:16" x14ac:dyDescent="0.25">
      <c r="N399" s="10"/>
      <c r="O399" s="10"/>
      <c r="P399" s="10"/>
    </row>
    <row r="400" spans="14:16" x14ac:dyDescent="0.25">
      <c r="N400" s="10"/>
      <c r="O400" s="10"/>
      <c r="P400" s="10"/>
    </row>
    <row r="401" spans="14:16" x14ac:dyDescent="0.25">
      <c r="N401" s="10"/>
      <c r="O401" s="10"/>
      <c r="P401" s="10"/>
    </row>
    <row r="402" spans="14:16" x14ac:dyDescent="0.25">
      <c r="N402" s="10"/>
      <c r="O402" s="10"/>
      <c r="P402" s="10"/>
    </row>
    <row r="403" spans="14:16" x14ac:dyDescent="0.25">
      <c r="N403" s="10"/>
      <c r="O403" s="10"/>
      <c r="P403" s="10"/>
    </row>
    <row r="404" spans="14:16" x14ac:dyDescent="0.25">
      <c r="N404" s="10"/>
      <c r="O404" s="10"/>
      <c r="P404" s="10"/>
    </row>
    <row r="405" spans="14:16" x14ac:dyDescent="0.25">
      <c r="N405" s="10"/>
      <c r="O405" s="10"/>
      <c r="P405" s="10"/>
    </row>
    <row r="406" spans="14:16" x14ac:dyDescent="0.25">
      <c r="N406" s="10"/>
      <c r="O406" s="10"/>
      <c r="P406" s="10"/>
    </row>
    <row r="407" spans="14:16" x14ac:dyDescent="0.25">
      <c r="N407" s="10"/>
      <c r="O407" s="10"/>
      <c r="P407" s="10"/>
    </row>
    <row r="408" spans="14:16" x14ac:dyDescent="0.25">
      <c r="N408" s="10"/>
      <c r="O408" s="10"/>
      <c r="P408" s="10"/>
    </row>
    <row r="409" spans="14:16" x14ac:dyDescent="0.25">
      <c r="N409" s="10"/>
      <c r="O409" s="10"/>
      <c r="P409" s="10"/>
    </row>
    <row r="410" spans="14:16" x14ac:dyDescent="0.25">
      <c r="N410" s="10"/>
      <c r="O410" s="10"/>
      <c r="P410" s="10"/>
    </row>
    <row r="411" spans="14:16" x14ac:dyDescent="0.25">
      <c r="N411" s="10"/>
      <c r="O411" s="10"/>
      <c r="P411" s="10"/>
    </row>
    <row r="412" spans="14:16" x14ac:dyDescent="0.25">
      <c r="N412" s="10"/>
      <c r="O412" s="10"/>
      <c r="P412" s="10"/>
    </row>
    <row r="413" spans="14:16" x14ac:dyDescent="0.25">
      <c r="N413" s="10"/>
      <c r="O413" s="10"/>
      <c r="P413" s="10"/>
    </row>
    <row r="414" spans="14:16" x14ac:dyDescent="0.25">
      <c r="N414" s="10"/>
      <c r="O414" s="10"/>
      <c r="P414" s="10"/>
    </row>
    <row r="415" spans="14:16" x14ac:dyDescent="0.25">
      <c r="N415" s="10"/>
      <c r="O415" s="10"/>
      <c r="P415" s="10"/>
    </row>
    <row r="416" spans="14:16" x14ac:dyDescent="0.25">
      <c r="N416" s="10"/>
      <c r="O416" s="10"/>
      <c r="P416" s="10"/>
    </row>
    <row r="417" spans="14:16" x14ac:dyDescent="0.25">
      <c r="N417" s="10"/>
      <c r="O417" s="10"/>
      <c r="P417" s="10"/>
    </row>
    <row r="418" spans="14:16" x14ac:dyDescent="0.25">
      <c r="N418" s="10"/>
      <c r="O418" s="10"/>
      <c r="P418" s="10"/>
    </row>
    <row r="419" spans="14:16" x14ac:dyDescent="0.25">
      <c r="N419" s="10"/>
      <c r="O419" s="10"/>
      <c r="P419" s="10"/>
    </row>
    <row r="420" spans="14:16" x14ac:dyDescent="0.25">
      <c r="N420" s="10"/>
      <c r="O420" s="10"/>
      <c r="P420" s="10"/>
    </row>
    <row r="421" spans="14:16" x14ac:dyDescent="0.25">
      <c r="N421" s="10"/>
      <c r="O421" s="10"/>
      <c r="P421" s="10"/>
    </row>
    <row r="422" spans="14:16" x14ac:dyDescent="0.25">
      <c r="N422" s="10"/>
      <c r="O422" s="10"/>
      <c r="P422" s="10"/>
    </row>
    <row r="423" spans="14:16" x14ac:dyDescent="0.25">
      <c r="N423" s="10"/>
      <c r="O423" s="10"/>
      <c r="P423" s="10"/>
    </row>
    <row r="424" spans="14:16" x14ac:dyDescent="0.25">
      <c r="N424" s="10"/>
      <c r="O424" s="10"/>
      <c r="P424" s="10"/>
    </row>
    <row r="425" spans="14:16" x14ac:dyDescent="0.25">
      <c r="N425" s="10"/>
      <c r="O425" s="10"/>
      <c r="P425" s="10"/>
    </row>
    <row r="426" spans="14:16" x14ac:dyDescent="0.25">
      <c r="N426" s="10"/>
      <c r="O426" s="10"/>
      <c r="P426" s="10"/>
    </row>
    <row r="427" spans="14:16" x14ac:dyDescent="0.25">
      <c r="N427" s="10"/>
      <c r="O427" s="10"/>
      <c r="P427" s="10"/>
    </row>
    <row r="428" spans="14:16" x14ac:dyDescent="0.25">
      <c r="N428" s="10"/>
      <c r="O428" s="10"/>
      <c r="P428" s="10"/>
    </row>
    <row r="429" spans="14:16" x14ac:dyDescent="0.25">
      <c r="N429" s="10"/>
      <c r="O429" s="10"/>
      <c r="P429" s="10"/>
    </row>
    <row r="430" spans="14:16" x14ac:dyDescent="0.25">
      <c r="N430" s="10"/>
      <c r="O430" s="10"/>
      <c r="P430" s="10"/>
    </row>
    <row r="431" spans="14:16" x14ac:dyDescent="0.25">
      <c r="N431" s="10"/>
      <c r="O431" s="10"/>
      <c r="P431" s="10"/>
    </row>
    <row r="432" spans="14:16" x14ac:dyDescent="0.25">
      <c r="N432" s="10"/>
      <c r="O432" s="10"/>
      <c r="P432" s="10"/>
    </row>
    <row r="433" spans="14:16" x14ac:dyDescent="0.25">
      <c r="N433" s="10"/>
      <c r="O433" s="10"/>
      <c r="P433" s="10"/>
    </row>
    <row r="434" spans="14:16" x14ac:dyDescent="0.25">
      <c r="N434" s="10"/>
      <c r="O434" s="10"/>
      <c r="P434" s="10"/>
    </row>
    <row r="435" spans="14:16" x14ac:dyDescent="0.25">
      <c r="N435" s="10"/>
      <c r="O435" s="10"/>
      <c r="P435" s="10"/>
    </row>
    <row r="436" spans="14:16" x14ac:dyDescent="0.25">
      <c r="N436" s="10"/>
      <c r="O436" s="10"/>
      <c r="P436" s="10"/>
    </row>
    <row r="437" spans="14:16" x14ac:dyDescent="0.25">
      <c r="N437" s="10"/>
      <c r="O437" s="10"/>
      <c r="P437" s="10"/>
    </row>
    <row r="438" spans="14:16" x14ac:dyDescent="0.25">
      <c r="N438" s="10"/>
      <c r="O438" s="10"/>
      <c r="P438" s="10"/>
    </row>
    <row r="439" spans="14:16" x14ac:dyDescent="0.25">
      <c r="N439" s="10"/>
      <c r="O439" s="10"/>
      <c r="P439" s="10"/>
    </row>
    <row r="440" spans="14:16" x14ac:dyDescent="0.25">
      <c r="N440" s="10"/>
      <c r="O440" s="10"/>
      <c r="P440" s="10"/>
    </row>
    <row r="441" spans="14:16" x14ac:dyDescent="0.25">
      <c r="N441" s="10"/>
      <c r="O441" s="10"/>
      <c r="P441" s="10"/>
    </row>
    <row r="442" spans="14:16" x14ac:dyDescent="0.25">
      <c r="N442" s="10"/>
      <c r="O442" s="10"/>
      <c r="P442" s="10"/>
    </row>
    <row r="443" spans="14:16" x14ac:dyDescent="0.25">
      <c r="N443" s="10"/>
      <c r="O443" s="10"/>
      <c r="P443" s="10"/>
    </row>
    <row r="444" spans="14:16" x14ac:dyDescent="0.25">
      <c r="N444" s="10"/>
      <c r="O444" s="10"/>
      <c r="P444" s="10"/>
    </row>
    <row r="445" spans="14:16" x14ac:dyDescent="0.25">
      <c r="N445" s="10"/>
      <c r="O445" s="10"/>
      <c r="P445" s="10"/>
    </row>
    <row r="446" spans="14:16" x14ac:dyDescent="0.25">
      <c r="N446" s="10"/>
      <c r="O446" s="10"/>
      <c r="P446" s="10"/>
    </row>
    <row r="447" spans="14:16" x14ac:dyDescent="0.25">
      <c r="N447" s="10"/>
      <c r="O447" s="10"/>
      <c r="P447" s="10"/>
    </row>
    <row r="448" spans="14:16" x14ac:dyDescent="0.25">
      <c r="N448" s="10"/>
      <c r="O448" s="10"/>
      <c r="P448" s="10"/>
    </row>
    <row r="449" spans="14:16" x14ac:dyDescent="0.25">
      <c r="N449" s="10"/>
      <c r="O449" s="10"/>
      <c r="P449" s="10"/>
    </row>
    <row r="450" spans="14:16" x14ac:dyDescent="0.25">
      <c r="N450" s="10"/>
      <c r="O450" s="10"/>
      <c r="P450" s="10"/>
    </row>
    <row r="451" spans="14:16" x14ac:dyDescent="0.25">
      <c r="N451" s="10"/>
      <c r="O451" s="10"/>
      <c r="P451" s="10"/>
    </row>
    <row r="452" spans="14:16" x14ac:dyDescent="0.25">
      <c r="N452" s="10"/>
      <c r="O452" s="10"/>
      <c r="P452" s="10"/>
    </row>
    <row r="453" spans="14:16" x14ac:dyDescent="0.25">
      <c r="N453" s="10"/>
      <c r="O453" s="10"/>
      <c r="P453" s="10"/>
    </row>
    <row r="454" spans="14:16" x14ac:dyDescent="0.25">
      <c r="N454" s="10"/>
      <c r="O454" s="10"/>
      <c r="P454" s="10"/>
    </row>
    <row r="455" spans="14:16" x14ac:dyDescent="0.25">
      <c r="N455" s="10"/>
      <c r="O455" s="10"/>
      <c r="P455" s="10"/>
    </row>
    <row r="456" spans="14:16" x14ac:dyDescent="0.25">
      <c r="N456" s="10"/>
      <c r="O456" s="10"/>
      <c r="P456" s="10"/>
    </row>
    <row r="457" spans="14:16" x14ac:dyDescent="0.25">
      <c r="N457" s="10"/>
      <c r="O457" s="10"/>
      <c r="P457" s="10"/>
    </row>
    <row r="458" spans="14:16" x14ac:dyDescent="0.25">
      <c r="N458" s="10"/>
      <c r="O458" s="10"/>
      <c r="P458" s="10"/>
    </row>
    <row r="459" spans="14:16" x14ac:dyDescent="0.25">
      <c r="N459" s="10"/>
      <c r="O459" s="10"/>
      <c r="P459" s="10"/>
    </row>
    <row r="460" spans="14:16" x14ac:dyDescent="0.25">
      <c r="N460" s="10"/>
      <c r="O460" s="10"/>
      <c r="P460" s="10"/>
    </row>
    <row r="461" spans="14:16" x14ac:dyDescent="0.25">
      <c r="N461" s="10"/>
      <c r="O461" s="10"/>
      <c r="P461" s="10"/>
    </row>
    <row r="462" spans="14:16" x14ac:dyDescent="0.25">
      <c r="N462" s="10"/>
      <c r="O462" s="10"/>
      <c r="P462" s="10"/>
    </row>
    <row r="463" spans="14:16" x14ac:dyDescent="0.25">
      <c r="N463" s="10"/>
      <c r="O463" s="10"/>
      <c r="P463" s="10"/>
    </row>
    <row r="464" spans="14:16" x14ac:dyDescent="0.25">
      <c r="N464" s="10"/>
      <c r="O464" s="10"/>
      <c r="P464" s="10"/>
    </row>
    <row r="465" spans="14:16" x14ac:dyDescent="0.25">
      <c r="N465" s="10"/>
      <c r="O465" s="10"/>
      <c r="P465" s="10"/>
    </row>
    <row r="466" spans="14:16" x14ac:dyDescent="0.25">
      <c r="N466" s="10"/>
      <c r="O466" s="10"/>
      <c r="P466" s="10"/>
    </row>
    <row r="467" spans="14:16" x14ac:dyDescent="0.25">
      <c r="N467" s="10"/>
      <c r="O467" s="10"/>
      <c r="P467" s="10"/>
    </row>
    <row r="468" spans="14:16" x14ac:dyDescent="0.25">
      <c r="N468" s="10"/>
      <c r="O468" s="10"/>
      <c r="P468" s="10"/>
    </row>
    <row r="469" spans="14:16" x14ac:dyDescent="0.25">
      <c r="N469" s="10"/>
      <c r="O469" s="10"/>
      <c r="P469" s="10"/>
    </row>
    <row r="470" spans="14:16" x14ac:dyDescent="0.25">
      <c r="N470" s="10"/>
      <c r="O470" s="10"/>
      <c r="P470" s="10"/>
    </row>
    <row r="471" spans="14:16" x14ac:dyDescent="0.25">
      <c r="N471" s="10"/>
      <c r="O471" s="10"/>
      <c r="P471" s="10"/>
    </row>
    <row r="472" spans="14:16" x14ac:dyDescent="0.25">
      <c r="N472" s="10"/>
      <c r="O472" s="10"/>
      <c r="P472" s="10"/>
    </row>
    <row r="473" spans="14:16" x14ac:dyDescent="0.25">
      <c r="N473" s="10"/>
      <c r="O473" s="10"/>
      <c r="P473" s="10"/>
    </row>
    <row r="474" spans="14:16" x14ac:dyDescent="0.25">
      <c r="N474" s="10"/>
      <c r="O474" s="10"/>
      <c r="P474" s="10"/>
    </row>
    <row r="475" spans="14:16" x14ac:dyDescent="0.25">
      <c r="N475" s="10"/>
      <c r="O475" s="10"/>
      <c r="P475" s="10"/>
    </row>
    <row r="476" spans="14:16" x14ac:dyDescent="0.25">
      <c r="N476" s="10"/>
      <c r="O476" s="10"/>
      <c r="P476" s="10"/>
    </row>
    <row r="477" spans="14:16" x14ac:dyDescent="0.25">
      <c r="N477" s="10"/>
      <c r="O477" s="10"/>
      <c r="P477" s="10"/>
    </row>
    <row r="478" spans="14:16" x14ac:dyDescent="0.25">
      <c r="N478" s="10"/>
      <c r="O478" s="10"/>
      <c r="P478" s="10"/>
    </row>
    <row r="479" spans="14:16" x14ac:dyDescent="0.25">
      <c r="N479" s="10"/>
      <c r="O479" s="10"/>
      <c r="P479" s="10"/>
    </row>
    <row r="480" spans="14:16" x14ac:dyDescent="0.25">
      <c r="N480" s="10"/>
      <c r="O480" s="10"/>
      <c r="P480" s="10"/>
    </row>
    <row r="481" spans="14:16" x14ac:dyDescent="0.25">
      <c r="N481" s="10"/>
      <c r="O481" s="10"/>
      <c r="P481" s="10"/>
    </row>
    <row r="482" spans="14:16" x14ac:dyDescent="0.25">
      <c r="N482" s="10"/>
      <c r="O482" s="10"/>
      <c r="P482" s="10"/>
    </row>
    <row r="483" spans="14:16" x14ac:dyDescent="0.25">
      <c r="N483" s="10"/>
      <c r="O483" s="10"/>
      <c r="P483" s="10"/>
    </row>
    <row r="484" spans="14:16" x14ac:dyDescent="0.25">
      <c r="N484" s="10"/>
      <c r="O484" s="10"/>
      <c r="P484" s="10"/>
    </row>
    <row r="485" spans="14:16" x14ac:dyDescent="0.25">
      <c r="N485" s="10"/>
      <c r="O485" s="10"/>
      <c r="P485" s="10"/>
    </row>
    <row r="486" spans="14:16" x14ac:dyDescent="0.25">
      <c r="N486" s="10"/>
      <c r="O486" s="10"/>
      <c r="P486" s="10"/>
    </row>
    <row r="487" spans="14:16" x14ac:dyDescent="0.25">
      <c r="N487" s="10"/>
      <c r="O487" s="10"/>
      <c r="P487" s="10"/>
    </row>
    <row r="488" spans="14:16" x14ac:dyDescent="0.25">
      <c r="N488" s="10"/>
      <c r="O488" s="10"/>
      <c r="P488" s="10"/>
    </row>
    <row r="489" spans="14:16" x14ac:dyDescent="0.25">
      <c r="N489" s="10"/>
      <c r="O489" s="10"/>
      <c r="P489" s="10"/>
    </row>
    <row r="490" spans="14:16" x14ac:dyDescent="0.25">
      <c r="N490" s="10"/>
      <c r="O490" s="10"/>
      <c r="P490" s="10"/>
    </row>
    <row r="491" spans="14:16" x14ac:dyDescent="0.25">
      <c r="N491" s="10"/>
      <c r="O491" s="10"/>
      <c r="P491" s="10"/>
    </row>
    <row r="492" spans="14:16" x14ac:dyDescent="0.25">
      <c r="N492" s="10"/>
      <c r="O492" s="10"/>
      <c r="P492" s="10"/>
    </row>
    <row r="493" spans="14:16" x14ac:dyDescent="0.25">
      <c r="N493" s="10"/>
      <c r="O493" s="10"/>
      <c r="P493" s="10"/>
    </row>
    <row r="494" spans="14:16" x14ac:dyDescent="0.25">
      <c r="N494" s="10"/>
      <c r="O494" s="10"/>
      <c r="P494" s="10"/>
    </row>
    <row r="495" spans="14:16" x14ac:dyDescent="0.25">
      <c r="N495" s="10"/>
      <c r="O495" s="10"/>
      <c r="P495" s="10"/>
    </row>
    <row r="496" spans="14:16" x14ac:dyDescent="0.25">
      <c r="N496" s="10"/>
      <c r="O496" s="10"/>
      <c r="P496" s="10"/>
    </row>
    <row r="497" spans="14:16" x14ac:dyDescent="0.25">
      <c r="N497" s="10"/>
      <c r="O497" s="10"/>
      <c r="P497" s="10"/>
    </row>
    <row r="498" spans="14:16" x14ac:dyDescent="0.25">
      <c r="N498" s="10"/>
      <c r="O498" s="10"/>
      <c r="P498" s="10"/>
    </row>
    <row r="499" spans="14:16" x14ac:dyDescent="0.25">
      <c r="N499" s="10"/>
      <c r="O499" s="10"/>
      <c r="P499" s="10"/>
    </row>
    <row r="500" spans="14:16" x14ac:dyDescent="0.25">
      <c r="N500" s="10"/>
      <c r="O500" s="10"/>
      <c r="P500" s="10"/>
    </row>
    <row r="501" spans="14:16" x14ac:dyDescent="0.25">
      <c r="N501" s="10"/>
      <c r="O501" s="10"/>
      <c r="P501" s="10"/>
    </row>
    <row r="502" spans="14:16" x14ac:dyDescent="0.25">
      <c r="N502" s="10"/>
      <c r="O502" s="10"/>
      <c r="P502" s="10"/>
    </row>
    <row r="503" spans="14:16" x14ac:dyDescent="0.25">
      <c r="N503" s="10"/>
      <c r="O503" s="10"/>
      <c r="P503" s="10"/>
    </row>
    <row r="504" spans="14:16" x14ac:dyDescent="0.25">
      <c r="N504" s="10"/>
      <c r="O504" s="10"/>
      <c r="P504"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locked="0" defaultSize="0" print="0" autoFill="0" autoPict="0" macro="[0]!Step3">
                <anchor moveWithCells="1" sizeWithCells="1">
                  <from>
                    <xdr:col>1</xdr:col>
                    <xdr:colOff>0</xdr:colOff>
                    <xdr:row>2</xdr:row>
                    <xdr:rowOff>0</xdr:rowOff>
                  </from>
                  <to>
                    <xdr:col>2</xdr:col>
                    <xdr:colOff>638175</xdr:colOff>
                    <xdr:row>3</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P509"/>
  <sheetViews>
    <sheetView topLeftCell="A277" zoomScaleNormal="100" workbookViewId="0">
      <selection activeCell="B5" sqref="B5"/>
    </sheetView>
  </sheetViews>
  <sheetFormatPr defaultRowHeight="15" x14ac:dyDescent="0.25"/>
  <cols>
    <col min="1" max="1" width="4.140625" style="109" customWidth="1"/>
    <col min="2" max="2" width="10.7109375" style="109" customWidth="1"/>
    <col min="3" max="3" width="21.7109375" style="109" customWidth="1"/>
    <col min="4" max="4" width="8.7109375" style="109" customWidth="1"/>
    <col min="5" max="8" width="10.7109375" style="109" customWidth="1"/>
    <col min="9" max="10" width="24" style="109" customWidth="1"/>
    <col min="11" max="11" width="10.5703125" style="109" customWidth="1"/>
    <col min="12" max="12" width="41" style="109" customWidth="1"/>
    <col min="13" max="16384" width="9.140625" style="109"/>
  </cols>
  <sheetData>
    <row r="1" spans="2:16" ht="18.75" x14ac:dyDescent="0.3">
      <c r="B1" s="13" t="s">
        <v>21</v>
      </c>
      <c r="C1" s="13"/>
      <c r="D1" s="13"/>
      <c r="E1" s="13"/>
      <c r="H1" s="13"/>
      <c r="I1" s="12" t="s">
        <v>20</v>
      </c>
    </row>
    <row r="2" spans="2:16" x14ac:dyDescent="0.25">
      <c r="E2" s="6"/>
      <c r="F2" s="6"/>
      <c r="G2" s="6"/>
      <c r="H2" s="6"/>
      <c r="I2" s="6"/>
      <c r="J2" s="6"/>
      <c r="K2" s="6"/>
    </row>
    <row r="3" spans="2:16" x14ac:dyDescent="0.25">
      <c r="E3" s="6"/>
      <c r="F3" s="6"/>
      <c r="G3" s="6"/>
      <c r="M3" s="109" t="s">
        <v>279</v>
      </c>
    </row>
    <row r="4" spans="2:16" x14ac:dyDescent="0.25">
      <c r="D4" s="109" t="s">
        <v>19</v>
      </c>
      <c r="E4" s="109" t="s">
        <v>18</v>
      </c>
      <c r="F4" s="109" t="s">
        <v>38</v>
      </c>
      <c r="G4" s="109" t="s">
        <v>39</v>
      </c>
      <c r="H4" s="109" t="s">
        <v>17</v>
      </c>
      <c r="I4" s="109" t="s">
        <v>16</v>
      </c>
      <c r="J4" s="109" t="s">
        <v>15</v>
      </c>
      <c r="M4" s="109" t="s">
        <v>275</v>
      </c>
      <c r="N4" s="109" t="s">
        <v>18</v>
      </c>
      <c r="O4" s="109" t="s">
        <v>38</v>
      </c>
      <c r="P4" s="109" t="s">
        <v>39</v>
      </c>
    </row>
    <row r="5" spans="2:16" x14ac:dyDescent="0.25">
      <c r="B5" s="2" t="s">
        <v>286</v>
      </c>
      <c r="C5" s="109" t="s">
        <v>14</v>
      </c>
      <c r="D5" s="109">
        <v>1</v>
      </c>
      <c r="E5" s="10">
        <v>2</v>
      </c>
      <c r="F5" s="10">
        <v>5</v>
      </c>
      <c r="G5" s="10">
        <v>1</v>
      </c>
      <c r="H5" s="5" t="str">
        <f t="shared" ref="H5:H68" si="0">"det_"&amp;E5&amp;""</f>
        <v>det_2</v>
      </c>
      <c r="I5" s="5" t="str">
        <f t="shared" ref="I5:I68" si="1">$B$5&amp;"\"&amp;H5&amp;".txt"</f>
        <v>W:\Performance Measurement\1. Freeway\1. raw data\2015\data files\det_2.txt</v>
      </c>
      <c r="J5" s="5" t="str">
        <f t="shared" ref="J5:J68" si="2">$B$5&amp;"\"&amp;H5&amp;".xlsx"</f>
        <v>W:\Performance Measurement\1. Freeway\1. raw data\2015\data files\det_2.xlsx</v>
      </c>
      <c r="K5" s="5"/>
      <c r="M5" s="113" t="s">
        <v>58</v>
      </c>
      <c r="N5" s="10">
        <v>2</v>
      </c>
      <c r="O5" s="10">
        <v>5</v>
      </c>
      <c r="P5" s="10">
        <v>1</v>
      </c>
    </row>
    <row r="6" spans="2:16" x14ac:dyDescent="0.25">
      <c r="B6" s="2" t="s">
        <v>47</v>
      </c>
      <c r="C6" s="109" t="s">
        <v>13</v>
      </c>
      <c r="D6" s="109">
        <v>2</v>
      </c>
      <c r="E6" s="10">
        <v>8</v>
      </c>
      <c r="F6" s="10">
        <v>4</v>
      </c>
      <c r="G6" s="10">
        <v>1</v>
      </c>
      <c r="H6" s="5" t="str">
        <f t="shared" si="0"/>
        <v>det_8</v>
      </c>
      <c r="I6" s="5" t="str">
        <f t="shared" si="1"/>
        <v>W:\Performance Measurement\1. Freeway\1. raw data\2015\data files\det_8.txt</v>
      </c>
      <c r="J6" s="5" t="str">
        <f t="shared" si="2"/>
        <v>W:\Performance Measurement\1. Freeway\1. raw data\2015\data files\det_8.xlsx</v>
      </c>
      <c r="K6" s="5"/>
      <c r="M6" s="113" t="s">
        <v>58</v>
      </c>
      <c r="N6" s="10">
        <v>8</v>
      </c>
      <c r="O6" s="10">
        <v>4</v>
      </c>
      <c r="P6" s="10">
        <v>1</v>
      </c>
    </row>
    <row r="7" spans="2:16" x14ac:dyDescent="0.25">
      <c r="B7" s="2" t="s">
        <v>285</v>
      </c>
      <c r="C7" s="109" t="s">
        <v>11</v>
      </c>
      <c r="D7" s="109">
        <v>3</v>
      </c>
      <c r="E7" s="10">
        <v>14</v>
      </c>
      <c r="F7" s="10">
        <v>4</v>
      </c>
      <c r="G7" s="10">
        <v>1</v>
      </c>
      <c r="H7" s="5" t="str">
        <f t="shared" si="0"/>
        <v>det_14</v>
      </c>
      <c r="I7" s="5" t="str">
        <f t="shared" si="1"/>
        <v>W:\Performance Measurement\1. Freeway\1. raw data\2015\data files\det_14.txt</v>
      </c>
      <c r="J7" s="5" t="str">
        <f t="shared" si="2"/>
        <v>W:\Performance Measurement\1. Freeway\1. raw data\2015\data files\det_14.xlsx</v>
      </c>
      <c r="K7" s="5"/>
      <c r="M7" s="113" t="s">
        <v>58</v>
      </c>
      <c r="N7" s="10">
        <v>14</v>
      </c>
      <c r="O7" s="10">
        <v>4</v>
      </c>
      <c r="P7" s="10">
        <v>1</v>
      </c>
    </row>
    <row r="8" spans="2:16" x14ac:dyDescent="0.25">
      <c r="B8" s="2" t="s">
        <v>260</v>
      </c>
      <c r="C8" s="1" t="s">
        <v>10</v>
      </c>
      <c r="D8" s="109">
        <v>4</v>
      </c>
      <c r="E8" s="10">
        <v>20</v>
      </c>
      <c r="F8" s="10">
        <v>4</v>
      </c>
      <c r="G8" s="10">
        <v>1</v>
      </c>
      <c r="H8" s="5" t="str">
        <f t="shared" si="0"/>
        <v>det_20</v>
      </c>
      <c r="I8" s="5" t="str">
        <f t="shared" si="1"/>
        <v>W:\Performance Measurement\1. Freeway\1. raw data\2015\data files\det_20.txt</v>
      </c>
      <c r="J8" s="5" t="str">
        <f t="shared" si="2"/>
        <v>W:\Performance Measurement\1. Freeway\1. raw data\2015\data files\det_20.xlsx</v>
      </c>
      <c r="K8" s="5"/>
      <c r="M8" s="113" t="s">
        <v>58</v>
      </c>
      <c r="N8" s="10">
        <v>20</v>
      </c>
      <c r="O8" s="10">
        <v>4</v>
      </c>
      <c r="P8" s="10">
        <v>1</v>
      </c>
    </row>
    <row r="9" spans="2:16" x14ac:dyDescent="0.25">
      <c r="D9" s="109">
        <v>5</v>
      </c>
      <c r="E9" s="10">
        <v>25</v>
      </c>
      <c r="F9" s="10">
        <v>4</v>
      </c>
      <c r="G9" s="10">
        <v>1</v>
      </c>
      <c r="H9" s="5" t="str">
        <f t="shared" si="0"/>
        <v>det_25</v>
      </c>
      <c r="I9" s="5" t="str">
        <f t="shared" si="1"/>
        <v>W:\Performance Measurement\1. Freeway\1. raw data\2015\data files\det_25.txt</v>
      </c>
      <c r="J9" s="5" t="str">
        <f t="shared" si="2"/>
        <v>W:\Performance Measurement\1. Freeway\1. raw data\2015\data files\det_25.xlsx</v>
      </c>
      <c r="K9" s="5"/>
      <c r="M9" s="113" t="s">
        <v>58</v>
      </c>
      <c r="N9" s="10">
        <v>25</v>
      </c>
      <c r="O9" s="10">
        <v>4</v>
      </c>
      <c r="P9" s="10">
        <v>1</v>
      </c>
    </row>
    <row r="10" spans="2:16" x14ac:dyDescent="0.25">
      <c r="B10" s="3">
        <v>2015</v>
      </c>
      <c r="C10" s="109" t="s">
        <v>9</v>
      </c>
      <c r="D10" s="109">
        <v>6</v>
      </c>
      <c r="E10" s="10">
        <v>30</v>
      </c>
      <c r="F10" s="10">
        <v>4</v>
      </c>
      <c r="G10" s="10">
        <v>1</v>
      </c>
      <c r="H10" s="5" t="str">
        <f t="shared" si="0"/>
        <v>det_30</v>
      </c>
      <c r="I10" s="5" t="str">
        <f t="shared" si="1"/>
        <v>W:\Performance Measurement\1. Freeway\1. raw data\2015\data files\det_30.txt</v>
      </c>
      <c r="J10" s="5" t="str">
        <f t="shared" si="2"/>
        <v>W:\Performance Measurement\1. Freeway\1. raw data\2015\data files\det_30.xlsx</v>
      </c>
      <c r="K10" s="5"/>
      <c r="M10" s="113" t="s">
        <v>58</v>
      </c>
      <c r="N10" s="10">
        <v>30</v>
      </c>
      <c r="O10" s="10">
        <v>4</v>
      </c>
      <c r="P10" s="10">
        <v>1</v>
      </c>
    </row>
    <row r="11" spans="2:16" x14ac:dyDescent="0.25">
      <c r="B11" s="3">
        <v>365</v>
      </c>
      <c r="C11" s="109" t="s">
        <v>0</v>
      </c>
      <c r="D11" s="109">
        <v>7</v>
      </c>
      <c r="E11" s="10">
        <v>68</v>
      </c>
      <c r="F11" s="10">
        <v>4</v>
      </c>
      <c r="G11" s="10">
        <v>1</v>
      </c>
      <c r="H11" s="5" t="str">
        <f t="shared" si="0"/>
        <v>det_68</v>
      </c>
      <c r="I11" s="5" t="str">
        <f t="shared" si="1"/>
        <v>W:\Performance Measurement\1. Freeway\1. raw data\2015\data files\det_68.txt</v>
      </c>
      <c r="J11" s="5" t="str">
        <f t="shared" si="2"/>
        <v>W:\Performance Measurement\1. Freeway\1. raw data\2015\data files\det_68.xlsx</v>
      </c>
      <c r="K11" s="5"/>
      <c r="M11" s="113" t="s">
        <v>58</v>
      </c>
      <c r="N11" s="10">
        <v>68</v>
      </c>
      <c r="O11" s="10">
        <v>4</v>
      </c>
      <c r="P11" s="10">
        <v>1</v>
      </c>
    </row>
    <row r="12" spans="2:16" x14ac:dyDescent="0.25">
      <c r="B12" s="3">
        <v>251</v>
      </c>
      <c r="C12" s="109" t="s">
        <v>1</v>
      </c>
      <c r="D12" s="109">
        <v>8</v>
      </c>
      <c r="E12" s="10">
        <v>133</v>
      </c>
      <c r="F12" s="10">
        <v>5</v>
      </c>
      <c r="G12" s="10">
        <v>1</v>
      </c>
      <c r="H12" s="5" t="str">
        <f t="shared" si="0"/>
        <v>det_133</v>
      </c>
      <c r="I12" s="5" t="str">
        <f t="shared" si="1"/>
        <v>W:\Performance Measurement\1. Freeway\1. raw data\2015\data files\det_133.txt</v>
      </c>
      <c r="J12" s="5" t="str">
        <f t="shared" si="2"/>
        <v>W:\Performance Measurement\1. Freeway\1. raw data\2015\data files\det_133.xlsx</v>
      </c>
      <c r="K12" s="5"/>
      <c r="M12" s="113" t="s">
        <v>58</v>
      </c>
      <c r="N12" s="10">
        <v>133</v>
      </c>
      <c r="O12" s="10">
        <v>5</v>
      </c>
      <c r="P12" s="10">
        <v>1</v>
      </c>
    </row>
    <row r="13" spans="2:16" x14ac:dyDescent="0.25">
      <c r="D13" s="109">
        <v>9</v>
      </c>
      <c r="E13" s="10">
        <v>73</v>
      </c>
      <c r="F13" s="10">
        <v>5</v>
      </c>
      <c r="G13" s="10">
        <v>1</v>
      </c>
      <c r="H13" s="5" t="str">
        <f t="shared" si="0"/>
        <v>det_73</v>
      </c>
      <c r="I13" s="5" t="str">
        <f t="shared" si="1"/>
        <v>W:\Performance Measurement\1. Freeway\1. raw data\2015\data files\det_73.txt</v>
      </c>
      <c r="J13" s="5" t="str">
        <f t="shared" si="2"/>
        <v>W:\Performance Measurement\1. Freeway\1. raw data\2015\data files\det_73.xlsx</v>
      </c>
      <c r="K13" s="5"/>
      <c r="M13" s="113" t="s">
        <v>58</v>
      </c>
      <c r="N13" s="10">
        <v>73</v>
      </c>
      <c r="O13" s="10">
        <v>5</v>
      </c>
      <c r="P13" s="10">
        <v>1</v>
      </c>
    </row>
    <row r="14" spans="2:16" x14ac:dyDescent="0.25">
      <c r="B14" s="3">
        <v>1</v>
      </c>
      <c r="C14" s="1" t="s">
        <v>8</v>
      </c>
      <c r="D14" s="109">
        <v>10</v>
      </c>
      <c r="E14" s="10">
        <v>35</v>
      </c>
      <c r="F14" s="10">
        <v>4</v>
      </c>
      <c r="G14" s="10">
        <v>1</v>
      </c>
      <c r="H14" s="5" t="str">
        <f t="shared" si="0"/>
        <v>det_35</v>
      </c>
      <c r="I14" s="5" t="str">
        <f t="shared" si="1"/>
        <v>W:\Performance Measurement\1. Freeway\1. raw data\2015\data files\det_35.txt</v>
      </c>
      <c r="J14" s="5" t="str">
        <f t="shared" si="2"/>
        <v>W:\Performance Measurement\1. Freeway\1. raw data\2015\data files\det_35.xlsx</v>
      </c>
      <c r="K14" s="5"/>
      <c r="M14" s="113" t="s">
        <v>58</v>
      </c>
      <c r="N14" s="10">
        <v>35</v>
      </c>
      <c r="O14" s="10">
        <v>4</v>
      </c>
      <c r="P14" s="10">
        <v>1</v>
      </c>
    </row>
    <row r="15" spans="2:16" x14ac:dyDescent="0.25">
      <c r="D15" s="109">
        <v>11</v>
      </c>
      <c r="E15" s="10">
        <v>29</v>
      </c>
      <c r="F15" s="10">
        <v>4</v>
      </c>
      <c r="G15" s="10">
        <v>1</v>
      </c>
      <c r="H15" s="5" t="str">
        <f t="shared" si="0"/>
        <v>det_29</v>
      </c>
      <c r="I15" s="5" t="str">
        <f t="shared" si="1"/>
        <v>W:\Performance Measurement\1. Freeway\1. raw data\2015\data files\det_29.txt</v>
      </c>
      <c r="J15" s="5" t="str">
        <f t="shared" si="2"/>
        <v>W:\Performance Measurement\1. Freeway\1. raw data\2015\data files\det_29.xlsx</v>
      </c>
      <c r="K15" s="5"/>
      <c r="M15" s="113" t="s">
        <v>58</v>
      </c>
      <c r="N15" s="10">
        <v>29</v>
      </c>
      <c r="O15" s="10">
        <v>4</v>
      </c>
      <c r="P15" s="10">
        <v>1</v>
      </c>
    </row>
    <row r="16" spans="2:16" x14ac:dyDescent="0.25">
      <c r="B16" s="3">
        <v>41</v>
      </c>
      <c r="C16" s="109" t="s">
        <v>7</v>
      </c>
      <c r="D16" s="109">
        <v>12</v>
      </c>
      <c r="E16" s="10">
        <v>24</v>
      </c>
      <c r="F16" s="10">
        <v>4</v>
      </c>
      <c r="G16" s="10">
        <v>1</v>
      </c>
      <c r="H16" s="5" t="str">
        <f t="shared" si="0"/>
        <v>det_24</v>
      </c>
      <c r="I16" s="5" t="str">
        <f t="shared" si="1"/>
        <v>W:\Performance Measurement\1. Freeway\1. raw data\2015\data files\det_24.txt</v>
      </c>
      <c r="J16" s="5" t="str">
        <f t="shared" si="2"/>
        <v>W:\Performance Measurement\1. Freeway\1. raw data\2015\data files\det_24.xlsx</v>
      </c>
      <c r="K16" s="5"/>
      <c r="M16" s="113" t="s">
        <v>58</v>
      </c>
      <c r="N16" s="10">
        <v>24</v>
      </c>
      <c r="O16" s="10">
        <v>4</v>
      </c>
      <c r="P16" s="10">
        <v>1</v>
      </c>
    </row>
    <row r="17" spans="1:16" x14ac:dyDescent="0.25">
      <c r="B17" s="3">
        <v>41</v>
      </c>
      <c r="C17" s="109" t="s">
        <v>6</v>
      </c>
      <c r="D17" s="109">
        <v>13</v>
      </c>
      <c r="E17" s="10">
        <v>17</v>
      </c>
      <c r="F17" s="10">
        <v>4</v>
      </c>
      <c r="G17" s="10">
        <v>1</v>
      </c>
      <c r="H17" s="5" t="str">
        <f t="shared" si="0"/>
        <v>det_17</v>
      </c>
      <c r="I17" s="5" t="str">
        <f t="shared" si="1"/>
        <v>W:\Performance Measurement\1. Freeway\1. raw data\2015\data files\det_17.txt</v>
      </c>
      <c r="J17" s="5" t="str">
        <f t="shared" si="2"/>
        <v>W:\Performance Measurement\1. Freeway\1. raw data\2015\data files\det_17.xlsx</v>
      </c>
      <c r="K17" s="5"/>
      <c r="M17" s="113" t="s">
        <v>58</v>
      </c>
      <c r="N17" s="10">
        <v>17</v>
      </c>
      <c r="O17" s="10">
        <v>4</v>
      </c>
      <c r="P17" s="10">
        <v>1</v>
      </c>
    </row>
    <row r="18" spans="1:16" x14ac:dyDescent="0.25">
      <c r="C18" s="1"/>
      <c r="D18" s="109">
        <v>14</v>
      </c>
      <c r="E18" s="10">
        <v>11</v>
      </c>
      <c r="F18" s="10">
        <v>4</v>
      </c>
      <c r="G18" s="10">
        <v>1</v>
      </c>
      <c r="H18" s="5" t="str">
        <f t="shared" si="0"/>
        <v>det_11</v>
      </c>
      <c r="I18" s="5" t="str">
        <f t="shared" si="1"/>
        <v>W:\Performance Measurement\1. Freeway\1. raw data\2015\data files\det_11.txt</v>
      </c>
      <c r="J18" s="5" t="str">
        <f t="shared" si="2"/>
        <v>W:\Performance Measurement\1. Freeway\1. raw data\2015\data files\det_11.xlsx</v>
      </c>
      <c r="K18" s="5"/>
      <c r="M18" s="113" t="s">
        <v>58</v>
      </c>
      <c r="N18" s="10">
        <v>11</v>
      </c>
      <c r="O18" s="10">
        <v>4</v>
      </c>
      <c r="P18" s="10">
        <v>1</v>
      </c>
    </row>
    <row r="19" spans="1:16" x14ac:dyDescent="0.25">
      <c r="B19" s="7" t="str">
        <f>"E1:X"&amp;B$11*36/B14+1</f>
        <v>E1:X13141</v>
      </c>
      <c r="C19" s="1" t="s">
        <v>5</v>
      </c>
      <c r="D19" s="109">
        <v>15</v>
      </c>
      <c r="E19" s="10">
        <v>4</v>
      </c>
      <c r="F19" s="10">
        <v>4</v>
      </c>
      <c r="G19" s="10">
        <v>1</v>
      </c>
      <c r="H19" s="5" t="str">
        <f t="shared" si="0"/>
        <v>det_4</v>
      </c>
      <c r="I19" s="5" t="str">
        <f t="shared" si="1"/>
        <v>W:\Performance Measurement\1. Freeway\1. raw data\2015\data files\det_4.txt</v>
      </c>
      <c r="J19" s="5" t="str">
        <f t="shared" si="2"/>
        <v>W:\Performance Measurement\1. Freeway\1. raw data\2015\data files\det_4.xlsx</v>
      </c>
      <c r="K19" s="5"/>
      <c r="M19" s="113" t="s">
        <v>58</v>
      </c>
      <c r="N19" s="10">
        <v>4</v>
      </c>
      <c r="O19" s="10">
        <v>4</v>
      </c>
      <c r="P19" s="10">
        <v>1</v>
      </c>
    </row>
    <row r="20" spans="1:16" x14ac:dyDescent="0.25">
      <c r="B20" s="7" t="str">
        <f>"E1:X"&amp;B$11*72/B14+1</f>
        <v>E1:X26281</v>
      </c>
      <c r="C20" s="1" t="s">
        <v>4</v>
      </c>
      <c r="D20" s="109">
        <v>16</v>
      </c>
      <c r="E20" s="10">
        <v>1</v>
      </c>
      <c r="F20" s="10">
        <v>4</v>
      </c>
      <c r="G20" s="10">
        <v>1</v>
      </c>
      <c r="H20" s="5" t="str">
        <f t="shared" si="0"/>
        <v>det_1</v>
      </c>
      <c r="I20" s="5" t="str">
        <f t="shared" si="1"/>
        <v>W:\Performance Measurement\1. Freeway\1. raw data\2015\data files\det_1.txt</v>
      </c>
      <c r="J20" s="5" t="str">
        <f t="shared" si="2"/>
        <v>W:\Performance Measurement\1. Freeway\1. raw data\2015\data files\det_1.xlsx</v>
      </c>
      <c r="K20" s="5"/>
      <c r="M20" s="113" t="s">
        <v>58</v>
      </c>
      <c r="N20" s="10">
        <v>1</v>
      </c>
      <c r="O20" s="10">
        <v>4</v>
      </c>
      <c r="P20" s="10">
        <v>1</v>
      </c>
    </row>
    <row r="21" spans="1:16" x14ac:dyDescent="0.25">
      <c r="B21" s="7" t="str">
        <f>"E1:X"&amp;B$11*48/B14+1</f>
        <v>E1:X17521</v>
      </c>
      <c r="C21" s="1" t="s">
        <v>3</v>
      </c>
      <c r="D21" s="109">
        <v>17</v>
      </c>
      <c r="E21" s="10">
        <v>75</v>
      </c>
      <c r="F21" s="10">
        <v>5</v>
      </c>
      <c r="G21" s="10">
        <v>1</v>
      </c>
      <c r="H21" s="5" t="str">
        <f t="shared" si="0"/>
        <v>det_75</v>
      </c>
      <c r="I21" s="5" t="str">
        <f t="shared" si="1"/>
        <v>W:\Performance Measurement\1. Freeway\1. raw data\2015\data files\det_75.txt</v>
      </c>
      <c r="J21" s="5" t="str">
        <f t="shared" si="2"/>
        <v>W:\Performance Measurement\1. Freeway\1. raw data\2015\data files\det_75.xlsx</v>
      </c>
      <c r="K21" s="5"/>
      <c r="M21" s="113" t="s">
        <v>59</v>
      </c>
      <c r="N21" s="10">
        <v>75</v>
      </c>
      <c r="O21" s="10">
        <v>5</v>
      </c>
      <c r="P21" s="10">
        <v>1</v>
      </c>
    </row>
    <row r="22" spans="1:16" x14ac:dyDescent="0.25">
      <c r="B22" s="7" t="str">
        <f>"E1:X"&amp;B$11*132/B14+1</f>
        <v>E1:X48181</v>
      </c>
      <c r="C22" s="1" t="s">
        <v>2</v>
      </c>
      <c r="D22" s="109">
        <v>18</v>
      </c>
      <c r="E22" s="10">
        <v>80</v>
      </c>
      <c r="F22" s="10">
        <v>4</v>
      </c>
      <c r="G22" s="10">
        <v>1</v>
      </c>
      <c r="H22" s="5" t="str">
        <f t="shared" si="0"/>
        <v>det_80</v>
      </c>
      <c r="I22" s="5" t="str">
        <f t="shared" si="1"/>
        <v>W:\Performance Measurement\1. Freeway\1. raw data\2015\data files\det_80.txt</v>
      </c>
      <c r="J22" s="5" t="str">
        <f t="shared" si="2"/>
        <v>W:\Performance Measurement\1. Freeway\1. raw data\2015\data files\det_80.xlsx</v>
      </c>
      <c r="K22" s="5"/>
      <c r="M22" s="113" t="s">
        <v>59</v>
      </c>
      <c r="N22" s="10">
        <v>80</v>
      </c>
      <c r="O22" s="10">
        <v>4</v>
      </c>
      <c r="P22" s="10">
        <v>1</v>
      </c>
    </row>
    <row r="23" spans="1:16" x14ac:dyDescent="0.25">
      <c r="D23" s="109">
        <v>19</v>
      </c>
      <c r="E23" s="10">
        <v>85</v>
      </c>
      <c r="F23" s="10">
        <v>4</v>
      </c>
      <c r="G23" s="10">
        <v>1</v>
      </c>
      <c r="H23" s="5" t="str">
        <f t="shared" si="0"/>
        <v>det_85</v>
      </c>
      <c r="I23" s="5" t="str">
        <f t="shared" si="1"/>
        <v>W:\Performance Measurement\1. Freeway\1. raw data\2015\data files\det_85.txt</v>
      </c>
      <c r="J23" s="5" t="str">
        <f t="shared" si="2"/>
        <v>W:\Performance Measurement\1. Freeway\1. raw data\2015\data files\det_85.xlsx</v>
      </c>
      <c r="K23" s="5"/>
      <c r="M23" s="113" t="s">
        <v>59</v>
      </c>
      <c r="N23" s="10">
        <v>85</v>
      </c>
      <c r="O23" s="10">
        <v>4</v>
      </c>
      <c r="P23" s="10">
        <v>1</v>
      </c>
    </row>
    <row r="24" spans="1:16" x14ac:dyDescent="0.25">
      <c r="B24" s="4" t="str">
        <f>B6&amp;"\"&amp;B7</f>
        <v>W:\Performance Measurement\1. Freeway\2. processed data_quality control\a. template files\blank2015.xlsx</v>
      </c>
      <c r="D24" s="109">
        <v>20</v>
      </c>
      <c r="E24" s="10">
        <v>87</v>
      </c>
      <c r="F24" s="10">
        <v>3</v>
      </c>
      <c r="G24" s="10">
        <v>1</v>
      </c>
      <c r="H24" s="5" t="str">
        <f t="shared" si="0"/>
        <v>det_87</v>
      </c>
      <c r="I24" s="5" t="str">
        <f t="shared" si="1"/>
        <v>W:\Performance Measurement\1. Freeway\1. raw data\2015\data files\det_87.txt</v>
      </c>
      <c r="J24" s="5" t="str">
        <f t="shared" si="2"/>
        <v>W:\Performance Measurement\1. Freeway\1. raw data\2015\data files\det_87.xlsx</v>
      </c>
      <c r="K24" s="5"/>
      <c r="M24" s="113" t="s">
        <v>59</v>
      </c>
      <c r="N24" s="10">
        <v>87</v>
      </c>
      <c r="O24" s="10">
        <v>3</v>
      </c>
      <c r="P24" s="10">
        <v>1</v>
      </c>
    </row>
    <row r="25" spans="1:16" x14ac:dyDescent="0.25">
      <c r="B25" s="4" t="str">
        <f>B6&amp;"\"&amp;B8</f>
        <v>W:\Performance Measurement\1. Freeway\2. processed data_quality control\a. template files\Template.xlsx</v>
      </c>
      <c r="C25" s="1"/>
      <c r="D25" s="109">
        <v>21</v>
      </c>
      <c r="E25" s="10">
        <v>139</v>
      </c>
      <c r="F25" s="10">
        <v>5</v>
      </c>
      <c r="G25" s="10">
        <v>1</v>
      </c>
      <c r="H25" s="5" t="str">
        <f t="shared" si="0"/>
        <v>det_139</v>
      </c>
      <c r="I25" s="5" t="str">
        <f t="shared" si="1"/>
        <v>W:\Performance Measurement\1. Freeway\1. raw data\2015\data files\det_139.txt</v>
      </c>
      <c r="J25" s="5" t="str">
        <f t="shared" si="2"/>
        <v>W:\Performance Measurement\1. Freeway\1. raw data\2015\data files\det_139.xlsx</v>
      </c>
      <c r="K25" s="5"/>
      <c r="M25" s="113" t="s">
        <v>59</v>
      </c>
      <c r="N25" s="10">
        <v>139</v>
      </c>
      <c r="O25" s="10">
        <v>5</v>
      </c>
      <c r="P25" s="10">
        <v>1</v>
      </c>
    </row>
    <row r="26" spans="1:16" x14ac:dyDescent="0.25">
      <c r="B26" s="4"/>
      <c r="D26" s="109">
        <v>22</v>
      </c>
      <c r="E26" s="10">
        <v>84</v>
      </c>
      <c r="F26" s="10">
        <v>4</v>
      </c>
      <c r="G26" s="10">
        <v>1</v>
      </c>
      <c r="H26" s="5" t="str">
        <f t="shared" si="0"/>
        <v>det_84</v>
      </c>
      <c r="I26" s="5" t="str">
        <f t="shared" si="1"/>
        <v>W:\Performance Measurement\1. Freeway\1. raw data\2015\data files\det_84.txt</v>
      </c>
      <c r="J26" s="5" t="str">
        <f t="shared" si="2"/>
        <v>W:\Performance Measurement\1. Freeway\1. raw data\2015\data files\det_84.xlsx</v>
      </c>
      <c r="K26" s="5"/>
      <c r="M26" s="113" t="s">
        <v>59</v>
      </c>
      <c r="N26" s="10">
        <v>84</v>
      </c>
      <c r="O26" s="10">
        <v>4</v>
      </c>
      <c r="P26" s="10">
        <v>1</v>
      </c>
    </row>
    <row r="27" spans="1:16" x14ac:dyDescent="0.25">
      <c r="D27" s="109">
        <v>23</v>
      </c>
      <c r="E27" s="10">
        <v>78</v>
      </c>
      <c r="F27" s="10">
        <v>4</v>
      </c>
      <c r="G27" s="10">
        <v>1</v>
      </c>
      <c r="H27" s="5" t="str">
        <f t="shared" si="0"/>
        <v>det_78</v>
      </c>
      <c r="I27" s="5" t="str">
        <f t="shared" si="1"/>
        <v>W:\Performance Measurement\1. Freeway\1. raw data\2015\data files\det_78.txt</v>
      </c>
      <c r="J27" s="5" t="str">
        <f t="shared" si="2"/>
        <v>W:\Performance Measurement\1. Freeway\1. raw data\2015\data files\det_78.xlsx</v>
      </c>
      <c r="K27" s="5"/>
      <c r="M27" s="113" t="s">
        <v>59</v>
      </c>
      <c r="N27" s="10">
        <v>78</v>
      </c>
      <c r="O27" s="10">
        <v>4</v>
      </c>
      <c r="P27" s="10">
        <v>1</v>
      </c>
    </row>
    <row r="28" spans="1:16" x14ac:dyDescent="0.25">
      <c r="D28" s="109">
        <v>24</v>
      </c>
      <c r="E28" s="10">
        <v>137</v>
      </c>
      <c r="F28" s="10">
        <v>3</v>
      </c>
      <c r="G28" s="10">
        <v>1</v>
      </c>
      <c r="H28" s="5" t="str">
        <f t="shared" si="0"/>
        <v>det_137</v>
      </c>
      <c r="I28" s="5" t="str">
        <f t="shared" si="1"/>
        <v>W:\Performance Measurement\1. Freeway\1. raw data\2015\data files\det_137.txt</v>
      </c>
      <c r="J28" s="5" t="str">
        <f t="shared" si="2"/>
        <v>W:\Performance Measurement\1. Freeway\1. raw data\2015\data files\det_137.xlsx</v>
      </c>
      <c r="K28" s="5"/>
      <c r="M28" s="113" t="s">
        <v>59</v>
      </c>
      <c r="N28" s="10">
        <v>137</v>
      </c>
      <c r="O28" s="10">
        <v>3</v>
      </c>
      <c r="P28" s="10">
        <v>1</v>
      </c>
    </row>
    <row r="29" spans="1:16" x14ac:dyDescent="0.25">
      <c r="A29" s="1"/>
      <c r="C29" s="1"/>
      <c r="D29" s="109">
        <v>25</v>
      </c>
      <c r="E29" s="10">
        <v>89</v>
      </c>
      <c r="F29" s="10">
        <v>4</v>
      </c>
      <c r="G29" s="10">
        <v>1</v>
      </c>
      <c r="H29" s="5" t="str">
        <f t="shared" si="0"/>
        <v>det_89</v>
      </c>
      <c r="I29" s="5" t="str">
        <f t="shared" si="1"/>
        <v>W:\Performance Measurement\1. Freeway\1. raw data\2015\data files\det_89.txt</v>
      </c>
      <c r="J29" s="5" t="str">
        <f t="shared" si="2"/>
        <v>W:\Performance Measurement\1. Freeway\1. raw data\2015\data files\det_89.xlsx</v>
      </c>
      <c r="K29" s="5"/>
      <c r="M29" s="113" t="s">
        <v>60</v>
      </c>
      <c r="N29" s="10">
        <v>89</v>
      </c>
      <c r="O29" s="10">
        <v>4</v>
      </c>
      <c r="P29" s="10">
        <v>1</v>
      </c>
    </row>
    <row r="30" spans="1:16" x14ac:dyDescent="0.25">
      <c r="A30" s="1"/>
      <c r="C30" s="1"/>
      <c r="D30" s="109">
        <v>26</v>
      </c>
      <c r="E30" s="10">
        <v>149</v>
      </c>
      <c r="F30" s="10">
        <v>3</v>
      </c>
      <c r="G30" s="10">
        <v>1</v>
      </c>
      <c r="H30" s="5" t="str">
        <f t="shared" si="0"/>
        <v>det_149</v>
      </c>
      <c r="I30" s="5" t="str">
        <f t="shared" si="1"/>
        <v>W:\Performance Measurement\1. Freeway\1. raw data\2015\data files\det_149.txt</v>
      </c>
      <c r="J30" s="5" t="str">
        <f t="shared" si="2"/>
        <v>W:\Performance Measurement\1. Freeway\1. raw data\2015\data files\det_149.xlsx</v>
      </c>
      <c r="K30" s="5"/>
      <c r="M30" s="113" t="s">
        <v>60</v>
      </c>
      <c r="N30" s="10">
        <v>149</v>
      </c>
      <c r="O30" s="10">
        <v>3</v>
      </c>
      <c r="P30" s="10">
        <v>1</v>
      </c>
    </row>
    <row r="31" spans="1:16" x14ac:dyDescent="0.25">
      <c r="A31" s="1"/>
      <c r="C31" s="1"/>
      <c r="D31" s="109">
        <v>27</v>
      </c>
      <c r="E31" s="10">
        <v>93</v>
      </c>
      <c r="F31" s="10">
        <v>3</v>
      </c>
      <c r="G31" s="10">
        <v>1</v>
      </c>
      <c r="H31" s="5" t="str">
        <f t="shared" si="0"/>
        <v>det_93</v>
      </c>
      <c r="I31" s="5" t="str">
        <f t="shared" si="1"/>
        <v>W:\Performance Measurement\1. Freeway\1. raw data\2015\data files\det_93.txt</v>
      </c>
      <c r="J31" s="5" t="str">
        <f t="shared" si="2"/>
        <v>W:\Performance Measurement\1. Freeway\1. raw data\2015\data files\det_93.xlsx</v>
      </c>
      <c r="K31" s="5"/>
      <c r="M31" s="113" t="s">
        <v>60</v>
      </c>
      <c r="N31" s="10">
        <v>93</v>
      </c>
      <c r="O31" s="10">
        <v>3</v>
      </c>
      <c r="P31" s="10">
        <v>1</v>
      </c>
    </row>
    <row r="32" spans="1:16" x14ac:dyDescent="0.25">
      <c r="A32" s="1"/>
      <c r="C32" s="1"/>
      <c r="D32" s="109">
        <v>28</v>
      </c>
      <c r="E32" s="10">
        <v>40</v>
      </c>
      <c r="F32" s="10">
        <v>5</v>
      </c>
      <c r="G32" s="10">
        <v>1</v>
      </c>
      <c r="H32" s="5" t="str">
        <f t="shared" si="0"/>
        <v>det_40</v>
      </c>
      <c r="I32" s="5" t="str">
        <f t="shared" si="1"/>
        <v>W:\Performance Measurement\1. Freeway\1. raw data\2015\data files\det_40.txt</v>
      </c>
      <c r="J32" s="5" t="str">
        <f t="shared" si="2"/>
        <v>W:\Performance Measurement\1. Freeway\1. raw data\2015\data files\det_40.xlsx</v>
      </c>
      <c r="K32" s="5"/>
      <c r="M32" s="113" t="s">
        <v>60</v>
      </c>
      <c r="N32" s="10">
        <v>40</v>
      </c>
      <c r="O32" s="10">
        <v>5</v>
      </c>
      <c r="P32" s="10">
        <v>1</v>
      </c>
    </row>
    <row r="33" spans="1:16" x14ac:dyDescent="0.25">
      <c r="A33" s="1"/>
      <c r="C33" s="1"/>
      <c r="D33" s="109">
        <v>29</v>
      </c>
      <c r="E33" s="10">
        <v>46</v>
      </c>
      <c r="F33" s="10">
        <v>5</v>
      </c>
      <c r="G33" s="10">
        <v>1</v>
      </c>
      <c r="H33" s="5" t="str">
        <f t="shared" si="0"/>
        <v>det_46</v>
      </c>
      <c r="I33" s="5" t="str">
        <f t="shared" si="1"/>
        <v>W:\Performance Measurement\1. Freeway\1. raw data\2015\data files\det_46.txt</v>
      </c>
      <c r="J33" s="5" t="str">
        <f t="shared" si="2"/>
        <v>W:\Performance Measurement\1. Freeway\1. raw data\2015\data files\det_46.xlsx</v>
      </c>
      <c r="K33" s="5"/>
      <c r="M33" s="113" t="s">
        <v>60</v>
      </c>
      <c r="N33" s="10">
        <v>46</v>
      </c>
      <c r="O33" s="10">
        <v>5</v>
      </c>
      <c r="P33" s="10">
        <v>1</v>
      </c>
    </row>
    <row r="34" spans="1:16" x14ac:dyDescent="0.25">
      <c r="A34" s="1"/>
      <c r="C34" s="1"/>
      <c r="D34" s="109">
        <v>30</v>
      </c>
      <c r="E34" s="10">
        <v>50</v>
      </c>
      <c r="F34" s="10">
        <v>4</v>
      </c>
      <c r="G34" s="10">
        <v>1</v>
      </c>
      <c r="H34" s="5" t="str">
        <f t="shared" si="0"/>
        <v>det_50</v>
      </c>
      <c r="I34" s="5" t="str">
        <f t="shared" si="1"/>
        <v>W:\Performance Measurement\1. Freeway\1. raw data\2015\data files\det_50.txt</v>
      </c>
      <c r="J34" s="5" t="str">
        <f t="shared" si="2"/>
        <v>W:\Performance Measurement\1. Freeway\1. raw data\2015\data files\det_50.xlsx</v>
      </c>
      <c r="K34" s="5"/>
      <c r="M34" s="113" t="s">
        <v>60</v>
      </c>
      <c r="N34" s="10">
        <v>50</v>
      </c>
      <c r="O34" s="10">
        <v>4</v>
      </c>
      <c r="P34" s="10">
        <v>1</v>
      </c>
    </row>
    <row r="35" spans="1:16" x14ac:dyDescent="0.25">
      <c r="A35" s="1"/>
      <c r="C35" s="1"/>
      <c r="D35" s="109">
        <v>31</v>
      </c>
      <c r="E35" s="10">
        <v>55</v>
      </c>
      <c r="F35" s="10">
        <v>5</v>
      </c>
      <c r="G35" s="10">
        <v>1</v>
      </c>
      <c r="H35" s="5" t="str">
        <f t="shared" si="0"/>
        <v>det_55</v>
      </c>
      <c r="I35" s="5" t="str">
        <f t="shared" si="1"/>
        <v>W:\Performance Measurement\1. Freeway\1. raw data\2015\data files\det_55.txt</v>
      </c>
      <c r="J35" s="5" t="str">
        <f t="shared" si="2"/>
        <v>W:\Performance Measurement\1. Freeway\1. raw data\2015\data files\det_55.xlsx</v>
      </c>
      <c r="K35" s="5"/>
      <c r="M35" s="113" t="s">
        <v>60</v>
      </c>
      <c r="N35" s="10">
        <v>55</v>
      </c>
      <c r="O35" s="10">
        <v>5</v>
      </c>
      <c r="P35" s="10">
        <v>1</v>
      </c>
    </row>
    <row r="36" spans="1:16" x14ac:dyDescent="0.25">
      <c r="A36" s="1"/>
      <c r="D36" s="109">
        <v>32</v>
      </c>
      <c r="E36" s="10">
        <v>59</v>
      </c>
      <c r="F36" s="10">
        <v>4</v>
      </c>
      <c r="G36" s="10">
        <v>1</v>
      </c>
      <c r="H36" s="5" t="str">
        <f t="shared" si="0"/>
        <v>det_59</v>
      </c>
      <c r="I36" s="5" t="str">
        <f t="shared" si="1"/>
        <v>W:\Performance Measurement\1. Freeway\1. raw data\2015\data files\det_59.txt</v>
      </c>
      <c r="J36" s="5" t="str">
        <f t="shared" si="2"/>
        <v>W:\Performance Measurement\1. Freeway\1. raw data\2015\data files\det_59.xlsx</v>
      </c>
      <c r="K36" s="5"/>
      <c r="M36" s="113" t="s">
        <v>60</v>
      </c>
      <c r="N36" s="10">
        <v>59</v>
      </c>
      <c r="O36" s="10">
        <v>4</v>
      </c>
      <c r="P36" s="10">
        <v>1</v>
      </c>
    </row>
    <row r="37" spans="1:16" x14ac:dyDescent="0.25">
      <c r="D37" s="109">
        <v>33</v>
      </c>
      <c r="E37" s="10">
        <v>64</v>
      </c>
      <c r="F37" s="10">
        <v>5</v>
      </c>
      <c r="G37" s="10">
        <v>1</v>
      </c>
      <c r="H37" s="5" t="str">
        <f t="shared" si="0"/>
        <v>det_64</v>
      </c>
      <c r="I37" s="5" t="str">
        <f t="shared" si="1"/>
        <v>W:\Performance Measurement\1. Freeway\1. raw data\2015\data files\det_64.txt</v>
      </c>
      <c r="J37" s="5" t="str">
        <f t="shared" si="2"/>
        <v>W:\Performance Measurement\1. Freeway\1. raw data\2015\data files\det_64.xlsx</v>
      </c>
      <c r="K37" s="5"/>
      <c r="M37" s="113" t="s">
        <v>60</v>
      </c>
      <c r="N37" s="10">
        <v>64</v>
      </c>
      <c r="O37" s="10">
        <v>5</v>
      </c>
      <c r="P37" s="10">
        <v>1</v>
      </c>
    </row>
    <row r="38" spans="1:16" x14ac:dyDescent="0.25">
      <c r="D38" s="109">
        <v>34</v>
      </c>
      <c r="E38" s="10">
        <v>393</v>
      </c>
      <c r="F38" s="10">
        <v>3</v>
      </c>
      <c r="G38" s="10">
        <v>1</v>
      </c>
      <c r="H38" s="5" t="str">
        <f t="shared" si="0"/>
        <v>det_393</v>
      </c>
      <c r="I38" s="5" t="str">
        <f t="shared" si="1"/>
        <v>W:\Performance Measurement\1. Freeway\1. raw data\2015\data files\det_393.txt</v>
      </c>
      <c r="J38" s="5" t="str">
        <f t="shared" si="2"/>
        <v>W:\Performance Measurement\1. Freeway\1. raw data\2015\data files\det_393.xlsx</v>
      </c>
      <c r="K38" s="5"/>
      <c r="M38" s="113" t="s">
        <v>60</v>
      </c>
      <c r="N38" s="10">
        <v>393</v>
      </c>
      <c r="O38" s="10">
        <v>3</v>
      </c>
      <c r="P38" s="10">
        <v>1</v>
      </c>
    </row>
    <row r="39" spans="1:16" x14ac:dyDescent="0.25">
      <c r="D39" s="109">
        <v>35</v>
      </c>
      <c r="E39" s="10">
        <v>425</v>
      </c>
      <c r="F39" s="10">
        <v>3</v>
      </c>
      <c r="G39" s="10">
        <v>1</v>
      </c>
      <c r="H39" s="5" t="str">
        <f t="shared" si="0"/>
        <v>det_425</v>
      </c>
      <c r="I39" s="5" t="str">
        <f t="shared" si="1"/>
        <v>W:\Performance Measurement\1. Freeway\1. raw data\2015\data files\det_425.txt</v>
      </c>
      <c r="J39" s="5" t="str">
        <f t="shared" si="2"/>
        <v>W:\Performance Measurement\1. Freeway\1. raw data\2015\data files\det_425.xlsx</v>
      </c>
      <c r="K39" s="5"/>
      <c r="M39" s="113" t="s">
        <v>60</v>
      </c>
      <c r="N39" s="10">
        <v>425</v>
      </c>
      <c r="O39" s="10">
        <v>3</v>
      </c>
      <c r="P39" s="10">
        <v>1</v>
      </c>
    </row>
    <row r="40" spans="1:16" x14ac:dyDescent="0.25">
      <c r="D40" s="109">
        <v>36</v>
      </c>
      <c r="E40" s="10">
        <v>66</v>
      </c>
      <c r="F40" s="10">
        <v>6</v>
      </c>
      <c r="G40" s="10">
        <v>1</v>
      </c>
      <c r="H40" s="5" t="str">
        <f t="shared" si="0"/>
        <v>det_66</v>
      </c>
      <c r="I40" s="5" t="str">
        <f t="shared" si="1"/>
        <v>W:\Performance Measurement\1. Freeway\1. raw data\2015\data files\det_66.txt</v>
      </c>
      <c r="J40" s="5" t="str">
        <f t="shared" si="2"/>
        <v>W:\Performance Measurement\1. Freeway\1. raw data\2015\data files\det_66.xlsx</v>
      </c>
      <c r="K40" s="5"/>
      <c r="M40" s="113" t="s">
        <v>60</v>
      </c>
      <c r="N40" s="10">
        <v>66</v>
      </c>
      <c r="O40" s="10">
        <v>6</v>
      </c>
      <c r="P40" s="10">
        <v>1</v>
      </c>
    </row>
    <row r="41" spans="1:16" x14ac:dyDescent="0.25">
      <c r="D41" s="109">
        <v>37</v>
      </c>
      <c r="E41" s="10">
        <v>63</v>
      </c>
      <c r="F41" s="10">
        <v>4</v>
      </c>
      <c r="G41" s="10">
        <v>1</v>
      </c>
      <c r="H41" s="5" t="str">
        <f t="shared" si="0"/>
        <v>det_63</v>
      </c>
      <c r="I41" s="5" t="str">
        <f t="shared" si="1"/>
        <v>W:\Performance Measurement\1. Freeway\1. raw data\2015\data files\det_63.txt</v>
      </c>
      <c r="J41" s="5" t="str">
        <f t="shared" si="2"/>
        <v>W:\Performance Measurement\1. Freeway\1. raw data\2015\data files\det_63.xlsx</v>
      </c>
      <c r="K41" s="5"/>
      <c r="M41" s="113" t="s">
        <v>60</v>
      </c>
      <c r="N41" s="10">
        <v>63</v>
      </c>
      <c r="O41" s="10">
        <v>4</v>
      </c>
      <c r="P41" s="10">
        <v>1</v>
      </c>
    </row>
    <row r="42" spans="1:16" x14ac:dyDescent="0.25">
      <c r="D42" s="109">
        <v>38</v>
      </c>
      <c r="E42" s="10">
        <v>60</v>
      </c>
      <c r="F42" s="10">
        <v>5</v>
      </c>
      <c r="G42" s="10">
        <v>1</v>
      </c>
      <c r="H42" s="5" t="str">
        <f t="shared" si="0"/>
        <v>det_60</v>
      </c>
      <c r="I42" s="5" t="str">
        <f t="shared" si="1"/>
        <v>W:\Performance Measurement\1. Freeway\1. raw data\2015\data files\det_60.txt</v>
      </c>
      <c r="J42" s="5" t="str">
        <f t="shared" si="2"/>
        <v>W:\Performance Measurement\1. Freeway\1. raw data\2015\data files\det_60.xlsx</v>
      </c>
      <c r="K42" s="5"/>
      <c r="M42" s="113" t="s">
        <v>60</v>
      </c>
      <c r="N42" s="10">
        <v>60</v>
      </c>
      <c r="O42" s="10">
        <v>5</v>
      </c>
      <c r="P42" s="10">
        <v>1</v>
      </c>
    </row>
    <row r="43" spans="1:16" x14ac:dyDescent="0.25">
      <c r="D43" s="109">
        <v>39</v>
      </c>
      <c r="E43" s="10">
        <v>53</v>
      </c>
      <c r="F43" s="10">
        <v>4</v>
      </c>
      <c r="G43" s="10">
        <v>1</v>
      </c>
      <c r="H43" s="5" t="str">
        <f t="shared" si="0"/>
        <v>det_53</v>
      </c>
      <c r="I43" s="5" t="str">
        <f t="shared" si="1"/>
        <v>W:\Performance Measurement\1. Freeway\1. raw data\2015\data files\det_53.txt</v>
      </c>
      <c r="J43" s="5" t="str">
        <f t="shared" si="2"/>
        <v>W:\Performance Measurement\1. Freeway\1. raw data\2015\data files\det_53.xlsx</v>
      </c>
      <c r="K43" s="5"/>
      <c r="M43" s="113" t="s">
        <v>60</v>
      </c>
      <c r="N43" s="10">
        <v>53</v>
      </c>
      <c r="O43" s="10">
        <v>4</v>
      </c>
      <c r="P43" s="10">
        <v>1</v>
      </c>
    </row>
    <row r="44" spans="1:16" x14ac:dyDescent="0.25">
      <c r="D44" s="109">
        <v>40</v>
      </c>
      <c r="E44" s="10">
        <v>47</v>
      </c>
      <c r="F44" s="10">
        <v>5</v>
      </c>
      <c r="G44" s="10">
        <v>1</v>
      </c>
      <c r="H44" s="5" t="str">
        <f t="shared" si="0"/>
        <v>det_47</v>
      </c>
      <c r="I44" s="5" t="str">
        <f t="shared" si="1"/>
        <v>W:\Performance Measurement\1. Freeway\1. raw data\2015\data files\det_47.txt</v>
      </c>
      <c r="J44" s="5" t="str">
        <f t="shared" si="2"/>
        <v>W:\Performance Measurement\1. Freeway\1. raw data\2015\data files\det_47.xlsx</v>
      </c>
      <c r="K44" s="5"/>
      <c r="M44" s="113" t="s">
        <v>60</v>
      </c>
      <c r="N44" s="10">
        <v>47</v>
      </c>
      <c r="O44" s="10">
        <v>5</v>
      </c>
      <c r="P44" s="10">
        <v>1</v>
      </c>
    </row>
    <row r="45" spans="1:16" x14ac:dyDescent="0.25">
      <c r="D45" s="109">
        <v>41</v>
      </c>
      <c r="E45" s="10">
        <v>41</v>
      </c>
      <c r="F45" s="10">
        <v>5</v>
      </c>
      <c r="G45" s="10">
        <v>1</v>
      </c>
      <c r="H45" s="5" t="str">
        <f t="shared" si="0"/>
        <v>det_41</v>
      </c>
      <c r="I45" s="5" t="str">
        <f t="shared" si="1"/>
        <v>W:\Performance Measurement\1. Freeway\1. raw data\2015\data files\det_41.txt</v>
      </c>
      <c r="J45" s="5" t="str">
        <f t="shared" si="2"/>
        <v>W:\Performance Measurement\1. Freeway\1. raw data\2015\data files\det_41.xlsx</v>
      </c>
      <c r="K45" s="5"/>
      <c r="M45" s="113" t="s">
        <v>60</v>
      </c>
      <c r="N45" s="10">
        <v>41</v>
      </c>
      <c r="O45" s="10">
        <v>5</v>
      </c>
      <c r="P45" s="10">
        <v>1</v>
      </c>
    </row>
    <row r="46" spans="1:16" x14ac:dyDescent="0.25">
      <c r="D46" s="109">
        <v>42</v>
      </c>
      <c r="E46" s="10">
        <v>144</v>
      </c>
      <c r="F46" s="10">
        <v>3</v>
      </c>
      <c r="G46" s="10">
        <v>1</v>
      </c>
      <c r="H46" s="5" t="str">
        <f t="shared" si="0"/>
        <v>det_144</v>
      </c>
      <c r="I46" s="5" t="str">
        <f t="shared" si="1"/>
        <v>W:\Performance Measurement\1. Freeway\1. raw data\2015\data files\det_144.txt</v>
      </c>
      <c r="J46" s="5" t="str">
        <f t="shared" si="2"/>
        <v>W:\Performance Measurement\1. Freeway\1. raw data\2015\data files\det_144.xlsx</v>
      </c>
      <c r="K46" s="5"/>
      <c r="M46" s="113" t="s">
        <v>60</v>
      </c>
      <c r="N46" s="10">
        <v>144</v>
      </c>
      <c r="O46" s="10">
        <v>3</v>
      </c>
      <c r="P46" s="10">
        <v>1</v>
      </c>
    </row>
    <row r="47" spans="1:16" x14ac:dyDescent="0.25">
      <c r="D47" s="109">
        <v>43</v>
      </c>
      <c r="E47" s="10">
        <v>92</v>
      </c>
      <c r="F47" s="10">
        <v>3</v>
      </c>
      <c r="G47" s="10">
        <v>1</v>
      </c>
      <c r="H47" s="5" t="str">
        <f t="shared" si="0"/>
        <v>det_92</v>
      </c>
      <c r="I47" s="5" t="str">
        <f t="shared" si="1"/>
        <v>W:\Performance Measurement\1. Freeway\1. raw data\2015\data files\det_92.txt</v>
      </c>
      <c r="J47" s="5" t="str">
        <f t="shared" si="2"/>
        <v>W:\Performance Measurement\1. Freeway\1. raw data\2015\data files\det_92.xlsx</v>
      </c>
      <c r="K47" s="5"/>
      <c r="M47" s="113" t="s">
        <v>60</v>
      </c>
      <c r="N47" s="10">
        <v>92</v>
      </c>
      <c r="O47" s="10">
        <v>3</v>
      </c>
      <c r="P47" s="10">
        <v>1</v>
      </c>
    </row>
    <row r="48" spans="1:16" x14ac:dyDescent="0.25">
      <c r="D48" s="109">
        <v>44</v>
      </c>
      <c r="E48" s="10">
        <v>141</v>
      </c>
      <c r="F48" s="10">
        <v>4</v>
      </c>
      <c r="G48" s="10">
        <v>1</v>
      </c>
      <c r="H48" s="5" t="str">
        <f t="shared" si="0"/>
        <v>det_141</v>
      </c>
      <c r="I48" s="5" t="str">
        <f t="shared" si="1"/>
        <v>W:\Performance Measurement\1. Freeway\1. raw data\2015\data files\det_141.txt</v>
      </c>
      <c r="J48" s="5" t="str">
        <f t="shared" si="2"/>
        <v>W:\Performance Measurement\1. Freeway\1. raw data\2015\data files\det_141.xlsx</v>
      </c>
      <c r="K48" s="5"/>
      <c r="M48" s="113" t="s">
        <v>60</v>
      </c>
      <c r="N48" s="10">
        <v>141</v>
      </c>
      <c r="O48" s="10">
        <v>4</v>
      </c>
      <c r="P48" s="10">
        <v>1</v>
      </c>
    </row>
    <row r="49" spans="4:16" x14ac:dyDescent="0.25">
      <c r="D49" s="109">
        <v>45</v>
      </c>
      <c r="E49" s="10">
        <v>396</v>
      </c>
      <c r="F49" s="10">
        <v>3</v>
      </c>
      <c r="G49" s="10">
        <v>1</v>
      </c>
      <c r="H49" s="5" t="str">
        <f t="shared" si="0"/>
        <v>det_396</v>
      </c>
      <c r="I49" s="5" t="str">
        <f t="shared" si="1"/>
        <v>W:\Performance Measurement\1. Freeway\1. raw data\2015\data files\det_396.txt</v>
      </c>
      <c r="J49" s="5" t="str">
        <f t="shared" si="2"/>
        <v>W:\Performance Measurement\1. Freeway\1. raw data\2015\data files\det_396.xlsx</v>
      </c>
      <c r="K49" s="5"/>
      <c r="M49" s="113" t="s">
        <v>61</v>
      </c>
      <c r="N49" s="10">
        <v>396</v>
      </c>
      <c r="O49" s="10">
        <v>3</v>
      </c>
      <c r="P49" s="10">
        <v>1</v>
      </c>
    </row>
    <row r="50" spans="4:16" x14ac:dyDescent="0.25">
      <c r="D50" s="109">
        <v>46</v>
      </c>
      <c r="E50" s="10">
        <v>397</v>
      </c>
      <c r="F50" s="10">
        <v>4</v>
      </c>
      <c r="G50" s="10">
        <v>1</v>
      </c>
      <c r="H50" s="5" t="str">
        <f t="shared" si="0"/>
        <v>det_397</v>
      </c>
      <c r="I50" s="5" t="str">
        <f t="shared" si="1"/>
        <v>W:\Performance Measurement\1. Freeway\1. raw data\2015\data files\det_397.txt</v>
      </c>
      <c r="J50" s="5" t="str">
        <f t="shared" si="2"/>
        <v>W:\Performance Measurement\1. Freeway\1. raw data\2015\data files\det_397.xlsx</v>
      </c>
      <c r="K50" s="5"/>
      <c r="M50" s="113" t="s">
        <v>61</v>
      </c>
      <c r="N50" s="10">
        <v>397</v>
      </c>
      <c r="O50" s="10">
        <v>4</v>
      </c>
      <c r="P50" s="10">
        <v>1</v>
      </c>
    </row>
    <row r="51" spans="4:16" x14ac:dyDescent="0.25">
      <c r="D51" s="109">
        <v>47</v>
      </c>
      <c r="E51" s="10">
        <v>399</v>
      </c>
      <c r="F51" s="10">
        <v>4</v>
      </c>
      <c r="G51" s="10">
        <v>1</v>
      </c>
      <c r="H51" s="5" t="str">
        <f t="shared" si="0"/>
        <v>det_399</v>
      </c>
      <c r="I51" s="5" t="str">
        <f t="shared" si="1"/>
        <v>W:\Performance Measurement\1. Freeway\1. raw data\2015\data files\det_399.txt</v>
      </c>
      <c r="J51" s="5" t="str">
        <f t="shared" si="2"/>
        <v>W:\Performance Measurement\1. Freeway\1. raw data\2015\data files\det_399.xlsx</v>
      </c>
      <c r="K51" s="5"/>
      <c r="M51" s="113" t="s">
        <v>61</v>
      </c>
      <c r="N51" s="10">
        <v>399</v>
      </c>
      <c r="O51" s="10">
        <v>4</v>
      </c>
      <c r="P51" s="10">
        <v>1</v>
      </c>
    </row>
    <row r="52" spans="4:16" x14ac:dyDescent="0.25">
      <c r="D52" s="109">
        <v>48</v>
      </c>
      <c r="E52" s="10">
        <v>401</v>
      </c>
      <c r="F52" s="10">
        <v>4</v>
      </c>
      <c r="G52" s="10">
        <v>1</v>
      </c>
      <c r="H52" s="5" t="str">
        <f t="shared" si="0"/>
        <v>det_401</v>
      </c>
      <c r="I52" s="5" t="str">
        <f t="shared" si="1"/>
        <v>W:\Performance Measurement\1. Freeway\1. raw data\2015\data files\det_401.txt</v>
      </c>
      <c r="J52" s="5" t="str">
        <f t="shared" si="2"/>
        <v>W:\Performance Measurement\1. Freeway\1. raw data\2015\data files\det_401.xlsx</v>
      </c>
      <c r="K52" s="5"/>
      <c r="M52" s="113" t="s">
        <v>61</v>
      </c>
      <c r="N52" s="10">
        <v>401</v>
      </c>
      <c r="O52" s="10">
        <v>4</v>
      </c>
      <c r="P52" s="10">
        <v>1</v>
      </c>
    </row>
    <row r="53" spans="4:16" x14ac:dyDescent="0.25">
      <c r="D53" s="109">
        <v>49</v>
      </c>
      <c r="E53" s="10">
        <v>403</v>
      </c>
      <c r="F53" s="10">
        <v>3</v>
      </c>
      <c r="G53" s="10">
        <v>1</v>
      </c>
      <c r="H53" s="5" t="str">
        <f t="shared" si="0"/>
        <v>det_403</v>
      </c>
      <c r="I53" s="5" t="str">
        <f t="shared" si="1"/>
        <v>W:\Performance Measurement\1. Freeway\1. raw data\2015\data files\det_403.txt</v>
      </c>
      <c r="J53" s="5" t="str">
        <f t="shared" si="2"/>
        <v>W:\Performance Measurement\1. Freeway\1. raw data\2015\data files\det_403.xlsx</v>
      </c>
      <c r="K53" s="5"/>
      <c r="M53" s="113" t="s">
        <v>61</v>
      </c>
      <c r="N53" s="10">
        <v>403</v>
      </c>
      <c r="O53" s="10">
        <v>3</v>
      </c>
      <c r="P53" s="10">
        <v>1</v>
      </c>
    </row>
    <row r="54" spans="4:16" x14ac:dyDescent="0.25">
      <c r="D54" s="109">
        <v>50</v>
      </c>
      <c r="E54" s="10">
        <v>406</v>
      </c>
      <c r="F54" s="10">
        <v>3</v>
      </c>
      <c r="G54" s="10">
        <v>1</v>
      </c>
      <c r="H54" s="5" t="str">
        <f t="shared" si="0"/>
        <v>det_406</v>
      </c>
      <c r="I54" s="5" t="str">
        <f t="shared" si="1"/>
        <v>W:\Performance Measurement\1. Freeway\1. raw data\2015\data files\det_406.txt</v>
      </c>
      <c r="J54" s="5" t="str">
        <f t="shared" si="2"/>
        <v>W:\Performance Measurement\1. Freeway\1. raw data\2015\data files\det_406.xlsx</v>
      </c>
      <c r="K54" s="5"/>
      <c r="M54" s="113" t="s">
        <v>61</v>
      </c>
      <c r="N54" s="10">
        <v>406</v>
      </c>
      <c r="O54" s="10">
        <v>3</v>
      </c>
      <c r="P54" s="10">
        <v>1</v>
      </c>
    </row>
    <row r="55" spans="4:16" x14ac:dyDescent="0.25">
      <c r="D55" s="109">
        <v>51</v>
      </c>
      <c r="E55" s="10">
        <v>409</v>
      </c>
      <c r="F55" s="10">
        <v>5</v>
      </c>
      <c r="G55" s="10">
        <v>1</v>
      </c>
      <c r="H55" s="5" t="str">
        <f t="shared" si="0"/>
        <v>det_409</v>
      </c>
      <c r="I55" s="5" t="str">
        <f t="shared" si="1"/>
        <v>W:\Performance Measurement\1. Freeway\1. raw data\2015\data files\det_409.txt</v>
      </c>
      <c r="J55" s="5" t="str">
        <f t="shared" si="2"/>
        <v>W:\Performance Measurement\1. Freeway\1. raw data\2015\data files\det_409.xlsx</v>
      </c>
      <c r="K55" s="5"/>
      <c r="M55" s="113" t="s">
        <v>61</v>
      </c>
      <c r="N55" s="10">
        <v>409</v>
      </c>
      <c r="O55" s="10">
        <v>5</v>
      </c>
      <c r="P55" s="10">
        <v>1</v>
      </c>
    </row>
    <row r="56" spans="4:16" x14ac:dyDescent="0.25">
      <c r="D56" s="109">
        <v>52</v>
      </c>
      <c r="E56" s="10">
        <v>410</v>
      </c>
      <c r="F56" s="10">
        <v>2</v>
      </c>
      <c r="G56" s="10">
        <v>0</v>
      </c>
      <c r="H56" s="5" t="str">
        <f t="shared" si="0"/>
        <v>det_410</v>
      </c>
      <c r="I56" s="5" t="str">
        <f t="shared" si="1"/>
        <v>W:\Performance Measurement\1. Freeway\1. raw data\2015\data files\det_410.txt</v>
      </c>
      <c r="J56" s="5" t="str">
        <f t="shared" si="2"/>
        <v>W:\Performance Measurement\1. Freeway\1. raw data\2015\data files\det_410.xlsx</v>
      </c>
      <c r="K56" s="5"/>
      <c r="M56" s="113" t="s">
        <v>61</v>
      </c>
      <c r="N56" s="10">
        <v>410</v>
      </c>
      <c r="O56" s="10">
        <v>2</v>
      </c>
      <c r="P56" s="10">
        <v>0</v>
      </c>
    </row>
    <row r="57" spans="4:16" x14ac:dyDescent="0.25">
      <c r="D57" s="109">
        <v>53</v>
      </c>
      <c r="E57" s="10">
        <v>411</v>
      </c>
      <c r="F57" s="10">
        <v>3</v>
      </c>
      <c r="G57" s="10">
        <v>1</v>
      </c>
      <c r="H57" s="5" t="str">
        <f t="shared" si="0"/>
        <v>det_411</v>
      </c>
      <c r="I57" s="5" t="str">
        <f t="shared" si="1"/>
        <v>W:\Performance Measurement\1. Freeway\1. raw data\2015\data files\det_411.txt</v>
      </c>
      <c r="J57" s="5" t="str">
        <f t="shared" si="2"/>
        <v>W:\Performance Measurement\1. Freeway\1. raw data\2015\data files\det_411.xlsx</v>
      </c>
      <c r="K57" s="5"/>
      <c r="M57" s="113" t="s">
        <v>61</v>
      </c>
      <c r="N57" s="10">
        <v>411</v>
      </c>
      <c r="O57" s="10">
        <v>3</v>
      </c>
      <c r="P57" s="10">
        <v>1</v>
      </c>
    </row>
    <row r="58" spans="4:16" x14ac:dyDescent="0.25">
      <c r="D58" s="109">
        <v>54</v>
      </c>
      <c r="E58" s="10">
        <v>414</v>
      </c>
      <c r="F58" s="10">
        <v>3</v>
      </c>
      <c r="G58" s="10">
        <v>1</v>
      </c>
      <c r="H58" s="5" t="str">
        <f t="shared" si="0"/>
        <v>det_414</v>
      </c>
      <c r="I58" s="5" t="str">
        <f t="shared" si="1"/>
        <v>W:\Performance Measurement\1. Freeway\1. raw data\2015\data files\det_414.txt</v>
      </c>
      <c r="J58" s="5" t="str">
        <f t="shared" si="2"/>
        <v>W:\Performance Measurement\1. Freeway\1. raw data\2015\data files\det_414.xlsx</v>
      </c>
      <c r="K58" s="5"/>
      <c r="M58" s="113" t="s">
        <v>61</v>
      </c>
      <c r="N58" s="10">
        <v>414</v>
      </c>
      <c r="O58" s="10">
        <v>3</v>
      </c>
      <c r="P58" s="10">
        <v>1</v>
      </c>
    </row>
    <row r="59" spans="4:16" x14ac:dyDescent="0.25">
      <c r="D59" s="109">
        <v>55</v>
      </c>
      <c r="E59" s="10">
        <v>417</v>
      </c>
      <c r="F59" s="10">
        <v>3</v>
      </c>
      <c r="G59" s="10">
        <v>1</v>
      </c>
      <c r="H59" s="5" t="str">
        <f t="shared" si="0"/>
        <v>det_417</v>
      </c>
      <c r="I59" s="5" t="str">
        <f t="shared" si="1"/>
        <v>W:\Performance Measurement\1. Freeway\1. raw data\2015\data files\det_417.txt</v>
      </c>
      <c r="J59" s="5" t="str">
        <f t="shared" si="2"/>
        <v>W:\Performance Measurement\1. Freeway\1. raw data\2015\data files\det_417.xlsx</v>
      </c>
      <c r="K59" s="5"/>
      <c r="M59" s="113" t="s">
        <v>61</v>
      </c>
      <c r="N59" s="10">
        <v>417</v>
      </c>
      <c r="O59" s="10">
        <v>3</v>
      </c>
      <c r="P59" s="10">
        <v>1</v>
      </c>
    </row>
    <row r="60" spans="4:16" x14ac:dyDescent="0.25">
      <c r="D60" s="109">
        <v>56</v>
      </c>
      <c r="E60" s="10">
        <v>420</v>
      </c>
      <c r="F60" s="10">
        <v>4</v>
      </c>
      <c r="G60" s="10">
        <v>1</v>
      </c>
      <c r="H60" s="5" t="str">
        <f t="shared" si="0"/>
        <v>det_420</v>
      </c>
      <c r="I60" s="5" t="str">
        <f t="shared" si="1"/>
        <v>W:\Performance Measurement\1. Freeway\1. raw data\2015\data files\det_420.txt</v>
      </c>
      <c r="J60" s="5" t="str">
        <f t="shared" si="2"/>
        <v>W:\Performance Measurement\1. Freeway\1. raw data\2015\data files\det_420.xlsx</v>
      </c>
      <c r="K60" s="5"/>
      <c r="M60" s="113" t="s">
        <v>61</v>
      </c>
      <c r="N60" s="10">
        <v>420</v>
      </c>
      <c r="O60" s="10">
        <v>4</v>
      </c>
      <c r="P60" s="10">
        <v>1</v>
      </c>
    </row>
    <row r="61" spans="4:16" x14ac:dyDescent="0.25">
      <c r="D61" s="109">
        <v>57</v>
      </c>
      <c r="E61" s="10">
        <v>423</v>
      </c>
      <c r="F61" s="10">
        <v>3</v>
      </c>
      <c r="G61" s="10">
        <v>1</v>
      </c>
      <c r="H61" s="5" t="str">
        <f t="shared" si="0"/>
        <v>det_423</v>
      </c>
      <c r="I61" s="5" t="str">
        <f t="shared" si="1"/>
        <v>W:\Performance Measurement\1. Freeway\1. raw data\2015\data files\det_423.txt</v>
      </c>
      <c r="J61" s="5" t="str">
        <f t="shared" si="2"/>
        <v>W:\Performance Measurement\1. Freeway\1. raw data\2015\data files\det_423.xlsx</v>
      </c>
      <c r="K61" s="5"/>
      <c r="M61" s="113" t="s">
        <v>61</v>
      </c>
      <c r="N61" s="10">
        <v>423</v>
      </c>
      <c r="O61" s="10">
        <v>3</v>
      </c>
      <c r="P61" s="10">
        <v>1</v>
      </c>
    </row>
    <row r="62" spans="4:16" x14ac:dyDescent="0.25">
      <c r="D62" s="109">
        <v>58</v>
      </c>
      <c r="E62" s="10">
        <v>39</v>
      </c>
      <c r="F62" s="10">
        <v>3</v>
      </c>
      <c r="G62" s="10">
        <v>0</v>
      </c>
      <c r="H62" s="5" t="str">
        <f t="shared" si="0"/>
        <v>det_39</v>
      </c>
      <c r="I62" s="5" t="str">
        <f t="shared" si="1"/>
        <v>W:\Performance Measurement\1. Freeway\1. raw data\2015\data files\det_39.txt</v>
      </c>
      <c r="J62" s="5" t="str">
        <f t="shared" si="2"/>
        <v>W:\Performance Measurement\1. Freeway\1. raw data\2015\data files\det_39.xlsx</v>
      </c>
      <c r="K62" s="5"/>
      <c r="M62" s="113" t="s">
        <v>62</v>
      </c>
      <c r="N62" s="10">
        <v>39</v>
      </c>
      <c r="O62" s="10">
        <v>3</v>
      </c>
      <c r="P62" s="10">
        <v>0</v>
      </c>
    </row>
    <row r="63" spans="4:16" x14ac:dyDescent="0.25">
      <c r="D63" s="109">
        <v>59</v>
      </c>
      <c r="E63" s="10">
        <v>153</v>
      </c>
      <c r="F63" s="10">
        <v>3</v>
      </c>
      <c r="G63" s="10">
        <v>0</v>
      </c>
      <c r="H63" s="5" t="str">
        <f t="shared" si="0"/>
        <v>det_153</v>
      </c>
      <c r="I63" s="5" t="str">
        <f t="shared" si="1"/>
        <v>W:\Performance Measurement\1. Freeway\1. raw data\2015\data files\det_153.txt</v>
      </c>
      <c r="J63" s="5" t="str">
        <f t="shared" si="2"/>
        <v>W:\Performance Measurement\1. Freeway\1. raw data\2015\data files\det_153.xlsx</v>
      </c>
      <c r="K63" s="5"/>
      <c r="M63" s="113" t="s">
        <v>62</v>
      </c>
      <c r="N63" s="10">
        <v>153</v>
      </c>
      <c r="O63" s="10">
        <v>3</v>
      </c>
      <c r="P63" s="10">
        <v>0</v>
      </c>
    </row>
    <row r="64" spans="4:16" x14ac:dyDescent="0.25">
      <c r="D64" s="109">
        <v>60</v>
      </c>
      <c r="E64" s="10">
        <v>98</v>
      </c>
      <c r="F64" s="10">
        <v>3</v>
      </c>
      <c r="G64" s="10">
        <v>0</v>
      </c>
      <c r="H64" s="5" t="str">
        <f t="shared" si="0"/>
        <v>det_98</v>
      </c>
      <c r="I64" s="5" t="str">
        <f t="shared" si="1"/>
        <v>W:\Performance Measurement\1. Freeway\1. raw data\2015\data files\det_98.txt</v>
      </c>
      <c r="J64" s="5" t="str">
        <f t="shared" si="2"/>
        <v>W:\Performance Measurement\1. Freeway\1. raw data\2015\data files\det_98.xlsx</v>
      </c>
      <c r="K64" s="5"/>
      <c r="M64" s="113" t="s">
        <v>62</v>
      </c>
      <c r="N64" s="10">
        <v>98</v>
      </c>
      <c r="O64" s="10">
        <v>3</v>
      </c>
      <c r="P64" s="10">
        <v>0</v>
      </c>
    </row>
    <row r="65" spans="4:16" x14ac:dyDescent="0.25">
      <c r="D65" s="109">
        <v>61</v>
      </c>
      <c r="E65" s="10">
        <v>104</v>
      </c>
      <c r="F65" s="10">
        <v>3</v>
      </c>
      <c r="G65" s="10">
        <v>0</v>
      </c>
      <c r="H65" s="5" t="str">
        <f t="shared" si="0"/>
        <v>det_104</v>
      </c>
      <c r="I65" s="5" t="str">
        <f t="shared" si="1"/>
        <v>W:\Performance Measurement\1. Freeway\1. raw data\2015\data files\det_104.txt</v>
      </c>
      <c r="J65" s="5" t="str">
        <f t="shared" si="2"/>
        <v>W:\Performance Measurement\1. Freeway\1. raw data\2015\data files\det_104.xlsx</v>
      </c>
      <c r="K65" s="5"/>
      <c r="M65" s="113" t="s">
        <v>62</v>
      </c>
      <c r="N65" s="10">
        <v>104</v>
      </c>
      <c r="O65" s="10">
        <v>3</v>
      </c>
      <c r="P65" s="10">
        <v>0</v>
      </c>
    </row>
    <row r="66" spans="4:16" x14ac:dyDescent="0.25">
      <c r="D66" s="109">
        <v>62</v>
      </c>
      <c r="E66" s="10">
        <v>154</v>
      </c>
      <c r="F66" s="10">
        <v>3</v>
      </c>
      <c r="G66" s="10">
        <v>0</v>
      </c>
      <c r="H66" s="5" t="str">
        <f t="shared" si="0"/>
        <v>det_154</v>
      </c>
      <c r="I66" s="5" t="str">
        <f t="shared" si="1"/>
        <v>W:\Performance Measurement\1. Freeway\1. raw data\2015\data files\det_154.txt</v>
      </c>
      <c r="J66" s="5" t="str">
        <f t="shared" si="2"/>
        <v>W:\Performance Measurement\1. Freeway\1. raw data\2015\data files\det_154.xlsx</v>
      </c>
      <c r="K66" s="5"/>
      <c r="M66" s="113" t="s">
        <v>62</v>
      </c>
      <c r="N66" s="10">
        <v>154</v>
      </c>
      <c r="O66" s="10">
        <v>3</v>
      </c>
      <c r="P66" s="10">
        <v>0</v>
      </c>
    </row>
    <row r="67" spans="4:16" x14ac:dyDescent="0.25">
      <c r="D67" s="109">
        <v>63</v>
      </c>
      <c r="E67" s="10">
        <v>155</v>
      </c>
      <c r="F67" s="10">
        <v>3</v>
      </c>
      <c r="G67" s="10">
        <v>0</v>
      </c>
      <c r="H67" s="5" t="str">
        <f t="shared" si="0"/>
        <v>det_155</v>
      </c>
      <c r="I67" s="5" t="str">
        <f t="shared" si="1"/>
        <v>W:\Performance Measurement\1. Freeway\1. raw data\2015\data files\det_155.txt</v>
      </c>
      <c r="J67" s="5" t="str">
        <f t="shared" si="2"/>
        <v>W:\Performance Measurement\1. Freeway\1. raw data\2015\data files\det_155.xlsx</v>
      </c>
      <c r="K67" s="5"/>
      <c r="M67" s="113" t="s">
        <v>62</v>
      </c>
      <c r="N67" s="10">
        <v>155</v>
      </c>
      <c r="O67" s="10">
        <v>3</v>
      </c>
      <c r="P67" s="10">
        <v>0</v>
      </c>
    </row>
    <row r="68" spans="4:16" x14ac:dyDescent="0.25">
      <c r="D68" s="109">
        <v>64</v>
      </c>
      <c r="E68" s="10">
        <v>156</v>
      </c>
      <c r="F68" s="10">
        <v>3</v>
      </c>
      <c r="G68" s="10">
        <v>0</v>
      </c>
      <c r="H68" s="5" t="str">
        <f t="shared" si="0"/>
        <v>det_156</v>
      </c>
      <c r="I68" s="5" t="str">
        <f t="shared" si="1"/>
        <v>W:\Performance Measurement\1. Freeway\1. raw data\2015\data files\det_156.txt</v>
      </c>
      <c r="J68" s="5" t="str">
        <f t="shared" si="2"/>
        <v>W:\Performance Measurement\1. Freeway\1. raw data\2015\data files\det_156.xlsx</v>
      </c>
      <c r="K68" s="5"/>
      <c r="M68" s="113" t="s">
        <v>62</v>
      </c>
      <c r="N68" s="10">
        <v>156</v>
      </c>
      <c r="O68" s="10">
        <v>3</v>
      </c>
      <c r="P68" s="10">
        <v>0</v>
      </c>
    </row>
    <row r="69" spans="4:16" x14ac:dyDescent="0.25">
      <c r="D69" s="109">
        <v>65</v>
      </c>
      <c r="E69" s="10">
        <v>121</v>
      </c>
      <c r="F69" s="10">
        <v>3</v>
      </c>
      <c r="G69" s="10">
        <v>0</v>
      </c>
      <c r="H69" s="5" t="str">
        <f t="shared" ref="H69:H132" si="3">"det_"&amp;E69&amp;""</f>
        <v>det_121</v>
      </c>
      <c r="I69" s="5" t="str">
        <f t="shared" ref="I69:I132" si="4">$B$5&amp;"\"&amp;H69&amp;".txt"</f>
        <v>W:\Performance Measurement\1. Freeway\1. raw data\2015\data files\det_121.txt</v>
      </c>
      <c r="J69" s="5" t="str">
        <f t="shared" ref="J69:J132" si="5">$B$5&amp;"\"&amp;H69&amp;".xlsx"</f>
        <v>W:\Performance Measurement\1. Freeway\1. raw data\2015\data files\det_121.xlsx</v>
      </c>
      <c r="K69" s="5"/>
      <c r="M69" s="113" t="s">
        <v>62</v>
      </c>
      <c r="N69" s="10">
        <v>121</v>
      </c>
      <c r="O69" s="10">
        <v>3</v>
      </c>
      <c r="P69" s="10">
        <v>0</v>
      </c>
    </row>
    <row r="70" spans="4:16" x14ac:dyDescent="0.25">
      <c r="D70" s="109">
        <v>66</v>
      </c>
      <c r="E70" s="10">
        <v>123</v>
      </c>
      <c r="F70" s="10">
        <v>3</v>
      </c>
      <c r="G70" s="10">
        <v>0</v>
      </c>
      <c r="H70" s="5" t="str">
        <f t="shared" si="3"/>
        <v>det_123</v>
      </c>
      <c r="I70" s="5" t="str">
        <f t="shared" si="4"/>
        <v>W:\Performance Measurement\1. Freeway\1. raw data\2015\data files\det_123.txt</v>
      </c>
      <c r="J70" s="5" t="str">
        <f t="shared" si="5"/>
        <v>W:\Performance Measurement\1. Freeway\1. raw data\2015\data files\det_123.xlsx</v>
      </c>
      <c r="K70" s="5"/>
      <c r="M70" s="113" t="s">
        <v>62</v>
      </c>
      <c r="N70" s="10">
        <v>123</v>
      </c>
      <c r="O70" s="10">
        <v>3</v>
      </c>
      <c r="P70" s="10">
        <v>0</v>
      </c>
    </row>
    <row r="71" spans="4:16" x14ac:dyDescent="0.25">
      <c r="D71" s="109">
        <v>67</v>
      </c>
      <c r="E71" s="10">
        <v>122</v>
      </c>
      <c r="F71" s="10">
        <v>3</v>
      </c>
      <c r="G71" s="10">
        <v>0</v>
      </c>
      <c r="H71" s="5" t="str">
        <f t="shared" si="3"/>
        <v>det_122</v>
      </c>
      <c r="I71" s="5" t="str">
        <f t="shared" si="4"/>
        <v>W:\Performance Measurement\1. Freeway\1. raw data\2015\data files\det_122.txt</v>
      </c>
      <c r="J71" s="5" t="str">
        <f t="shared" si="5"/>
        <v>W:\Performance Measurement\1. Freeway\1. raw data\2015\data files\det_122.xlsx</v>
      </c>
      <c r="K71" s="5"/>
      <c r="M71" s="113" t="s">
        <v>62</v>
      </c>
      <c r="N71" s="10">
        <v>122</v>
      </c>
      <c r="O71" s="10">
        <v>3</v>
      </c>
      <c r="P71" s="10">
        <v>0</v>
      </c>
    </row>
    <row r="72" spans="4:16" x14ac:dyDescent="0.25">
      <c r="D72" s="109">
        <v>68</v>
      </c>
      <c r="E72" s="10">
        <v>118</v>
      </c>
      <c r="F72" s="10">
        <v>3</v>
      </c>
      <c r="G72" s="10">
        <v>0</v>
      </c>
      <c r="H72" s="5" t="str">
        <f t="shared" si="3"/>
        <v>det_118</v>
      </c>
      <c r="I72" s="5" t="str">
        <f t="shared" si="4"/>
        <v>W:\Performance Measurement\1. Freeway\1. raw data\2015\data files\det_118.txt</v>
      </c>
      <c r="J72" s="5" t="str">
        <f t="shared" si="5"/>
        <v>W:\Performance Measurement\1. Freeway\1. raw data\2015\data files\det_118.xlsx</v>
      </c>
      <c r="K72" s="5"/>
      <c r="M72" s="113" t="s">
        <v>62</v>
      </c>
      <c r="N72" s="10">
        <v>118</v>
      </c>
      <c r="O72" s="10">
        <v>3</v>
      </c>
      <c r="P72" s="10">
        <v>0</v>
      </c>
    </row>
    <row r="73" spans="4:16" x14ac:dyDescent="0.25">
      <c r="D73" s="109">
        <v>69</v>
      </c>
      <c r="E73" s="10">
        <v>114</v>
      </c>
      <c r="F73" s="10">
        <v>3</v>
      </c>
      <c r="G73" s="10">
        <v>0</v>
      </c>
      <c r="H73" s="5" t="str">
        <f t="shared" si="3"/>
        <v>det_114</v>
      </c>
      <c r="I73" s="5" t="str">
        <f t="shared" si="4"/>
        <v>W:\Performance Measurement\1. Freeway\1. raw data\2015\data files\det_114.txt</v>
      </c>
      <c r="J73" s="5" t="str">
        <f t="shared" si="5"/>
        <v>W:\Performance Measurement\1. Freeway\1. raw data\2015\data files\det_114.xlsx</v>
      </c>
      <c r="K73" s="5"/>
      <c r="M73" s="113" t="s">
        <v>62</v>
      </c>
      <c r="N73" s="10">
        <v>114</v>
      </c>
      <c r="O73" s="10">
        <v>3</v>
      </c>
      <c r="P73" s="10">
        <v>0</v>
      </c>
    </row>
    <row r="74" spans="4:16" x14ac:dyDescent="0.25">
      <c r="D74" s="109">
        <v>70</v>
      </c>
      <c r="E74" s="10">
        <v>108</v>
      </c>
      <c r="F74" s="10">
        <v>3</v>
      </c>
      <c r="G74" s="10">
        <v>0</v>
      </c>
      <c r="H74" s="5" t="str">
        <f t="shared" si="3"/>
        <v>det_108</v>
      </c>
      <c r="I74" s="5" t="str">
        <f t="shared" si="4"/>
        <v>W:\Performance Measurement\1. Freeway\1. raw data\2015\data files\det_108.txt</v>
      </c>
      <c r="J74" s="5" t="str">
        <f t="shared" si="5"/>
        <v>W:\Performance Measurement\1. Freeway\1. raw data\2015\data files\det_108.xlsx</v>
      </c>
      <c r="K74" s="5"/>
      <c r="M74" s="113" t="s">
        <v>62</v>
      </c>
      <c r="N74" s="10">
        <v>108</v>
      </c>
      <c r="O74" s="10">
        <v>3</v>
      </c>
      <c r="P74" s="10">
        <v>0</v>
      </c>
    </row>
    <row r="75" spans="4:16" x14ac:dyDescent="0.25">
      <c r="D75" s="109">
        <v>71</v>
      </c>
      <c r="E75" s="10">
        <v>103</v>
      </c>
      <c r="F75" s="10">
        <v>3</v>
      </c>
      <c r="G75" s="10">
        <v>0</v>
      </c>
      <c r="H75" s="5" t="str">
        <f t="shared" si="3"/>
        <v>det_103</v>
      </c>
      <c r="I75" s="5" t="str">
        <f t="shared" si="4"/>
        <v>W:\Performance Measurement\1. Freeway\1. raw data\2015\data files\det_103.txt</v>
      </c>
      <c r="J75" s="5" t="str">
        <f t="shared" si="5"/>
        <v>W:\Performance Measurement\1. Freeway\1. raw data\2015\data files\det_103.xlsx</v>
      </c>
      <c r="K75" s="5"/>
      <c r="M75" s="113" t="s">
        <v>62</v>
      </c>
      <c r="N75" s="10">
        <v>103</v>
      </c>
      <c r="O75" s="10">
        <v>3</v>
      </c>
      <c r="P75" s="10">
        <v>0</v>
      </c>
    </row>
    <row r="76" spans="4:16" x14ac:dyDescent="0.25">
      <c r="D76" s="109">
        <v>72</v>
      </c>
      <c r="E76" s="10">
        <v>97</v>
      </c>
      <c r="F76" s="10">
        <v>3</v>
      </c>
      <c r="G76" s="10">
        <v>0</v>
      </c>
      <c r="H76" s="5" t="str">
        <f t="shared" si="3"/>
        <v>det_97</v>
      </c>
      <c r="I76" s="5" t="str">
        <f t="shared" si="4"/>
        <v>W:\Performance Measurement\1. Freeway\1. raw data\2015\data files\det_97.txt</v>
      </c>
      <c r="J76" s="5" t="str">
        <f t="shared" si="5"/>
        <v>W:\Performance Measurement\1. Freeway\1. raw data\2015\data files\det_97.xlsx</v>
      </c>
      <c r="K76" s="5"/>
      <c r="M76" s="113" t="s">
        <v>62</v>
      </c>
      <c r="N76" s="10">
        <v>97</v>
      </c>
      <c r="O76" s="10">
        <v>3</v>
      </c>
      <c r="P76" s="10">
        <v>0</v>
      </c>
    </row>
    <row r="77" spans="4:16" x14ac:dyDescent="0.25">
      <c r="D77" s="109">
        <v>73</v>
      </c>
      <c r="E77" s="10">
        <v>36</v>
      </c>
      <c r="F77" s="10">
        <v>3</v>
      </c>
      <c r="G77" s="10">
        <v>0</v>
      </c>
      <c r="H77" s="5" t="str">
        <f t="shared" si="3"/>
        <v>det_36</v>
      </c>
      <c r="I77" s="5" t="str">
        <f t="shared" si="4"/>
        <v>W:\Performance Measurement\1. Freeway\1. raw data\2015\data files\det_36.txt</v>
      </c>
      <c r="J77" s="5" t="str">
        <f t="shared" si="5"/>
        <v>W:\Performance Measurement\1. Freeway\1. raw data\2015\data files\det_36.xlsx</v>
      </c>
      <c r="K77" s="5"/>
      <c r="M77" s="113" t="s">
        <v>62</v>
      </c>
      <c r="N77" s="10">
        <v>36</v>
      </c>
      <c r="O77" s="10">
        <v>3</v>
      </c>
      <c r="P77" s="10">
        <v>0</v>
      </c>
    </row>
    <row r="78" spans="4:16" x14ac:dyDescent="0.25">
      <c r="D78" s="109">
        <v>74</v>
      </c>
      <c r="E78" s="10">
        <v>161</v>
      </c>
      <c r="F78" s="10">
        <v>2</v>
      </c>
      <c r="G78" s="10">
        <v>0</v>
      </c>
      <c r="H78" s="5" t="str">
        <f t="shared" si="3"/>
        <v>det_161</v>
      </c>
      <c r="I78" s="5" t="str">
        <f t="shared" si="4"/>
        <v>W:\Performance Measurement\1. Freeway\1. raw data\2015\data files\det_161.txt</v>
      </c>
      <c r="J78" s="5" t="str">
        <f t="shared" si="5"/>
        <v>W:\Performance Measurement\1. Freeway\1. raw data\2015\data files\det_161.xlsx</v>
      </c>
      <c r="K78" s="5"/>
      <c r="M78" s="113" t="s">
        <v>63</v>
      </c>
      <c r="N78" s="10">
        <v>161</v>
      </c>
      <c r="O78" s="10">
        <v>2</v>
      </c>
      <c r="P78" s="10">
        <v>0</v>
      </c>
    </row>
    <row r="79" spans="4:16" x14ac:dyDescent="0.25">
      <c r="D79" s="109">
        <v>75</v>
      </c>
      <c r="E79" s="10">
        <v>162</v>
      </c>
      <c r="F79" s="10">
        <v>4</v>
      </c>
      <c r="G79" s="10">
        <v>1</v>
      </c>
      <c r="H79" s="5" t="str">
        <f t="shared" si="3"/>
        <v>det_162</v>
      </c>
      <c r="I79" s="5" t="str">
        <f t="shared" si="4"/>
        <v>W:\Performance Measurement\1. Freeway\1. raw data\2015\data files\det_162.txt</v>
      </c>
      <c r="J79" s="5" t="str">
        <f t="shared" si="5"/>
        <v>W:\Performance Measurement\1. Freeway\1. raw data\2015\data files\det_162.xlsx</v>
      </c>
      <c r="K79" s="5"/>
      <c r="M79" s="113" t="s">
        <v>63</v>
      </c>
      <c r="N79" s="10">
        <v>162</v>
      </c>
      <c r="O79" s="10">
        <v>4</v>
      </c>
      <c r="P79" s="10">
        <v>1</v>
      </c>
    </row>
    <row r="80" spans="4:16" x14ac:dyDescent="0.25">
      <c r="D80" s="109">
        <v>76</v>
      </c>
      <c r="E80" s="10">
        <v>337</v>
      </c>
      <c r="F80" s="10">
        <v>3</v>
      </c>
      <c r="G80" s="10">
        <v>1</v>
      </c>
      <c r="H80" s="5" t="str">
        <f t="shared" si="3"/>
        <v>det_337</v>
      </c>
      <c r="I80" s="5" t="str">
        <f t="shared" si="4"/>
        <v>W:\Performance Measurement\1. Freeway\1. raw data\2015\data files\det_337.txt</v>
      </c>
      <c r="J80" s="5" t="str">
        <f t="shared" si="5"/>
        <v>W:\Performance Measurement\1. Freeway\1. raw data\2015\data files\det_337.xlsx</v>
      </c>
      <c r="K80" s="5"/>
      <c r="M80" s="113" t="s">
        <v>63</v>
      </c>
      <c r="N80" s="10">
        <v>337</v>
      </c>
      <c r="O80" s="10">
        <v>3</v>
      </c>
      <c r="P80" s="10">
        <v>1</v>
      </c>
    </row>
    <row r="81" spans="4:16" x14ac:dyDescent="0.25">
      <c r="D81" s="109">
        <v>77</v>
      </c>
      <c r="E81" s="10">
        <v>340</v>
      </c>
      <c r="F81" s="10">
        <v>3</v>
      </c>
      <c r="G81" s="10">
        <v>1</v>
      </c>
      <c r="H81" s="5" t="str">
        <f t="shared" si="3"/>
        <v>det_340</v>
      </c>
      <c r="I81" s="5" t="str">
        <f t="shared" si="4"/>
        <v>W:\Performance Measurement\1. Freeway\1. raw data\2015\data files\det_340.txt</v>
      </c>
      <c r="J81" s="5" t="str">
        <f t="shared" si="5"/>
        <v>W:\Performance Measurement\1. Freeway\1. raw data\2015\data files\det_340.xlsx</v>
      </c>
      <c r="K81" s="5"/>
      <c r="M81" s="113" t="s">
        <v>63</v>
      </c>
      <c r="N81" s="10">
        <v>340</v>
      </c>
      <c r="O81" s="10">
        <v>3</v>
      </c>
      <c r="P81" s="10">
        <v>1</v>
      </c>
    </row>
    <row r="82" spans="4:16" x14ac:dyDescent="0.25">
      <c r="D82" s="109">
        <v>78</v>
      </c>
      <c r="E82" s="10">
        <v>343</v>
      </c>
      <c r="F82" s="10">
        <v>3</v>
      </c>
      <c r="G82" s="10">
        <v>1</v>
      </c>
      <c r="H82" s="5" t="str">
        <f t="shared" si="3"/>
        <v>det_343</v>
      </c>
      <c r="I82" s="5" t="str">
        <f t="shared" si="4"/>
        <v>W:\Performance Measurement\1. Freeway\1. raw data\2015\data files\det_343.txt</v>
      </c>
      <c r="J82" s="5" t="str">
        <f t="shared" si="5"/>
        <v>W:\Performance Measurement\1. Freeway\1. raw data\2015\data files\det_343.xlsx</v>
      </c>
      <c r="K82" s="5"/>
      <c r="M82" s="113" t="s">
        <v>63</v>
      </c>
      <c r="N82" s="10">
        <v>343</v>
      </c>
      <c r="O82" s="10">
        <v>3</v>
      </c>
      <c r="P82" s="10">
        <v>1</v>
      </c>
    </row>
    <row r="83" spans="4:16" x14ac:dyDescent="0.25">
      <c r="D83" s="109">
        <v>79</v>
      </c>
      <c r="E83" s="10">
        <v>346</v>
      </c>
      <c r="F83" s="10">
        <v>3</v>
      </c>
      <c r="G83" s="10">
        <v>1</v>
      </c>
      <c r="H83" s="5" t="str">
        <f t="shared" si="3"/>
        <v>det_346</v>
      </c>
      <c r="I83" s="5" t="str">
        <f t="shared" si="4"/>
        <v>W:\Performance Measurement\1. Freeway\1. raw data\2015\data files\det_346.txt</v>
      </c>
      <c r="J83" s="5" t="str">
        <f t="shared" si="5"/>
        <v>W:\Performance Measurement\1. Freeway\1. raw data\2015\data files\det_346.xlsx</v>
      </c>
      <c r="K83" s="5"/>
      <c r="M83" s="113" t="s">
        <v>63</v>
      </c>
      <c r="N83" s="10">
        <v>346</v>
      </c>
      <c r="O83" s="10">
        <v>3</v>
      </c>
      <c r="P83" s="10">
        <v>1</v>
      </c>
    </row>
    <row r="84" spans="4:16" x14ac:dyDescent="0.25">
      <c r="D84" s="109">
        <v>80</v>
      </c>
      <c r="E84" s="10">
        <v>349</v>
      </c>
      <c r="F84" s="10">
        <v>3</v>
      </c>
      <c r="G84" s="10">
        <v>1</v>
      </c>
      <c r="H84" s="5" t="str">
        <f t="shared" si="3"/>
        <v>det_349</v>
      </c>
      <c r="I84" s="5" t="str">
        <f t="shared" si="4"/>
        <v>W:\Performance Measurement\1. Freeway\1. raw data\2015\data files\det_349.txt</v>
      </c>
      <c r="J84" s="5" t="str">
        <f t="shared" si="5"/>
        <v>W:\Performance Measurement\1. Freeway\1. raw data\2015\data files\det_349.xlsx</v>
      </c>
      <c r="K84" s="5"/>
      <c r="M84" s="113" t="s">
        <v>63</v>
      </c>
      <c r="N84" s="10">
        <v>349</v>
      </c>
      <c r="O84" s="10">
        <v>3</v>
      </c>
      <c r="P84" s="10">
        <v>1</v>
      </c>
    </row>
    <row r="85" spans="4:16" x14ac:dyDescent="0.25">
      <c r="D85" s="109">
        <v>81</v>
      </c>
      <c r="E85" s="10">
        <v>352</v>
      </c>
      <c r="F85" s="10">
        <v>3</v>
      </c>
      <c r="G85" s="10">
        <v>1</v>
      </c>
      <c r="H85" s="5" t="str">
        <f t="shared" si="3"/>
        <v>det_352</v>
      </c>
      <c r="I85" s="5" t="str">
        <f t="shared" si="4"/>
        <v>W:\Performance Measurement\1. Freeway\1. raw data\2015\data files\det_352.txt</v>
      </c>
      <c r="J85" s="5" t="str">
        <f t="shared" si="5"/>
        <v>W:\Performance Measurement\1. Freeway\1. raw data\2015\data files\det_352.xlsx</v>
      </c>
      <c r="K85" s="5"/>
      <c r="M85" s="113" t="s">
        <v>63</v>
      </c>
      <c r="N85" s="10">
        <v>352</v>
      </c>
      <c r="O85" s="10">
        <v>3</v>
      </c>
      <c r="P85" s="10">
        <v>1</v>
      </c>
    </row>
    <row r="86" spans="4:16" x14ac:dyDescent="0.25">
      <c r="D86" s="109">
        <v>82</v>
      </c>
      <c r="E86" s="10">
        <v>355</v>
      </c>
      <c r="F86" s="10">
        <v>3</v>
      </c>
      <c r="G86" s="10">
        <v>1</v>
      </c>
      <c r="H86" s="5" t="str">
        <f t="shared" si="3"/>
        <v>det_355</v>
      </c>
      <c r="I86" s="5" t="str">
        <f t="shared" si="4"/>
        <v>W:\Performance Measurement\1. Freeway\1. raw data\2015\data files\det_355.txt</v>
      </c>
      <c r="J86" s="5" t="str">
        <f t="shared" si="5"/>
        <v>W:\Performance Measurement\1. Freeway\1. raw data\2015\data files\det_355.xlsx</v>
      </c>
      <c r="K86" s="5"/>
      <c r="M86" s="113" t="s">
        <v>63</v>
      </c>
      <c r="N86" s="10">
        <v>355</v>
      </c>
      <c r="O86" s="10">
        <v>3</v>
      </c>
      <c r="P86" s="10">
        <v>1</v>
      </c>
    </row>
    <row r="87" spans="4:16" x14ac:dyDescent="0.25">
      <c r="D87" s="109">
        <v>83</v>
      </c>
      <c r="E87" s="10">
        <v>357</v>
      </c>
      <c r="F87" s="10">
        <v>3</v>
      </c>
      <c r="G87" s="10">
        <v>1</v>
      </c>
      <c r="H87" s="5" t="str">
        <f t="shared" si="3"/>
        <v>det_357</v>
      </c>
      <c r="I87" s="5" t="str">
        <f t="shared" si="4"/>
        <v>W:\Performance Measurement\1. Freeway\1. raw data\2015\data files\det_357.txt</v>
      </c>
      <c r="J87" s="5" t="str">
        <f t="shared" si="5"/>
        <v>W:\Performance Measurement\1. Freeway\1. raw data\2015\data files\det_357.xlsx</v>
      </c>
      <c r="K87" s="5"/>
      <c r="M87" s="113" t="s">
        <v>63</v>
      </c>
      <c r="N87" s="10">
        <v>357</v>
      </c>
      <c r="O87" s="10">
        <v>3</v>
      </c>
      <c r="P87" s="10">
        <v>1</v>
      </c>
    </row>
    <row r="88" spans="4:16" x14ac:dyDescent="0.25">
      <c r="D88" s="109">
        <v>84</v>
      </c>
      <c r="E88" s="10">
        <v>358</v>
      </c>
      <c r="F88" s="10">
        <v>3</v>
      </c>
      <c r="G88" s="10">
        <v>1</v>
      </c>
      <c r="H88" s="5" t="str">
        <f t="shared" si="3"/>
        <v>det_358</v>
      </c>
      <c r="I88" s="5" t="str">
        <f t="shared" si="4"/>
        <v>W:\Performance Measurement\1. Freeway\1. raw data\2015\data files\det_358.txt</v>
      </c>
      <c r="J88" s="5" t="str">
        <f t="shared" si="5"/>
        <v>W:\Performance Measurement\1. Freeway\1. raw data\2015\data files\det_358.xlsx</v>
      </c>
      <c r="K88" s="5"/>
      <c r="M88" s="113" t="s">
        <v>63</v>
      </c>
      <c r="N88" s="10">
        <v>358</v>
      </c>
      <c r="O88" s="10">
        <v>3</v>
      </c>
      <c r="P88" s="10">
        <v>1</v>
      </c>
    </row>
    <row r="89" spans="4:16" x14ac:dyDescent="0.25">
      <c r="D89" s="109">
        <v>85</v>
      </c>
      <c r="E89" s="10">
        <v>361</v>
      </c>
      <c r="F89" s="10">
        <v>3</v>
      </c>
      <c r="G89" s="10">
        <v>1</v>
      </c>
      <c r="H89" s="5" t="str">
        <f t="shared" si="3"/>
        <v>det_361</v>
      </c>
      <c r="I89" s="5" t="str">
        <f t="shared" si="4"/>
        <v>W:\Performance Measurement\1. Freeway\1. raw data\2015\data files\det_361.txt</v>
      </c>
      <c r="J89" s="5" t="str">
        <f t="shared" si="5"/>
        <v>W:\Performance Measurement\1. Freeway\1. raw data\2015\data files\det_361.xlsx</v>
      </c>
      <c r="K89" s="5"/>
      <c r="M89" s="113" t="s">
        <v>63</v>
      </c>
      <c r="N89" s="10">
        <v>361</v>
      </c>
      <c r="O89" s="10">
        <v>3</v>
      </c>
      <c r="P89" s="10">
        <v>1</v>
      </c>
    </row>
    <row r="90" spans="4:16" x14ac:dyDescent="0.25">
      <c r="D90" s="109">
        <v>86</v>
      </c>
      <c r="E90" s="10">
        <v>364</v>
      </c>
      <c r="F90" s="10">
        <v>3</v>
      </c>
      <c r="G90" s="10">
        <v>1</v>
      </c>
      <c r="H90" s="5" t="str">
        <f t="shared" si="3"/>
        <v>det_364</v>
      </c>
      <c r="I90" s="5" t="str">
        <f t="shared" si="4"/>
        <v>W:\Performance Measurement\1. Freeway\1. raw data\2015\data files\det_364.txt</v>
      </c>
      <c r="J90" s="5" t="str">
        <f t="shared" si="5"/>
        <v>W:\Performance Measurement\1. Freeway\1. raw data\2015\data files\det_364.xlsx</v>
      </c>
      <c r="K90" s="5"/>
      <c r="M90" s="113" t="s">
        <v>63</v>
      </c>
      <c r="N90" s="10">
        <v>364</v>
      </c>
      <c r="O90" s="10">
        <v>3</v>
      </c>
      <c r="P90" s="10">
        <v>1</v>
      </c>
    </row>
    <row r="91" spans="4:16" x14ac:dyDescent="0.25">
      <c r="D91" s="109">
        <v>87</v>
      </c>
      <c r="E91" s="10">
        <v>367</v>
      </c>
      <c r="F91" s="10">
        <v>3</v>
      </c>
      <c r="G91" s="10">
        <v>1</v>
      </c>
      <c r="H91" s="5" t="str">
        <f t="shared" si="3"/>
        <v>det_367</v>
      </c>
      <c r="I91" s="5" t="str">
        <f t="shared" si="4"/>
        <v>W:\Performance Measurement\1. Freeway\1. raw data\2015\data files\det_367.txt</v>
      </c>
      <c r="J91" s="5" t="str">
        <f t="shared" si="5"/>
        <v>W:\Performance Measurement\1. Freeway\1. raw data\2015\data files\det_367.xlsx</v>
      </c>
      <c r="K91" s="5"/>
      <c r="M91" s="113" t="s">
        <v>63</v>
      </c>
      <c r="N91" s="10">
        <v>367</v>
      </c>
      <c r="O91" s="10">
        <v>3</v>
      </c>
      <c r="P91" s="10">
        <v>1</v>
      </c>
    </row>
    <row r="92" spans="4:16" x14ac:dyDescent="0.25">
      <c r="D92" s="109">
        <v>88</v>
      </c>
      <c r="E92" s="10">
        <v>370</v>
      </c>
      <c r="F92" s="10">
        <v>3</v>
      </c>
      <c r="G92" s="10">
        <v>1</v>
      </c>
      <c r="H92" s="5" t="str">
        <f t="shared" si="3"/>
        <v>det_370</v>
      </c>
      <c r="I92" s="5" t="str">
        <f t="shared" si="4"/>
        <v>W:\Performance Measurement\1. Freeway\1. raw data\2015\data files\det_370.txt</v>
      </c>
      <c r="J92" s="5" t="str">
        <f t="shared" si="5"/>
        <v>W:\Performance Measurement\1. Freeway\1. raw data\2015\data files\det_370.xlsx</v>
      </c>
      <c r="K92" s="5"/>
      <c r="M92" s="113" t="s">
        <v>63</v>
      </c>
      <c r="N92" s="10">
        <v>370</v>
      </c>
      <c r="O92" s="10">
        <v>3</v>
      </c>
      <c r="P92" s="10">
        <v>1</v>
      </c>
    </row>
    <row r="93" spans="4:16" x14ac:dyDescent="0.25">
      <c r="D93" s="109">
        <v>89</v>
      </c>
      <c r="E93" s="10">
        <v>373</v>
      </c>
      <c r="F93" s="10">
        <v>3</v>
      </c>
      <c r="G93" s="10">
        <v>1</v>
      </c>
      <c r="H93" s="5" t="str">
        <f t="shared" si="3"/>
        <v>det_373</v>
      </c>
      <c r="I93" s="5" t="str">
        <f t="shared" si="4"/>
        <v>W:\Performance Measurement\1. Freeway\1. raw data\2015\data files\det_373.txt</v>
      </c>
      <c r="J93" s="5" t="str">
        <f t="shared" si="5"/>
        <v>W:\Performance Measurement\1. Freeway\1. raw data\2015\data files\det_373.xlsx</v>
      </c>
      <c r="K93" s="5"/>
      <c r="M93" s="113" t="s">
        <v>63</v>
      </c>
      <c r="N93" s="10">
        <v>373</v>
      </c>
      <c r="O93" s="10">
        <v>3</v>
      </c>
      <c r="P93" s="10">
        <v>1</v>
      </c>
    </row>
    <row r="94" spans="4:16" x14ac:dyDescent="0.25">
      <c r="D94" s="109">
        <v>90</v>
      </c>
      <c r="E94" s="10">
        <v>376</v>
      </c>
      <c r="F94" s="10">
        <v>3</v>
      </c>
      <c r="G94" s="10">
        <v>1</v>
      </c>
      <c r="H94" s="5" t="str">
        <f t="shared" si="3"/>
        <v>det_376</v>
      </c>
      <c r="I94" s="5" t="str">
        <f t="shared" si="4"/>
        <v>W:\Performance Measurement\1. Freeway\1. raw data\2015\data files\det_376.txt</v>
      </c>
      <c r="J94" s="5" t="str">
        <f t="shared" si="5"/>
        <v>W:\Performance Measurement\1. Freeway\1. raw data\2015\data files\det_376.xlsx</v>
      </c>
      <c r="K94" s="5"/>
      <c r="M94" s="113" t="s">
        <v>63</v>
      </c>
      <c r="N94" s="10">
        <v>376</v>
      </c>
      <c r="O94" s="10">
        <v>3</v>
      </c>
      <c r="P94" s="10">
        <v>1</v>
      </c>
    </row>
    <row r="95" spans="4:16" x14ac:dyDescent="0.25">
      <c r="D95" s="109">
        <v>91</v>
      </c>
      <c r="E95" s="10">
        <v>128</v>
      </c>
      <c r="F95" s="10">
        <v>4</v>
      </c>
      <c r="G95" s="10">
        <v>1</v>
      </c>
      <c r="H95" s="5" t="str">
        <f t="shared" si="3"/>
        <v>det_128</v>
      </c>
      <c r="I95" s="5" t="str">
        <f t="shared" si="4"/>
        <v>W:\Performance Measurement\1. Freeway\1. raw data\2015\data files\det_128.txt</v>
      </c>
      <c r="J95" s="5" t="str">
        <f t="shared" si="5"/>
        <v>W:\Performance Measurement\1. Freeway\1. raw data\2015\data files\det_128.xlsx</v>
      </c>
      <c r="K95" s="5"/>
      <c r="M95" s="113" t="s">
        <v>63</v>
      </c>
      <c r="N95" s="10">
        <v>128</v>
      </c>
      <c r="O95" s="10">
        <v>4</v>
      </c>
      <c r="P95" s="10">
        <v>1</v>
      </c>
    </row>
    <row r="96" spans="4:16" x14ac:dyDescent="0.25">
      <c r="D96" s="109">
        <v>92</v>
      </c>
      <c r="E96" s="10">
        <v>163</v>
      </c>
      <c r="F96" s="10">
        <v>0</v>
      </c>
      <c r="G96" s="10">
        <v>0</v>
      </c>
      <c r="H96" s="5" t="str">
        <f t="shared" si="3"/>
        <v>det_163</v>
      </c>
      <c r="I96" s="5" t="str">
        <f t="shared" si="4"/>
        <v>W:\Performance Measurement\1. Freeway\1. raw data\2015\data files\det_163.txt</v>
      </c>
      <c r="J96" s="5" t="str">
        <f t="shared" si="5"/>
        <v>W:\Performance Measurement\1. Freeway\1. raw data\2015\data files\det_163.xlsx</v>
      </c>
      <c r="K96" s="5"/>
      <c r="M96" s="113" t="s">
        <v>64</v>
      </c>
      <c r="N96" s="10">
        <v>163</v>
      </c>
      <c r="O96" s="10">
        <v>0</v>
      </c>
      <c r="P96" s="10">
        <v>0</v>
      </c>
    </row>
    <row r="97" spans="4:16" x14ac:dyDescent="0.25">
      <c r="D97" s="109">
        <v>93</v>
      </c>
      <c r="E97" s="10">
        <v>203</v>
      </c>
      <c r="F97" s="10">
        <v>4</v>
      </c>
      <c r="G97" s="10">
        <v>1</v>
      </c>
      <c r="H97" s="5" t="str">
        <f t="shared" si="3"/>
        <v>det_203</v>
      </c>
      <c r="I97" s="5" t="str">
        <f t="shared" si="4"/>
        <v>W:\Performance Measurement\1. Freeway\1. raw data\2015\data files\det_203.txt</v>
      </c>
      <c r="J97" s="5" t="str">
        <f t="shared" si="5"/>
        <v>W:\Performance Measurement\1. Freeway\1. raw data\2015\data files\det_203.xlsx</v>
      </c>
      <c r="K97" s="5"/>
      <c r="M97" s="113" t="s">
        <v>64</v>
      </c>
      <c r="N97" s="10">
        <v>203</v>
      </c>
      <c r="O97" s="10">
        <v>4</v>
      </c>
      <c r="P97" s="10">
        <v>1</v>
      </c>
    </row>
    <row r="98" spans="4:16" x14ac:dyDescent="0.25">
      <c r="D98" s="109">
        <v>94</v>
      </c>
      <c r="E98" s="10">
        <v>206</v>
      </c>
      <c r="F98" s="10">
        <v>3</v>
      </c>
      <c r="G98" s="10">
        <v>1</v>
      </c>
      <c r="H98" s="5" t="str">
        <f t="shared" si="3"/>
        <v>det_206</v>
      </c>
      <c r="I98" s="5" t="str">
        <f t="shared" si="4"/>
        <v>W:\Performance Measurement\1. Freeway\1. raw data\2015\data files\det_206.txt</v>
      </c>
      <c r="J98" s="5" t="str">
        <f t="shared" si="5"/>
        <v>W:\Performance Measurement\1. Freeway\1. raw data\2015\data files\det_206.xlsx</v>
      </c>
      <c r="K98" s="5"/>
      <c r="M98" s="113" t="s">
        <v>64</v>
      </c>
      <c r="N98" s="10">
        <v>206</v>
      </c>
      <c r="O98" s="10">
        <v>3</v>
      </c>
      <c r="P98" s="10">
        <v>1</v>
      </c>
    </row>
    <row r="99" spans="4:16" x14ac:dyDescent="0.25">
      <c r="D99" s="109">
        <v>95</v>
      </c>
      <c r="E99" s="10">
        <v>209</v>
      </c>
      <c r="F99" s="10">
        <v>3</v>
      </c>
      <c r="G99" s="10">
        <v>1</v>
      </c>
      <c r="H99" s="5" t="str">
        <f t="shared" si="3"/>
        <v>det_209</v>
      </c>
      <c r="I99" s="5" t="str">
        <f t="shared" si="4"/>
        <v>W:\Performance Measurement\1. Freeway\1. raw data\2015\data files\det_209.txt</v>
      </c>
      <c r="J99" s="5" t="str">
        <f t="shared" si="5"/>
        <v>W:\Performance Measurement\1. Freeway\1. raw data\2015\data files\det_209.xlsx</v>
      </c>
      <c r="K99" s="5"/>
      <c r="M99" s="113" t="s">
        <v>64</v>
      </c>
      <c r="N99" s="10">
        <v>209</v>
      </c>
      <c r="O99" s="10">
        <v>3</v>
      </c>
      <c r="P99" s="10">
        <v>1</v>
      </c>
    </row>
    <row r="100" spans="4:16" x14ac:dyDescent="0.25">
      <c r="D100" s="109">
        <v>96</v>
      </c>
      <c r="E100" s="10">
        <v>212</v>
      </c>
      <c r="F100" s="10">
        <v>4</v>
      </c>
      <c r="G100" s="10">
        <v>1</v>
      </c>
      <c r="H100" s="5" t="str">
        <f t="shared" si="3"/>
        <v>det_212</v>
      </c>
      <c r="I100" s="5" t="str">
        <f t="shared" si="4"/>
        <v>W:\Performance Measurement\1. Freeway\1. raw data\2015\data files\det_212.txt</v>
      </c>
      <c r="J100" s="5" t="str">
        <f t="shared" si="5"/>
        <v>W:\Performance Measurement\1. Freeway\1. raw data\2015\data files\det_212.xlsx</v>
      </c>
      <c r="K100" s="5"/>
      <c r="M100" s="113" t="s">
        <v>64</v>
      </c>
      <c r="N100" s="10">
        <v>212</v>
      </c>
      <c r="O100" s="10">
        <v>4</v>
      </c>
      <c r="P100" s="10">
        <v>1</v>
      </c>
    </row>
    <row r="101" spans="4:16" x14ac:dyDescent="0.25">
      <c r="D101" s="109">
        <v>97</v>
      </c>
      <c r="E101" s="10">
        <v>214</v>
      </c>
      <c r="F101" s="10">
        <v>3</v>
      </c>
      <c r="G101" s="10">
        <v>1</v>
      </c>
      <c r="H101" s="5" t="str">
        <f t="shared" si="3"/>
        <v>det_214</v>
      </c>
      <c r="I101" s="5" t="str">
        <f t="shared" si="4"/>
        <v>W:\Performance Measurement\1. Freeway\1. raw data\2015\data files\det_214.txt</v>
      </c>
      <c r="J101" s="5" t="str">
        <f t="shared" si="5"/>
        <v>W:\Performance Measurement\1. Freeway\1. raw data\2015\data files\det_214.xlsx</v>
      </c>
      <c r="K101" s="5"/>
      <c r="M101" s="113" t="s">
        <v>64</v>
      </c>
      <c r="N101" s="10">
        <v>214</v>
      </c>
      <c r="O101" s="10">
        <v>3</v>
      </c>
      <c r="P101" s="10">
        <v>1</v>
      </c>
    </row>
    <row r="102" spans="4:16" x14ac:dyDescent="0.25">
      <c r="D102" s="109">
        <v>98</v>
      </c>
      <c r="E102" s="10">
        <v>201</v>
      </c>
      <c r="F102" s="10">
        <v>3</v>
      </c>
      <c r="G102" s="10">
        <v>1</v>
      </c>
      <c r="H102" s="5" t="str">
        <f t="shared" si="3"/>
        <v>det_201</v>
      </c>
      <c r="I102" s="5" t="str">
        <f t="shared" si="4"/>
        <v>W:\Performance Measurement\1. Freeway\1. raw data\2015\data files\det_201.txt</v>
      </c>
      <c r="J102" s="5" t="str">
        <f t="shared" si="5"/>
        <v>W:\Performance Measurement\1. Freeway\1. raw data\2015\data files\det_201.xlsx</v>
      </c>
      <c r="K102" s="5"/>
      <c r="M102" s="113" t="s">
        <v>64</v>
      </c>
      <c r="N102" s="10">
        <v>201</v>
      </c>
      <c r="O102" s="10">
        <v>3</v>
      </c>
      <c r="P102" s="10">
        <v>1</v>
      </c>
    </row>
    <row r="103" spans="4:16" x14ac:dyDescent="0.25">
      <c r="D103" s="109">
        <v>99</v>
      </c>
      <c r="E103" s="10">
        <v>198</v>
      </c>
      <c r="F103" s="10">
        <v>3</v>
      </c>
      <c r="G103" s="10">
        <v>1</v>
      </c>
      <c r="H103" s="5" t="str">
        <f t="shared" si="3"/>
        <v>det_198</v>
      </c>
      <c r="I103" s="5" t="str">
        <f t="shared" si="4"/>
        <v>W:\Performance Measurement\1. Freeway\1. raw data\2015\data files\det_198.txt</v>
      </c>
      <c r="J103" s="5" t="str">
        <f t="shared" si="5"/>
        <v>W:\Performance Measurement\1. Freeway\1. raw data\2015\data files\det_198.xlsx</v>
      </c>
      <c r="K103" s="5"/>
      <c r="M103" s="113" t="s">
        <v>64</v>
      </c>
      <c r="N103" s="10">
        <v>198</v>
      </c>
      <c r="O103" s="10">
        <v>3</v>
      </c>
      <c r="P103" s="10">
        <v>1</v>
      </c>
    </row>
    <row r="104" spans="4:16" x14ac:dyDescent="0.25">
      <c r="D104" s="109">
        <v>100</v>
      </c>
      <c r="E104" s="10">
        <v>195</v>
      </c>
      <c r="F104" s="10">
        <v>3</v>
      </c>
      <c r="G104" s="10">
        <v>1</v>
      </c>
      <c r="H104" s="5" t="str">
        <f t="shared" si="3"/>
        <v>det_195</v>
      </c>
      <c r="I104" s="5" t="str">
        <f t="shared" si="4"/>
        <v>W:\Performance Measurement\1. Freeway\1. raw data\2015\data files\det_195.txt</v>
      </c>
      <c r="J104" s="5" t="str">
        <f t="shared" si="5"/>
        <v>W:\Performance Measurement\1. Freeway\1. raw data\2015\data files\det_195.xlsx</v>
      </c>
      <c r="K104" s="5"/>
      <c r="M104" s="113" t="s">
        <v>64</v>
      </c>
      <c r="N104" s="10">
        <v>195</v>
      </c>
      <c r="O104" s="10">
        <v>3</v>
      </c>
      <c r="P104" s="10">
        <v>1</v>
      </c>
    </row>
    <row r="105" spans="4:16" x14ac:dyDescent="0.25">
      <c r="D105" s="109">
        <v>101</v>
      </c>
      <c r="E105" s="10">
        <v>193</v>
      </c>
      <c r="F105" s="10">
        <v>3</v>
      </c>
      <c r="G105" s="10">
        <v>1</v>
      </c>
      <c r="H105" s="5" t="str">
        <f t="shared" si="3"/>
        <v>det_193</v>
      </c>
      <c r="I105" s="5" t="str">
        <f t="shared" si="4"/>
        <v>W:\Performance Measurement\1. Freeway\1. raw data\2015\data files\det_193.txt</v>
      </c>
      <c r="J105" s="5" t="str">
        <f t="shared" si="5"/>
        <v>W:\Performance Measurement\1. Freeway\1. raw data\2015\data files\det_193.xlsx</v>
      </c>
      <c r="K105" s="5"/>
      <c r="M105" s="113" t="s">
        <v>64</v>
      </c>
      <c r="N105" s="10">
        <v>193</v>
      </c>
      <c r="O105" s="10">
        <v>3</v>
      </c>
      <c r="P105" s="10">
        <v>1</v>
      </c>
    </row>
    <row r="106" spans="4:16" x14ac:dyDescent="0.25">
      <c r="D106" s="109">
        <v>102</v>
      </c>
      <c r="E106" s="10">
        <v>190</v>
      </c>
      <c r="F106" s="10">
        <v>3</v>
      </c>
      <c r="G106" s="10">
        <v>1</v>
      </c>
      <c r="H106" s="5" t="str">
        <f t="shared" si="3"/>
        <v>det_190</v>
      </c>
      <c r="I106" s="5" t="str">
        <f t="shared" si="4"/>
        <v>W:\Performance Measurement\1. Freeway\1. raw data\2015\data files\det_190.txt</v>
      </c>
      <c r="J106" s="5" t="str">
        <f t="shared" si="5"/>
        <v>W:\Performance Measurement\1. Freeway\1. raw data\2015\data files\det_190.xlsx</v>
      </c>
      <c r="K106" s="5"/>
      <c r="M106" s="113" t="s">
        <v>64</v>
      </c>
      <c r="N106" s="10">
        <v>190</v>
      </c>
      <c r="O106" s="10">
        <v>3</v>
      </c>
      <c r="P106" s="10">
        <v>1</v>
      </c>
    </row>
    <row r="107" spans="4:16" x14ac:dyDescent="0.25">
      <c r="D107" s="109">
        <v>103</v>
      </c>
      <c r="E107" s="10">
        <v>130</v>
      </c>
      <c r="F107" s="10">
        <v>2</v>
      </c>
      <c r="G107" s="10">
        <v>1</v>
      </c>
      <c r="H107" s="5" t="str">
        <f t="shared" si="3"/>
        <v>det_130</v>
      </c>
      <c r="I107" s="5" t="str">
        <f t="shared" si="4"/>
        <v>W:\Performance Measurement\1. Freeway\1. raw data\2015\data files\det_130.txt</v>
      </c>
      <c r="J107" s="5" t="str">
        <f t="shared" si="5"/>
        <v>W:\Performance Measurement\1. Freeway\1. raw data\2015\data files\det_130.xlsx</v>
      </c>
      <c r="K107" s="5"/>
      <c r="M107" s="113" t="s">
        <v>64</v>
      </c>
      <c r="N107" s="10">
        <v>130</v>
      </c>
      <c r="O107" s="10">
        <v>2</v>
      </c>
      <c r="P107" s="10">
        <v>1</v>
      </c>
    </row>
    <row r="108" spans="4:16" x14ac:dyDescent="0.25">
      <c r="D108" s="109">
        <v>104</v>
      </c>
      <c r="E108" s="10">
        <v>313</v>
      </c>
      <c r="F108" s="10">
        <v>3</v>
      </c>
      <c r="G108" s="10">
        <v>1</v>
      </c>
      <c r="H108" s="5" t="str">
        <f t="shared" si="3"/>
        <v>det_313</v>
      </c>
      <c r="I108" s="5" t="str">
        <f t="shared" si="4"/>
        <v>W:\Performance Measurement\1. Freeway\1. raw data\2015\data files\det_313.txt</v>
      </c>
      <c r="J108" s="5" t="str">
        <f t="shared" si="5"/>
        <v>W:\Performance Measurement\1. Freeway\1. raw data\2015\data files\det_313.xlsx</v>
      </c>
      <c r="K108" s="5"/>
      <c r="M108" s="113" t="s">
        <v>65</v>
      </c>
      <c r="N108" s="10">
        <v>313</v>
      </c>
      <c r="O108" s="10">
        <v>3</v>
      </c>
      <c r="P108" s="10">
        <v>1</v>
      </c>
    </row>
    <row r="109" spans="4:16" x14ac:dyDescent="0.25">
      <c r="D109" s="109">
        <v>105</v>
      </c>
      <c r="E109" s="10">
        <v>316</v>
      </c>
      <c r="F109" s="10">
        <v>4</v>
      </c>
      <c r="G109" s="10">
        <v>1</v>
      </c>
      <c r="H109" s="5" t="str">
        <f t="shared" si="3"/>
        <v>det_316</v>
      </c>
      <c r="I109" s="5" t="str">
        <f t="shared" si="4"/>
        <v>W:\Performance Measurement\1. Freeway\1. raw data\2015\data files\det_316.txt</v>
      </c>
      <c r="J109" s="5" t="str">
        <f t="shared" si="5"/>
        <v>W:\Performance Measurement\1. Freeway\1. raw data\2015\data files\det_316.xlsx</v>
      </c>
      <c r="K109" s="5"/>
      <c r="M109" s="113" t="s">
        <v>65</v>
      </c>
      <c r="N109" s="10">
        <v>316</v>
      </c>
      <c r="O109" s="10">
        <v>4</v>
      </c>
      <c r="P109" s="10">
        <v>1</v>
      </c>
    </row>
    <row r="110" spans="4:16" x14ac:dyDescent="0.25">
      <c r="D110" s="109">
        <v>106</v>
      </c>
      <c r="E110" s="10">
        <v>318</v>
      </c>
      <c r="F110" s="10">
        <v>4</v>
      </c>
      <c r="G110" s="10">
        <v>1</v>
      </c>
      <c r="H110" s="5" t="str">
        <f t="shared" si="3"/>
        <v>det_318</v>
      </c>
      <c r="I110" s="5" t="str">
        <f t="shared" si="4"/>
        <v>W:\Performance Measurement\1. Freeway\1. raw data\2015\data files\det_318.txt</v>
      </c>
      <c r="J110" s="5" t="str">
        <f t="shared" si="5"/>
        <v>W:\Performance Measurement\1. Freeway\1. raw data\2015\data files\det_318.xlsx</v>
      </c>
      <c r="K110" s="5"/>
      <c r="M110" s="113" t="s">
        <v>65</v>
      </c>
      <c r="N110" s="10">
        <v>318</v>
      </c>
      <c r="O110" s="10">
        <v>4</v>
      </c>
      <c r="P110" s="10">
        <v>1</v>
      </c>
    </row>
    <row r="111" spans="4:16" x14ac:dyDescent="0.25">
      <c r="D111" s="109">
        <v>107</v>
      </c>
      <c r="E111" s="10">
        <v>321</v>
      </c>
      <c r="F111" s="10">
        <v>5</v>
      </c>
      <c r="G111" s="10">
        <v>1</v>
      </c>
      <c r="H111" s="5" t="str">
        <f t="shared" si="3"/>
        <v>det_321</v>
      </c>
      <c r="I111" s="5" t="str">
        <f t="shared" si="4"/>
        <v>W:\Performance Measurement\1. Freeway\1. raw data\2015\data files\det_321.txt</v>
      </c>
      <c r="J111" s="5" t="str">
        <f t="shared" si="5"/>
        <v>W:\Performance Measurement\1. Freeway\1. raw data\2015\data files\det_321.xlsx</v>
      </c>
      <c r="K111" s="5"/>
      <c r="M111" s="113" t="s">
        <v>65</v>
      </c>
      <c r="N111" s="10">
        <v>321</v>
      </c>
      <c r="O111" s="10">
        <v>5</v>
      </c>
      <c r="P111" s="10">
        <v>1</v>
      </c>
    </row>
    <row r="112" spans="4:16" x14ac:dyDescent="0.25">
      <c r="D112" s="109">
        <v>108</v>
      </c>
      <c r="E112" s="10">
        <v>323</v>
      </c>
      <c r="F112" s="10">
        <v>4</v>
      </c>
      <c r="G112" s="10">
        <v>1</v>
      </c>
      <c r="H112" s="5" t="str">
        <f t="shared" si="3"/>
        <v>det_323</v>
      </c>
      <c r="I112" s="5" t="str">
        <f t="shared" si="4"/>
        <v>W:\Performance Measurement\1. Freeway\1. raw data\2015\data files\det_323.txt</v>
      </c>
      <c r="J112" s="5" t="str">
        <f t="shared" si="5"/>
        <v>W:\Performance Measurement\1. Freeway\1. raw data\2015\data files\det_323.xlsx</v>
      </c>
      <c r="K112" s="5"/>
      <c r="M112" s="113" t="s">
        <v>65</v>
      </c>
      <c r="N112" s="10">
        <v>323</v>
      </c>
      <c r="O112" s="10">
        <v>4</v>
      </c>
      <c r="P112" s="10">
        <v>1</v>
      </c>
    </row>
    <row r="113" spans="4:16" x14ac:dyDescent="0.25">
      <c r="D113" s="109">
        <v>109</v>
      </c>
      <c r="E113" s="10">
        <v>325</v>
      </c>
      <c r="F113" s="10">
        <v>3</v>
      </c>
      <c r="G113" s="10">
        <v>1</v>
      </c>
      <c r="H113" s="5" t="str">
        <f t="shared" si="3"/>
        <v>det_325</v>
      </c>
      <c r="I113" s="5" t="str">
        <f t="shared" si="4"/>
        <v>W:\Performance Measurement\1. Freeway\1. raw data\2015\data files\det_325.txt</v>
      </c>
      <c r="J113" s="5" t="str">
        <f t="shared" si="5"/>
        <v>W:\Performance Measurement\1. Freeway\1. raw data\2015\data files\det_325.xlsx</v>
      </c>
      <c r="K113" s="5"/>
      <c r="M113" s="113" t="s">
        <v>65</v>
      </c>
      <c r="N113" s="10">
        <v>325</v>
      </c>
      <c r="O113" s="10">
        <v>3</v>
      </c>
      <c r="P113" s="10">
        <v>1</v>
      </c>
    </row>
    <row r="114" spans="4:16" x14ac:dyDescent="0.25">
      <c r="D114" s="109">
        <v>110</v>
      </c>
      <c r="E114" s="10">
        <v>328</v>
      </c>
      <c r="F114" s="10">
        <v>3</v>
      </c>
      <c r="G114" s="10">
        <v>1</v>
      </c>
      <c r="H114" s="5" t="str">
        <f t="shared" si="3"/>
        <v>det_328</v>
      </c>
      <c r="I114" s="5" t="str">
        <f t="shared" si="4"/>
        <v>W:\Performance Measurement\1. Freeway\1. raw data\2015\data files\det_328.txt</v>
      </c>
      <c r="J114" s="5" t="str">
        <f t="shared" si="5"/>
        <v>W:\Performance Measurement\1. Freeway\1. raw data\2015\data files\det_328.xlsx</v>
      </c>
      <c r="K114" s="5"/>
      <c r="M114" s="113" t="s">
        <v>65</v>
      </c>
      <c r="N114" s="10">
        <v>328</v>
      </c>
      <c r="O114" s="10">
        <v>3</v>
      </c>
      <c r="P114" s="10">
        <v>1</v>
      </c>
    </row>
    <row r="115" spans="4:16" x14ac:dyDescent="0.25">
      <c r="D115" s="109">
        <v>111</v>
      </c>
      <c r="E115" s="10">
        <v>331</v>
      </c>
      <c r="F115" s="10">
        <v>3</v>
      </c>
      <c r="G115" s="10">
        <v>1</v>
      </c>
      <c r="H115" s="5" t="str">
        <f t="shared" si="3"/>
        <v>det_331</v>
      </c>
      <c r="I115" s="5" t="str">
        <f t="shared" si="4"/>
        <v>W:\Performance Measurement\1. Freeway\1. raw data\2015\data files\det_331.txt</v>
      </c>
      <c r="J115" s="5" t="str">
        <f t="shared" si="5"/>
        <v>W:\Performance Measurement\1. Freeway\1. raw data\2015\data files\det_331.xlsx</v>
      </c>
      <c r="K115" s="5"/>
      <c r="M115" s="113" t="s">
        <v>65</v>
      </c>
      <c r="N115" s="10">
        <v>331</v>
      </c>
      <c r="O115" s="10">
        <v>3</v>
      </c>
      <c r="P115" s="10">
        <v>1</v>
      </c>
    </row>
    <row r="116" spans="4:16" x14ac:dyDescent="0.25">
      <c r="D116" s="109">
        <v>112</v>
      </c>
      <c r="E116" s="10">
        <v>334</v>
      </c>
      <c r="F116" s="10">
        <v>3</v>
      </c>
      <c r="G116" s="10">
        <v>1</v>
      </c>
      <c r="H116" s="5" t="str">
        <f t="shared" si="3"/>
        <v>det_334</v>
      </c>
      <c r="I116" s="5" t="str">
        <f t="shared" si="4"/>
        <v>W:\Performance Measurement\1. Freeway\1. raw data\2015\data files\det_334.txt</v>
      </c>
      <c r="J116" s="5" t="str">
        <f t="shared" si="5"/>
        <v>W:\Performance Measurement\1. Freeway\1. raw data\2015\data files\det_334.xlsx</v>
      </c>
      <c r="K116" s="5"/>
      <c r="M116" s="113" t="s">
        <v>65</v>
      </c>
      <c r="N116" s="10">
        <v>334</v>
      </c>
      <c r="O116" s="10">
        <v>3</v>
      </c>
      <c r="P116" s="10">
        <v>1</v>
      </c>
    </row>
    <row r="117" spans="4:16" x14ac:dyDescent="0.25">
      <c r="D117" s="109">
        <v>113</v>
      </c>
      <c r="E117" s="10">
        <v>336</v>
      </c>
      <c r="F117" s="10">
        <v>3</v>
      </c>
      <c r="G117" s="10">
        <v>1</v>
      </c>
      <c r="H117" s="5" t="str">
        <f t="shared" si="3"/>
        <v>det_336</v>
      </c>
      <c r="I117" s="5" t="str">
        <f t="shared" si="4"/>
        <v>W:\Performance Measurement\1. Freeway\1. raw data\2015\data files\det_336.txt</v>
      </c>
      <c r="J117" s="5" t="str">
        <f t="shared" si="5"/>
        <v>W:\Performance Measurement\1. Freeway\1. raw data\2015\data files\det_336.xlsx</v>
      </c>
      <c r="K117" s="5"/>
      <c r="M117" s="113" t="s">
        <v>65</v>
      </c>
      <c r="N117" s="10">
        <v>336</v>
      </c>
      <c r="O117" s="10">
        <v>3</v>
      </c>
      <c r="P117" s="10">
        <v>1</v>
      </c>
    </row>
    <row r="118" spans="4:16" x14ac:dyDescent="0.25">
      <c r="D118" s="109">
        <v>114</v>
      </c>
      <c r="E118" s="10">
        <v>312</v>
      </c>
      <c r="F118" s="10">
        <v>3</v>
      </c>
      <c r="G118" s="10">
        <v>1</v>
      </c>
      <c r="H118" s="5" t="str">
        <f t="shared" si="3"/>
        <v>det_312</v>
      </c>
      <c r="I118" s="5" t="str">
        <f t="shared" si="4"/>
        <v>W:\Performance Measurement\1. Freeway\1. raw data\2015\data files\det_312.txt</v>
      </c>
      <c r="J118" s="5" t="str">
        <f t="shared" si="5"/>
        <v>W:\Performance Measurement\1. Freeway\1. raw data\2015\data files\det_312.xlsx</v>
      </c>
      <c r="K118" s="5"/>
      <c r="M118" s="113" t="s">
        <v>65</v>
      </c>
      <c r="N118" s="10">
        <v>312</v>
      </c>
      <c r="O118" s="10">
        <v>3</v>
      </c>
      <c r="P118" s="10">
        <v>1</v>
      </c>
    </row>
    <row r="119" spans="4:16" x14ac:dyDescent="0.25">
      <c r="D119" s="109">
        <v>115</v>
      </c>
      <c r="E119" s="10">
        <v>309</v>
      </c>
      <c r="F119" s="10">
        <v>3</v>
      </c>
      <c r="G119" s="10">
        <v>1</v>
      </c>
      <c r="H119" s="5" t="str">
        <f t="shared" si="3"/>
        <v>det_309</v>
      </c>
      <c r="I119" s="5" t="str">
        <f t="shared" si="4"/>
        <v>W:\Performance Measurement\1. Freeway\1. raw data\2015\data files\det_309.txt</v>
      </c>
      <c r="J119" s="5" t="str">
        <f t="shared" si="5"/>
        <v>W:\Performance Measurement\1. Freeway\1. raw data\2015\data files\det_309.xlsx</v>
      </c>
      <c r="K119" s="5"/>
      <c r="M119" s="113" t="s">
        <v>65</v>
      </c>
      <c r="N119" s="10">
        <v>309</v>
      </c>
      <c r="O119" s="10">
        <v>3</v>
      </c>
      <c r="P119" s="10">
        <v>1</v>
      </c>
    </row>
    <row r="120" spans="4:16" x14ac:dyDescent="0.25">
      <c r="D120" s="109">
        <v>116</v>
      </c>
      <c r="E120" s="10">
        <v>306</v>
      </c>
      <c r="F120" s="10">
        <v>3</v>
      </c>
      <c r="G120" s="10">
        <v>1</v>
      </c>
      <c r="H120" s="5" t="str">
        <f t="shared" si="3"/>
        <v>det_306</v>
      </c>
      <c r="I120" s="5" t="str">
        <f t="shared" si="4"/>
        <v>W:\Performance Measurement\1. Freeway\1. raw data\2015\data files\det_306.txt</v>
      </c>
      <c r="J120" s="5" t="str">
        <f t="shared" si="5"/>
        <v>W:\Performance Measurement\1. Freeway\1. raw data\2015\data files\det_306.xlsx</v>
      </c>
      <c r="K120" s="5"/>
      <c r="M120" s="113" t="s">
        <v>65</v>
      </c>
      <c r="N120" s="10">
        <v>306</v>
      </c>
      <c r="O120" s="10">
        <v>3</v>
      </c>
      <c r="P120" s="10">
        <v>1</v>
      </c>
    </row>
    <row r="121" spans="4:16" x14ac:dyDescent="0.25">
      <c r="D121" s="109">
        <v>117</v>
      </c>
      <c r="E121" s="10">
        <v>303</v>
      </c>
      <c r="F121" s="10">
        <v>3</v>
      </c>
      <c r="G121" s="10">
        <v>1</v>
      </c>
      <c r="H121" s="5" t="str">
        <f t="shared" si="3"/>
        <v>det_303</v>
      </c>
      <c r="I121" s="5" t="str">
        <f t="shared" si="4"/>
        <v>W:\Performance Measurement\1. Freeway\1. raw data\2015\data files\det_303.txt</v>
      </c>
      <c r="J121" s="5" t="str">
        <f t="shared" si="5"/>
        <v>W:\Performance Measurement\1. Freeway\1. raw data\2015\data files\det_303.xlsx</v>
      </c>
      <c r="K121" s="5"/>
      <c r="M121" s="113" t="s">
        <v>65</v>
      </c>
      <c r="N121" s="10">
        <v>303</v>
      </c>
      <c r="O121" s="10">
        <v>3</v>
      </c>
      <c r="P121" s="10">
        <v>1</v>
      </c>
    </row>
    <row r="122" spans="4:16" x14ac:dyDescent="0.25">
      <c r="D122" s="109">
        <v>118</v>
      </c>
      <c r="E122" s="10">
        <v>300</v>
      </c>
      <c r="F122" s="10">
        <v>3</v>
      </c>
      <c r="G122" s="10">
        <v>1</v>
      </c>
      <c r="H122" s="5" t="str">
        <f t="shared" si="3"/>
        <v>det_300</v>
      </c>
      <c r="I122" s="5" t="str">
        <f t="shared" si="4"/>
        <v>W:\Performance Measurement\1. Freeway\1. raw data\2015\data files\det_300.txt</v>
      </c>
      <c r="J122" s="5" t="str">
        <f t="shared" si="5"/>
        <v>W:\Performance Measurement\1. Freeway\1. raw data\2015\data files\det_300.xlsx</v>
      </c>
      <c r="K122" s="5"/>
      <c r="M122" s="113" t="s">
        <v>65</v>
      </c>
      <c r="N122" s="10">
        <v>300</v>
      </c>
      <c r="O122" s="10">
        <v>3</v>
      </c>
      <c r="P122" s="10">
        <v>1</v>
      </c>
    </row>
    <row r="123" spans="4:16" x14ac:dyDescent="0.25">
      <c r="D123" s="109">
        <v>119</v>
      </c>
      <c r="E123" s="10">
        <v>299</v>
      </c>
      <c r="F123" s="10">
        <v>4</v>
      </c>
      <c r="G123" s="10">
        <v>1</v>
      </c>
      <c r="H123" s="5" t="str">
        <f t="shared" si="3"/>
        <v>det_299</v>
      </c>
      <c r="I123" s="5" t="str">
        <f t="shared" si="4"/>
        <v>W:\Performance Measurement\1. Freeway\1. raw data\2015\data files\det_299.txt</v>
      </c>
      <c r="J123" s="5" t="str">
        <f t="shared" si="5"/>
        <v>W:\Performance Measurement\1. Freeway\1. raw data\2015\data files\det_299.xlsx</v>
      </c>
      <c r="K123" s="5"/>
      <c r="M123" s="113" t="s">
        <v>65</v>
      </c>
      <c r="N123" s="10">
        <v>299</v>
      </c>
      <c r="O123" s="10">
        <v>4</v>
      </c>
      <c r="P123" s="10">
        <v>1</v>
      </c>
    </row>
    <row r="124" spans="4:16" x14ac:dyDescent="0.25">
      <c r="D124" s="109">
        <v>120</v>
      </c>
      <c r="E124" s="10">
        <v>297</v>
      </c>
      <c r="F124" s="10">
        <v>5</v>
      </c>
      <c r="G124" s="10">
        <v>1</v>
      </c>
      <c r="H124" s="5" t="str">
        <f t="shared" si="3"/>
        <v>det_297</v>
      </c>
      <c r="I124" s="5" t="str">
        <f t="shared" si="4"/>
        <v>W:\Performance Measurement\1. Freeway\1. raw data\2015\data files\det_297.txt</v>
      </c>
      <c r="J124" s="5" t="str">
        <f t="shared" si="5"/>
        <v>W:\Performance Measurement\1. Freeway\1. raw data\2015\data files\det_297.xlsx</v>
      </c>
      <c r="K124" s="5"/>
      <c r="M124" s="113" t="s">
        <v>65</v>
      </c>
      <c r="N124" s="10">
        <v>297</v>
      </c>
      <c r="O124" s="10">
        <v>5</v>
      </c>
      <c r="P124" s="10">
        <v>1</v>
      </c>
    </row>
    <row r="125" spans="4:16" x14ac:dyDescent="0.25">
      <c r="D125" s="109">
        <v>121</v>
      </c>
      <c r="E125" s="10">
        <v>294</v>
      </c>
      <c r="F125" s="10">
        <v>4</v>
      </c>
      <c r="G125" s="10">
        <v>1</v>
      </c>
      <c r="H125" s="5" t="str">
        <f t="shared" si="3"/>
        <v>det_294</v>
      </c>
      <c r="I125" s="5" t="str">
        <f t="shared" si="4"/>
        <v>W:\Performance Measurement\1. Freeway\1. raw data\2015\data files\det_294.txt</v>
      </c>
      <c r="J125" s="5" t="str">
        <f t="shared" si="5"/>
        <v>W:\Performance Measurement\1. Freeway\1. raw data\2015\data files\det_294.xlsx</v>
      </c>
      <c r="K125" s="5"/>
      <c r="M125" s="113" t="s">
        <v>65</v>
      </c>
      <c r="N125" s="10">
        <v>294</v>
      </c>
      <c r="O125" s="10">
        <v>4</v>
      </c>
      <c r="P125" s="10">
        <v>1</v>
      </c>
    </row>
    <row r="126" spans="4:16" x14ac:dyDescent="0.25">
      <c r="D126" s="109">
        <v>122</v>
      </c>
      <c r="E126" s="10">
        <v>292</v>
      </c>
      <c r="F126" s="10">
        <v>4</v>
      </c>
      <c r="G126" s="10">
        <v>1</v>
      </c>
      <c r="H126" s="5" t="str">
        <f t="shared" si="3"/>
        <v>det_292</v>
      </c>
      <c r="I126" s="5" t="str">
        <f t="shared" si="4"/>
        <v>W:\Performance Measurement\1. Freeway\1. raw data\2015\data files\det_292.txt</v>
      </c>
      <c r="J126" s="5" t="str">
        <f t="shared" si="5"/>
        <v>W:\Performance Measurement\1. Freeway\1. raw data\2015\data files\det_292.xlsx</v>
      </c>
      <c r="K126" s="5"/>
      <c r="M126" s="113" t="s">
        <v>65</v>
      </c>
      <c r="N126" s="10">
        <v>292</v>
      </c>
      <c r="O126" s="10">
        <v>4</v>
      </c>
      <c r="P126" s="10">
        <v>1</v>
      </c>
    </row>
    <row r="127" spans="4:16" x14ac:dyDescent="0.25">
      <c r="D127" s="109">
        <v>123</v>
      </c>
      <c r="E127" s="10">
        <v>621</v>
      </c>
      <c r="F127" s="10">
        <v>4</v>
      </c>
      <c r="G127" s="10">
        <v>0</v>
      </c>
      <c r="H127" s="5" t="str">
        <f t="shared" si="3"/>
        <v>det_621</v>
      </c>
      <c r="I127" s="5" t="str">
        <f t="shared" si="4"/>
        <v>W:\Performance Measurement\1. Freeway\1. raw data\2015\data files\det_621.txt</v>
      </c>
      <c r="J127" s="5" t="str">
        <f t="shared" si="5"/>
        <v>W:\Performance Measurement\1. Freeway\1. raw data\2015\data files\det_621.xlsx</v>
      </c>
      <c r="K127" s="5"/>
      <c r="M127" s="113" t="s">
        <v>65</v>
      </c>
      <c r="N127" s="10">
        <v>621</v>
      </c>
      <c r="O127" s="10">
        <v>4</v>
      </c>
      <c r="P127" s="10">
        <v>0</v>
      </c>
    </row>
    <row r="128" spans="4:16" x14ac:dyDescent="0.25">
      <c r="D128" s="109">
        <v>124</v>
      </c>
      <c r="E128" s="10">
        <v>622</v>
      </c>
      <c r="F128" s="10">
        <v>4</v>
      </c>
      <c r="G128" s="10">
        <v>0</v>
      </c>
      <c r="H128" s="5" t="str">
        <f t="shared" si="3"/>
        <v>det_622</v>
      </c>
      <c r="I128" s="5" t="str">
        <f t="shared" si="4"/>
        <v>W:\Performance Measurement\1. Freeway\1. raw data\2015\data files\det_622.txt</v>
      </c>
      <c r="J128" s="5" t="str">
        <f t="shared" si="5"/>
        <v>W:\Performance Measurement\1. Freeway\1. raw data\2015\data files\det_622.xlsx</v>
      </c>
      <c r="K128" s="5"/>
      <c r="M128" s="113" t="s">
        <v>65</v>
      </c>
      <c r="N128" s="10">
        <v>622</v>
      </c>
      <c r="O128" s="10">
        <v>4</v>
      </c>
      <c r="P128" s="10">
        <v>0</v>
      </c>
    </row>
    <row r="129" spans="4:16" x14ac:dyDescent="0.25">
      <c r="D129" s="109">
        <v>125</v>
      </c>
      <c r="E129" s="10">
        <v>623</v>
      </c>
      <c r="F129" s="10">
        <v>4</v>
      </c>
      <c r="G129" s="10">
        <v>0</v>
      </c>
      <c r="H129" s="5" t="str">
        <f t="shared" si="3"/>
        <v>det_623</v>
      </c>
      <c r="I129" s="5" t="str">
        <f t="shared" si="4"/>
        <v>W:\Performance Measurement\1. Freeway\1. raw data\2015\data files\det_623.txt</v>
      </c>
      <c r="J129" s="5" t="str">
        <f t="shared" si="5"/>
        <v>W:\Performance Measurement\1. Freeway\1. raw data\2015\data files\det_623.xlsx</v>
      </c>
      <c r="K129" s="5"/>
      <c r="M129" s="113" t="s">
        <v>65</v>
      </c>
      <c r="N129" s="10">
        <v>623</v>
      </c>
      <c r="O129" s="10">
        <v>4</v>
      </c>
      <c r="P129" s="10">
        <v>0</v>
      </c>
    </row>
    <row r="130" spans="4:16" x14ac:dyDescent="0.25">
      <c r="D130" s="109">
        <v>126</v>
      </c>
      <c r="E130" s="10">
        <v>229</v>
      </c>
      <c r="F130" s="10">
        <v>2</v>
      </c>
      <c r="G130" s="10">
        <v>1</v>
      </c>
      <c r="H130" s="5" t="str">
        <f t="shared" si="3"/>
        <v>det_229</v>
      </c>
      <c r="I130" s="5" t="str">
        <f t="shared" si="4"/>
        <v>W:\Performance Measurement\1. Freeway\1. raw data\2015\data files\det_229.txt</v>
      </c>
      <c r="J130" s="5" t="str">
        <f t="shared" si="5"/>
        <v>W:\Performance Measurement\1. Freeway\1. raw data\2015\data files\det_229.xlsx</v>
      </c>
      <c r="K130" s="5"/>
      <c r="M130" s="113" t="s">
        <v>66</v>
      </c>
      <c r="N130" s="10">
        <v>229</v>
      </c>
      <c r="O130" s="10">
        <v>2</v>
      </c>
      <c r="P130" s="10">
        <v>1</v>
      </c>
    </row>
    <row r="131" spans="4:16" x14ac:dyDescent="0.25">
      <c r="D131" s="109">
        <v>127</v>
      </c>
      <c r="E131" s="112">
        <v>230</v>
      </c>
      <c r="F131" s="112">
        <v>4</v>
      </c>
      <c r="G131" s="112">
        <v>1</v>
      </c>
      <c r="H131" s="5" t="str">
        <f t="shared" si="3"/>
        <v>det_230</v>
      </c>
      <c r="I131" s="5" t="str">
        <f t="shared" si="4"/>
        <v>W:\Performance Measurement\1. Freeway\1. raw data\2015\data files\det_230.txt</v>
      </c>
      <c r="J131" s="5" t="str">
        <f t="shared" si="5"/>
        <v>W:\Performance Measurement\1. Freeway\1. raw data\2015\data files\det_230.xlsx</v>
      </c>
      <c r="K131" s="5"/>
      <c r="M131" s="113" t="s">
        <v>66</v>
      </c>
      <c r="N131" s="112">
        <v>230</v>
      </c>
      <c r="O131" s="112">
        <v>4</v>
      </c>
      <c r="P131" s="112">
        <v>1</v>
      </c>
    </row>
    <row r="132" spans="4:16" x14ac:dyDescent="0.25">
      <c r="D132" s="109">
        <v>128</v>
      </c>
      <c r="E132" s="10">
        <v>233</v>
      </c>
      <c r="F132" s="10">
        <v>3</v>
      </c>
      <c r="G132" s="10">
        <v>1</v>
      </c>
      <c r="H132" s="5" t="str">
        <f t="shared" si="3"/>
        <v>det_233</v>
      </c>
      <c r="I132" s="5" t="str">
        <f t="shared" si="4"/>
        <v>W:\Performance Measurement\1. Freeway\1. raw data\2015\data files\det_233.txt</v>
      </c>
      <c r="J132" s="5" t="str">
        <f t="shared" si="5"/>
        <v>W:\Performance Measurement\1. Freeway\1. raw data\2015\data files\det_233.xlsx</v>
      </c>
      <c r="K132" s="5"/>
      <c r="M132" s="113" t="s">
        <v>66</v>
      </c>
      <c r="N132" s="10">
        <v>233</v>
      </c>
      <c r="O132" s="10">
        <v>3</v>
      </c>
      <c r="P132" s="10">
        <v>1</v>
      </c>
    </row>
    <row r="133" spans="4:16" x14ac:dyDescent="0.25">
      <c r="D133" s="109">
        <v>129</v>
      </c>
      <c r="E133" s="10">
        <v>235</v>
      </c>
      <c r="F133" s="10">
        <v>5</v>
      </c>
      <c r="G133" s="10">
        <v>1</v>
      </c>
      <c r="H133" s="5" t="str">
        <f t="shared" ref="H133:H196" si="6">"det_"&amp;E133&amp;""</f>
        <v>det_235</v>
      </c>
      <c r="I133" s="5" t="str">
        <f t="shared" ref="I133:I196" si="7">$B$5&amp;"\"&amp;H133&amp;".txt"</f>
        <v>W:\Performance Measurement\1. Freeway\1. raw data\2015\data files\det_235.txt</v>
      </c>
      <c r="J133" s="5" t="str">
        <f t="shared" ref="J133:J196" si="8">$B$5&amp;"\"&amp;H133&amp;".xlsx"</f>
        <v>W:\Performance Measurement\1. Freeway\1. raw data\2015\data files\det_235.xlsx</v>
      </c>
      <c r="K133" s="5"/>
      <c r="M133" s="113" t="s">
        <v>66</v>
      </c>
      <c r="N133" s="10">
        <v>235</v>
      </c>
      <c r="O133" s="10">
        <v>5</v>
      </c>
      <c r="P133" s="10">
        <v>1</v>
      </c>
    </row>
    <row r="134" spans="4:16" x14ac:dyDescent="0.25">
      <c r="D134" s="109">
        <v>130</v>
      </c>
      <c r="E134" s="10">
        <v>237</v>
      </c>
      <c r="F134" s="10">
        <v>3</v>
      </c>
      <c r="G134" s="10">
        <v>1</v>
      </c>
      <c r="H134" s="5" t="str">
        <f t="shared" si="6"/>
        <v>det_237</v>
      </c>
      <c r="I134" s="5" t="str">
        <f t="shared" si="7"/>
        <v>W:\Performance Measurement\1. Freeway\1. raw data\2015\data files\det_237.txt</v>
      </c>
      <c r="J134" s="5" t="str">
        <f t="shared" si="8"/>
        <v>W:\Performance Measurement\1. Freeway\1. raw data\2015\data files\det_237.xlsx</v>
      </c>
      <c r="K134" s="5"/>
      <c r="M134" s="113" t="s">
        <v>66</v>
      </c>
      <c r="N134" s="10">
        <v>237</v>
      </c>
      <c r="O134" s="10">
        <v>3</v>
      </c>
      <c r="P134" s="10">
        <v>1</v>
      </c>
    </row>
    <row r="135" spans="4:16" x14ac:dyDescent="0.25">
      <c r="D135" s="109">
        <v>131</v>
      </c>
      <c r="E135" s="10">
        <v>239</v>
      </c>
      <c r="F135" s="10">
        <v>4</v>
      </c>
      <c r="G135" s="10">
        <v>1</v>
      </c>
      <c r="H135" s="5" t="str">
        <f t="shared" si="6"/>
        <v>det_239</v>
      </c>
      <c r="I135" s="5" t="str">
        <f t="shared" si="7"/>
        <v>W:\Performance Measurement\1. Freeway\1. raw data\2015\data files\det_239.txt</v>
      </c>
      <c r="J135" s="5" t="str">
        <f t="shared" si="8"/>
        <v>W:\Performance Measurement\1. Freeway\1. raw data\2015\data files\det_239.xlsx</v>
      </c>
      <c r="K135" s="5"/>
      <c r="M135" s="113" t="s">
        <v>66</v>
      </c>
      <c r="N135" s="10">
        <v>239</v>
      </c>
      <c r="O135" s="10">
        <v>4</v>
      </c>
      <c r="P135" s="10">
        <v>1</v>
      </c>
    </row>
    <row r="136" spans="4:16" x14ac:dyDescent="0.25">
      <c r="D136" s="109">
        <v>132</v>
      </c>
      <c r="E136" s="10">
        <v>241</v>
      </c>
      <c r="F136" s="10">
        <v>3</v>
      </c>
      <c r="G136" s="10">
        <v>1</v>
      </c>
      <c r="H136" s="5" t="str">
        <f t="shared" si="6"/>
        <v>det_241</v>
      </c>
      <c r="I136" s="5" t="str">
        <f t="shared" si="7"/>
        <v>W:\Performance Measurement\1. Freeway\1. raw data\2015\data files\det_241.txt</v>
      </c>
      <c r="J136" s="5" t="str">
        <f t="shared" si="8"/>
        <v>W:\Performance Measurement\1. Freeway\1. raw data\2015\data files\det_241.xlsx</v>
      </c>
      <c r="K136" s="5"/>
      <c r="M136" s="113" t="s">
        <v>66</v>
      </c>
      <c r="N136" s="10">
        <v>241</v>
      </c>
      <c r="O136" s="10">
        <v>3</v>
      </c>
      <c r="P136" s="10">
        <v>1</v>
      </c>
    </row>
    <row r="137" spans="4:16" x14ac:dyDescent="0.25">
      <c r="D137" s="109">
        <v>133</v>
      </c>
      <c r="E137" s="10">
        <v>243</v>
      </c>
      <c r="F137" s="10">
        <v>4</v>
      </c>
      <c r="G137" s="10">
        <v>1</v>
      </c>
      <c r="H137" s="5" t="str">
        <f t="shared" si="6"/>
        <v>det_243</v>
      </c>
      <c r="I137" s="5" t="str">
        <f t="shared" si="7"/>
        <v>W:\Performance Measurement\1. Freeway\1. raw data\2015\data files\det_243.txt</v>
      </c>
      <c r="J137" s="5" t="str">
        <f t="shared" si="8"/>
        <v>W:\Performance Measurement\1. Freeway\1. raw data\2015\data files\det_243.xlsx</v>
      </c>
      <c r="K137" s="5"/>
      <c r="M137" s="113" t="s">
        <v>66</v>
      </c>
      <c r="N137" s="10">
        <v>243</v>
      </c>
      <c r="O137" s="10">
        <v>4</v>
      </c>
      <c r="P137" s="10">
        <v>1</v>
      </c>
    </row>
    <row r="138" spans="4:16" x14ac:dyDescent="0.25">
      <c r="D138" s="109">
        <v>134</v>
      </c>
      <c r="E138" s="10">
        <v>245</v>
      </c>
      <c r="F138" s="10">
        <v>4</v>
      </c>
      <c r="G138" s="10">
        <v>1</v>
      </c>
      <c r="H138" s="5" t="str">
        <f t="shared" si="6"/>
        <v>det_245</v>
      </c>
      <c r="I138" s="5" t="str">
        <f t="shared" si="7"/>
        <v>W:\Performance Measurement\1. Freeway\1. raw data\2015\data files\det_245.txt</v>
      </c>
      <c r="J138" s="5" t="str">
        <f t="shared" si="8"/>
        <v>W:\Performance Measurement\1. Freeway\1. raw data\2015\data files\det_245.xlsx</v>
      </c>
      <c r="K138" s="5"/>
      <c r="M138" s="113" t="s">
        <v>66</v>
      </c>
      <c r="N138" s="10">
        <v>245</v>
      </c>
      <c r="O138" s="10">
        <v>4</v>
      </c>
      <c r="P138" s="10">
        <v>1</v>
      </c>
    </row>
    <row r="139" spans="4:16" x14ac:dyDescent="0.25">
      <c r="D139" s="109">
        <v>135</v>
      </c>
      <c r="E139" s="10">
        <v>246</v>
      </c>
      <c r="F139" s="10">
        <v>5</v>
      </c>
      <c r="G139" s="10">
        <v>1</v>
      </c>
      <c r="H139" s="5" t="str">
        <f t="shared" si="6"/>
        <v>det_246</v>
      </c>
      <c r="I139" s="5" t="str">
        <f t="shared" si="7"/>
        <v>W:\Performance Measurement\1. Freeway\1. raw data\2015\data files\det_246.txt</v>
      </c>
      <c r="J139" s="5" t="str">
        <f t="shared" si="8"/>
        <v>W:\Performance Measurement\1. Freeway\1. raw data\2015\data files\det_246.xlsx</v>
      </c>
      <c r="K139" s="5"/>
      <c r="M139" s="113" t="s">
        <v>66</v>
      </c>
      <c r="N139" s="10">
        <v>246</v>
      </c>
      <c r="O139" s="10">
        <v>5</v>
      </c>
      <c r="P139" s="10">
        <v>1</v>
      </c>
    </row>
    <row r="140" spans="4:16" x14ac:dyDescent="0.25">
      <c r="D140" s="109">
        <v>136</v>
      </c>
      <c r="E140" s="10">
        <v>248</v>
      </c>
      <c r="F140" s="10">
        <v>4</v>
      </c>
      <c r="G140" s="10">
        <v>1</v>
      </c>
      <c r="H140" s="5" t="str">
        <f t="shared" si="6"/>
        <v>det_248</v>
      </c>
      <c r="I140" s="5" t="str">
        <f t="shared" si="7"/>
        <v>W:\Performance Measurement\1. Freeway\1. raw data\2015\data files\det_248.txt</v>
      </c>
      <c r="J140" s="5" t="str">
        <f t="shared" si="8"/>
        <v>W:\Performance Measurement\1. Freeway\1. raw data\2015\data files\det_248.xlsx</v>
      </c>
      <c r="K140" s="5"/>
      <c r="M140" s="113" t="s">
        <v>66</v>
      </c>
      <c r="N140" s="10">
        <v>248</v>
      </c>
      <c r="O140" s="10">
        <v>4</v>
      </c>
      <c r="P140" s="10">
        <v>1</v>
      </c>
    </row>
    <row r="141" spans="4:16" x14ac:dyDescent="0.25">
      <c r="D141" s="109">
        <v>137</v>
      </c>
      <c r="E141" s="10">
        <v>250</v>
      </c>
      <c r="F141" s="10">
        <v>5</v>
      </c>
      <c r="G141" s="10">
        <v>1</v>
      </c>
      <c r="H141" s="5" t="str">
        <f t="shared" si="6"/>
        <v>det_250</v>
      </c>
      <c r="I141" s="5" t="str">
        <f t="shared" si="7"/>
        <v>W:\Performance Measurement\1. Freeway\1. raw data\2015\data files\det_250.txt</v>
      </c>
      <c r="J141" s="5" t="str">
        <f t="shared" si="8"/>
        <v>W:\Performance Measurement\1. Freeway\1. raw data\2015\data files\det_250.xlsx</v>
      </c>
      <c r="K141" s="5"/>
      <c r="M141" s="113" t="s">
        <v>66</v>
      </c>
      <c r="N141" s="10">
        <v>250</v>
      </c>
      <c r="O141" s="10">
        <v>5</v>
      </c>
      <c r="P141" s="10">
        <v>1</v>
      </c>
    </row>
    <row r="142" spans="4:16" x14ac:dyDescent="0.25">
      <c r="D142" s="109">
        <v>138</v>
      </c>
      <c r="E142" s="10">
        <v>252</v>
      </c>
      <c r="F142" s="10">
        <v>4</v>
      </c>
      <c r="G142" s="10">
        <v>1</v>
      </c>
      <c r="H142" s="5" t="str">
        <f t="shared" si="6"/>
        <v>det_252</v>
      </c>
      <c r="I142" s="5" t="str">
        <f t="shared" si="7"/>
        <v>W:\Performance Measurement\1. Freeway\1. raw data\2015\data files\det_252.txt</v>
      </c>
      <c r="J142" s="5" t="str">
        <f t="shared" si="8"/>
        <v>W:\Performance Measurement\1. Freeway\1. raw data\2015\data files\det_252.xlsx</v>
      </c>
      <c r="K142" s="5"/>
      <c r="M142" s="113" t="s">
        <v>66</v>
      </c>
      <c r="N142" s="10">
        <v>252</v>
      </c>
      <c r="O142" s="10">
        <v>4</v>
      </c>
      <c r="P142" s="10">
        <v>1</v>
      </c>
    </row>
    <row r="143" spans="4:16" x14ac:dyDescent="0.25">
      <c r="D143" s="109">
        <v>139</v>
      </c>
      <c r="E143" s="10">
        <v>254</v>
      </c>
      <c r="F143" s="10">
        <v>5</v>
      </c>
      <c r="G143" s="10">
        <v>1</v>
      </c>
      <c r="H143" s="5" t="str">
        <f t="shared" si="6"/>
        <v>det_254</v>
      </c>
      <c r="I143" s="5" t="str">
        <f t="shared" si="7"/>
        <v>W:\Performance Measurement\1. Freeway\1. raw data\2015\data files\det_254.txt</v>
      </c>
      <c r="J143" s="5" t="str">
        <f t="shared" si="8"/>
        <v>W:\Performance Measurement\1. Freeway\1. raw data\2015\data files\det_254.xlsx</v>
      </c>
      <c r="K143" s="5"/>
      <c r="M143" s="113" t="s">
        <v>66</v>
      </c>
      <c r="N143" s="10">
        <v>254</v>
      </c>
      <c r="O143" s="10">
        <v>5</v>
      </c>
      <c r="P143" s="10">
        <v>1</v>
      </c>
    </row>
    <row r="144" spans="4:16" x14ac:dyDescent="0.25">
      <c r="D144" s="109">
        <v>140</v>
      </c>
      <c r="E144" s="10">
        <v>272</v>
      </c>
      <c r="F144" s="10">
        <v>2</v>
      </c>
      <c r="G144" s="10">
        <v>1</v>
      </c>
      <c r="H144" s="5" t="str">
        <f t="shared" si="6"/>
        <v>det_272</v>
      </c>
      <c r="I144" s="5" t="str">
        <f t="shared" si="7"/>
        <v>W:\Performance Measurement\1. Freeway\1. raw data\2015\data files\det_272.txt</v>
      </c>
      <c r="J144" s="5" t="str">
        <f t="shared" si="8"/>
        <v>W:\Performance Measurement\1. Freeway\1. raw data\2015\data files\det_272.xlsx</v>
      </c>
      <c r="K144" s="5"/>
      <c r="M144" s="113" t="s">
        <v>66</v>
      </c>
      <c r="N144" s="10">
        <v>272</v>
      </c>
      <c r="O144" s="10">
        <v>2</v>
      </c>
      <c r="P144" s="10">
        <v>1</v>
      </c>
    </row>
    <row r="145" spans="4:16" x14ac:dyDescent="0.25">
      <c r="D145" s="109">
        <v>141</v>
      </c>
      <c r="E145" s="10">
        <v>275</v>
      </c>
      <c r="F145" s="10">
        <v>4</v>
      </c>
      <c r="G145" s="10">
        <v>1</v>
      </c>
      <c r="H145" s="5" t="str">
        <f t="shared" si="6"/>
        <v>det_275</v>
      </c>
      <c r="I145" s="5" t="str">
        <f t="shared" si="7"/>
        <v>W:\Performance Measurement\1. Freeway\1. raw data\2015\data files\det_275.txt</v>
      </c>
      <c r="J145" s="5" t="str">
        <f t="shared" si="8"/>
        <v>W:\Performance Measurement\1. Freeway\1. raw data\2015\data files\det_275.xlsx</v>
      </c>
      <c r="K145" s="5"/>
      <c r="M145" s="113" t="s">
        <v>66</v>
      </c>
      <c r="N145" s="10">
        <v>275</v>
      </c>
      <c r="O145" s="10">
        <v>4</v>
      </c>
      <c r="P145" s="10">
        <v>1</v>
      </c>
    </row>
    <row r="146" spans="4:16" x14ac:dyDescent="0.25">
      <c r="D146" s="109">
        <v>142</v>
      </c>
      <c r="E146" s="10">
        <v>278</v>
      </c>
      <c r="F146" s="10">
        <v>4</v>
      </c>
      <c r="G146" s="10">
        <v>1</v>
      </c>
      <c r="H146" s="5" t="str">
        <f t="shared" si="6"/>
        <v>det_278</v>
      </c>
      <c r="I146" s="5" t="str">
        <f t="shared" si="7"/>
        <v>W:\Performance Measurement\1. Freeway\1. raw data\2015\data files\det_278.txt</v>
      </c>
      <c r="J146" s="5" t="str">
        <f t="shared" si="8"/>
        <v>W:\Performance Measurement\1. Freeway\1. raw data\2015\data files\det_278.xlsx</v>
      </c>
      <c r="K146" s="5"/>
      <c r="M146" s="113" t="s">
        <v>66</v>
      </c>
      <c r="N146" s="10">
        <v>278</v>
      </c>
      <c r="O146" s="10">
        <v>4</v>
      </c>
      <c r="P146" s="10">
        <v>1</v>
      </c>
    </row>
    <row r="147" spans="4:16" x14ac:dyDescent="0.25">
      <c r="D147" s="109">
        <v>143</v>
      </c>
      <c r="E147" s="10">
        <v>281</v>
      </c>
      <c r="F147" s="10">
        <v>4</v>
      </c>
      <c r="G147" s="10">
        <v>1</v>
      </c>
      <c r="H147" s="5" t="str">
        <f t="shared" si="6"/>
        <v>det_281</v>
      </c>
      <c r="I147" s="5" t="str">
        <f t="shared" si="7"/>
        <v>W:\Performance Measurement\1. Freeway\1. raw data\2015\data files\det_281.txt</v>
      </c>
      <c r="J147" s="5" t="str">
        <f t="shared" si="8"/>
        <v>W:\Performance Measurement\1. Freeway\1. raw data\2015\data files\det_281.xlsx</v>
      </c>
      <c r="K147" s="5"/>
      <c r="M147" s="113" t="s">
        <v>66</v>
      </c>
      <c r="N147" s="10">
        <v>281</v>
      </c>
      <c r="O147" s="10">
        <v>4</v>
      </c>
      <c r="P147" s="10">
        <v>1</v>
      </c>
    </row>
    <row r="148" spans="4:16" x14ac:dyDescent="0.25">
      <c r="D148" s="109">
        <v>144</v>
      </c>
      <c r="E148" s="10">
        <v>284</v>
      </c>
      <c r="F148" s="10">
        <v>3</v>
      </c>
      <c r="G148" s="10">
        <v>1</v>
      </c>
      <c r="H148" s="5" t="str">
        <f t="shared" si="6"/>
        <v>det_284</v>
      </c>
      <c r="I148" s="5" t="str">
        <f t="shared" si="7"/>
        <v>W:\Performance Measurement\1. Freeway\1. raw data\2015\data files\det_284.txt</v>
      </c>
      <c r="J148" s="5" t="str">
        <f t="shared" si="8"/>
        <v>W:\Performance Measurement\1. Freeway\1. raw data\2015\data files\det_284.xlsx</v>
      </c>
      <c r="K148" s="5"/>
      <c r="M148" s="113" t="s">
        <v>66</v>
      </c>
      <c r="N148" s="10">
        <v>284</v>
      </c>
      <c r="O148" s="10">
        <v>3</v>
      </c>
      <c r="P148" s="10">
        <v>1</v>
      </c>
    </row>
    <row r="149" spans="4:16" x14ac:dyDescent="0.25">
      <c r="D149" s="109">
        <v>145</v>
      </c>
      <c r="E149" s="10">
        <v>286</v>
      </c>
      <c r="F149" s="10">
        <v>3</v>
      </c>
      <c r="G149" s="10">
        <v>1</v>
      </c>
      <c r="H149" s="5" t="str">
        <f t="shared" si="6"/>
        <v>det_286</v>
      </c>
      <c r="I149" s="5" t="str">
        <f t="shared" si="7"/>
        <v>W:\Performance Measurement\1. Freeway\1. raw data\2015\data files\det_286.txt</v>
      </c>
      <c r="J149" s="5" t="str">
        <f t="shared" si="8"/>
        <v>W:\Performance Measurement\1. Freeway\1. raw data\2015\data files\det_286.xlsx</v>
      </c>
      <c r="K149" s="5"/>
      <c r="M149" s="113" t="s">
        <v>66</v>
      </c>
      <c r="N149" s="10">
        <v>286</v>
      </c>
      <c r="O149" s="10">
        <v>3</v>
      </c>
      <c r="P149" s="10">
        <v>1</v>
      </c>
    </row>
    <row r="150" spans="4:16" x14ac:dyDescent="0.25">
      <c r="D150" s="109">
        <v>146</v>
      </c>
      <c r="E150" s="10">
        <v>288</v>
      </c>
      <c r="F150" s="10">
        <v>3</v>
      </c>
      <c r="G150" s="10">
        <v>1</v>
      </c>
      <c r="H150" s="5" t="str">
        <f t="shared" si="6"/>
        <v>det_288</v>
      </c>
      <c r="I150" s="5" t="str">
        <f t="shared" si="7"/>
        <v>W:\Performance Measurement\1. Freeway\1. raw data\2015\data files\det_288.txt</v>
      </c>
      <c r="J150" s="5" t="str">
        <f t="shared" si="8"/>
        <v>W:\Performance Measurement\1. Freeway\1. raw data\2015\data files\det_288.xlsx</v>
      </c>
      <c r="K150" s="5"/>
      <c r="M150" s="113" t="s">
        <v>66</v>
      </c>
      <c r="N150" s="10">
        <v>288</v>
      </c>
      <c r="O150" s="10">
        <v>3</v>
      </c>
      <c r="P150" s="10">
        <v>1</v>
      </c>
    </row>
    <row r="151" spans="4:16" x14ac:dyDescent="0.25">
      <c r="D151" s="109">
        <v>147</v>
      </c>
      <c r="E151" s="10">
        <v>225</v>
      </c>
      <c r="F151" s="10">
        <v>3</v>
      </c>
      <c r="G151" s="10">
        <v>1</v>
      </c>
      <c r="H151" s="5" t="str">
        <f t="shared" si="6"/>
        <v>det_225</v>
      </c>
      <c r="I151" s="5" t="str">
        <f t="shared" si="7"/>
        <v>W:\Performance Measurement\1. Freeway\1. raw data\2015\data files\det_225.txt</v>
      </c>
      <c r="J151" s="5" t="str">
        <f t="shared" si="8"/>
        <v>W:\Performance Measurement\1. Freeway\1. raw data\2015\data files\det_225.xlsx</v>
      </c>
      <c r="K151" s="5"/>
      <c r="M151" s="113" t="s">
        <v>66</v>
      </c>
      <c r="N151" s="10">
        <v>225</v>
      </c>
      <c r="O151" s="10">
        <v>3</v>
      </c>
      <c r="P151" s="10">
        <v>1</v>
      </c>
    </row>
    <row r="152" spans="4:16" x14ac:dyDescent="0.25">
      <c r="D152" s="109">
        <v>148</v>
      </c>
      <c r="E152" s="10">
        <v>223</v>
      </c>
      <c r="F152" s="10">
        <v>4</v>
      </c>
      <c r="G152" s="10">
        <v>1</v>
      </c>
      <c r="H152" s="5" t="str">
        <f t="shared" si="6"/>
        <v>det_223</v>
      </c>
      <c r="I152" s="5" t="str">
        <f t="shared" si="7"/>
        <v>W:\Performance Measurement\1. Freeway\1. raw data\2015\data files\det_223.txt</v>
      </c>
      <c r="J152" s="5" t="str">
        <f t="shared" si="8"/>
        <v>W:\Performance Measurement\1. Freeway\1. raw data\2015\data files\det_223.xlsx</v>
      </c>
      <c r="K152" s="5"/>
      <c r="M152" s="113" t="s">
        <v>66</v>
      </c>
      <c r="N152" s="10">
        <v>223</v>
      </c>
      <c r="O152" s="10">
        <v>4</v>
      </c>
      <c r="P152" s="10">
        <v>1</v>
      </c>
    </row>
    <row r="153" spans="4:16" x14ac:dyDescent="0.25">
      <c r="D153" s="109">
        <v>149</v>
      </c>
      <c r="E153" s="10">
        <v>220</v>
      </c>
      <c r="F153" s="10">
        <v>3</v>
      </c>
      <c r="G153" s="10">
        <v>1</v>
      </c>
      <c r="H153" s="5" t="str">
        <f t="shared" si="6"/>
        <v>det_220</v>
      </c>
      <c r="I153" s="5" t="str">
        <f t="shared" si="7"/>
        <v>W:\Performance Measurement\1. Freeway\1. raw data\2015\data files\det_220.txt</v>
      </c>
      <c r="J153" s="5" t="str">
        <f t="shared" si="8"/>
        <v>W:\Performance Measurement\1. Freeway\1. raw data\2015\data files\det_220.xlsx</v>
      </c>
      <c r="K153" s="5"/>
      <c r="M153" s="113" t="s">
        <v>66</v>
      </c>
      <c r="N153" s="10">
        <v>220</v>
      </c>
      <c r="O153" s="10">
        <v>3</v>
      </c>
      <c r="P153" s="10">
        <v>1</v>
      </c>
    </row>
    <row r="154" spans="4:16" x14ac:dyDescent="0.25">
      <c r="D154" s="109">
        <v>150</v>
      </c>
      <c r="E154" s="10">
        <v>217</v>
      </c>
      <c r="F154" s="10">
        <v>2</v>
      </c>
      <c r="G154" s="10">
        <v>1</v>
      </c>
      <c r="H154" s="5" t="str">
        <f t="shared" si="6"/>
        <v>det_217</v>
      </c>
      <c r="I154" s="5" t="str">
        <f t="shared" si="7"/>
        <v>W:\Performance Measurement\1. Freeway\1. raw data\2015\data files\det_217.txt</v>
      </c>
      <c r="J154" s="5" t="str">
        <f t="shared" si="8"/>
        <v>W:\Performance Measurement\1. Freeway\1. raw data\2015\data files\det_217.xlsx</v>
      </c>
      <c r="K154" s="5"/>
      <c r="M154" s="113" t="s">
        <v>66</v>
      </c>
      <c r="N154" s="10">
        <v>217</v>
      </c>
      <c r="O154" s="10">
        <v>2</v>
      </c>
      <c r="P154" s="10">
        <v>1</v>
      </c>
    </row>
    <row r="155" spans="4:16" x14ac:dyDescent="0.25">
      <c r="D155" s="109">
        <v>151</v>
      </c>
      <c r="E155" s="10">
        <v>427</v>
      </c>
      <c r="F155" s="10">
        <v>3</v>
      </c>
      <c r="G155" s="10">
        <v>1</v>
      </c>
      <c r="H155" s="5" t="str">
        <f t="shared" si="6"/>
        <v>det_427</v>
      </c>
      <c r="I155" s="5" t="str">
        <f t="shared" si="7"/>
        <v>W:\Performance Measurement\1. Freeway\1. raw data\2015\data files\det_427.txt</v>
      </c>
      <c r="J155" s="5" t="str">
        <f t="shared" si="8"/>
        <v>W:\Performance Measurement\1. Freeway\1. raw data\2015\data files\det_427.xlsx</v>
      </c>
      <c r="K155" s="5"/>
      <c r="M155" s="113" t="s">
        <v>67</v>
      </c>
      <c r="N155" s="10">
        <v>427</v>
      </c>
      <c r="O155" s="10">
        <v>3</v>
      </c>
      <c r="P155" s="10">
        <v>1</v>
      </c>
    </row>
    <row r="156" spans="4:16" x14ac:dyDescent="0.25">
      <c r="D156" s="109">
        <v>152</v>
      </c>
      <c r="E156" s="10">
        <v>428</v>
      </c>
      <c r="F156" s="10">
        <v>4</v>
      </c>
      <c r="G156" s="10">
        <v>1</v>
      </c>
      <c r="H156" s="5" t="str">
        <f t="shared" si="6"/>
        <v>det_428</v>
      </c>
      <c r="I156" s="5" t="str">
        <f t="shared" si="7"/>
        <v>W:\Performance Measurement\1. Freeway\1. raw data\2015\data files\det_428.txt</v>
      </c>
      <c r="J156" s="5" t="str">
        <f t="shared" si="8"/>
        <v>W:\Performance Measurement\1. Freeway\1. raw data\2015\data files\det_428.xlsx</v>
      </c>
      <c r="K156" s="5"/>
      <c r="M156" s="113" t="s">
        <v>67</v>
      </c>
      <c r="N156" s="10">
        <v>428</v>
      </c>
      <c r="O156" s="10">
        <v>4</v>
      </c>
      <c r="P156" s="10">
        <v>1</v>
      </c>
    </row>
    <row r="157" spans="4:16" x14ac:dyDescent="0.25">
      <c r="D157" s="109">
        <v>153</v>
      </c>
      <c r="E157" s="10">
        <v>432</v>
      </c>
      <c r="F157" s="10">
        <v>4</v>
      </c>
      <c r="G157" s="10">
        <v>1</v>
      </c>
      <c r="H157" s="5" t="str">
        <f t="shared" si="6"/>
        <v>det_432</v>
      </c>
      <c r="I157" s="5" t="str">
        <f t="shared" si="7"/>
        <v>W:\Performance Measurement\1. Freeway\1. raw data\2015\data files\det_432.txt</v>
      </c>
      <c r="J157" s="5" t="str">
        <f t="shared" si="8"/>
        <v>W:\Performance Measurement\1. Freeway\1. raw data\2015\data files\det_432.xlsx</v>
      </c>
      <c r="K157" s="5"/>
      <c r="M157" s="113" t="s">
        <v>67</v>
      </c>
      <c r="N157" s="10">
        <v>432</v>
      </c>
      <c r="O157" s="10">
        <v>4</v>
      </c>
      <c r="P157" s="10">
        <v>1</v>
      </c>
    </row>
    <row r="158" spans="4:16" x14ac:dyDescent="0.25">
      <c r="D158" s="109">
        <v>154</v>
      </c>
      <c r="E158" s="10">
        <v>435</v>
      </c>
      <c r="F158" s="10">
        <v>4</v>
      </c>
      <c r="G158" s="10">
        <v>1</v>
      </c>
      <c r="H158" s="5" t="str">
        <f t="shared" si="6"/>
        <v>det_435</v>
      </c>
      <c r="I158" s="5" t="str">
        <f t="shared" si="7"/>
        <v>W:\Performance Measurement\1. Freeway\1. raw data\2015\data files\det_435.txt</v>
      </c>
      <c r="J158" s="5" t="str">
        <f t="shared" si="8"/>
        <v>W:\Performance Measurement\1. Freeway\1. raw data\2015\data files\det_435.xlsx</v>
      </c>
      <c r="K158" s="5"/>
      <c r="M158" s="113" t="s">
        <v>67</v>
      </c>
      <c r="N158" s="10">
        <v>435</v>
      </c>
      <c r="O158" s="10">
        <v>4</v>
      </c>
      <c r="P158" s="10">
        <v>1</v>
      </c>
    </row>
    <row r="159" spans="4:16" x14ac:dyDescent="0.25">
      <c r="D159" s="109">
        <v>155</v>
      </c>
      <c r="E159" s="10">
        <v>438</v>
      </c>
      <c r="F159" s="10">
        <v>3</v>
      </c>
      <c r="G159" s="10">
        <v>1</v>
      </c>
      <c r="H159" s="5" t="str">
        <f t="shared" si="6"/>
        <v>det_438</v>
      </c>
      <c r="I159" s="5" t="str">
        <f t="shared" si="7"/>
        <v>W:\Performance Measurement\1. Freeway\1. raw data\2015\data files\det_438.txt</v>
      </c>
      <c r="J159" s="5" t="str">
        <f t="shared" si="8"/>
        <v>W:\Performance Measurement\1. Freeway\1. raw data\2015\data files\det_438.xlsx</v>
      </c>
      <c r="K159" s="5"/>
      <c r="M159" s="113" t="s">
        <v>67</v>
      </c>
      <c r="N159" s="10">
        <v>438</v>
      </c>
      <c r="O159" s="10">
        <v>3</v>
      </c>
      <c r="P159" s="10">
        <v>1</v>
      </c>
    </row>
    <row r="160" spans="4:16" x14ac:dyDescent="0.25">
      <c r="D160" s="109">
        <v>156</v>
      </c>
      <c r="E160" s="10">
        <v>439</v>
      </c>
      <c r="F160" s="10">
        <v>4</v>
      </c>
      <c r="G160" s="10">
        <v>1</v>
      </c>
      <c r="H160" s="5" t="str">
        <f t="shared" si="6"/>
        <v>det_439</v>
      </c>
      <c r="I160" s="5" t="str">
        <f t="shared" si="7"/>
        <v>W:\Performance Measurement\1. Freeway\1. raw data\2015\data files\det_439.txt</v>
      </c>
      <c r="J160" s="5" t="str">
        <f t="shared" si="8"/>
        <v>W:\Performance Measurement\1. Freeway\1. raw data\2015\data files\det_439.xlsx</v>
      </c>
      <c r="K160" s="5"/>
      <c r="M160" s="113" t="s">
        <v>67</v>
      </c>
      <c r="N160" s="10">
        <v>439</v>
      </c>
      <c r="O160" s="10">
        <v>4</v>
      </c>
      <c r="P160" s="10">
        <v>1</v>
      </c>
    </row>
    <row r="161" spans="4:16" x14ac:dyDescent="0.25">
      <c r="D161" s="109">
        <v>157</v>
      </c>
      <c r="E161" s="10">
        <v>494</v>
      </c>
      <c r="F161" s="10">
        <v>4</v>
      </c>
      <c r="G161" s="10">
        <v>1</v>
      </c>
      <c r="H161" s="5" t="str">
        <f t="shared" si="6"/>
        <v>det_494</v>
      </c>
      <c r="I161" s="5" t="str">
        <f t="shared" si="7"/>
        <v>W:\Performance Measurement\1. Freeway\1. raw data\2015\data files\det_494.txt</v>
      </c>
      <c r="J161" s="5" t="str">
        <f t="shared" si="8"/>
        <v>W:\Performance Measurement\1. Freeway\1. raw data\2015\data files\det_494.xlsx</v>
      </c>
      <c r="K161" s="5"/>
      <c r="M161" s="113" t="s">
        <v>67</v>
      </c>
      <c r="N161" s="10">
        <v>494</v>
      </c>
      <c r="O161" s="10">
        <v>4</v>
      </c>
      <c r="P161" s="10">
        <v>1</v>
      </c>
    </row>
    <row r="162" spans="4:16" x14ac:dyDescent="0.25">
      <c r="D162" s="109">
        <v>158</v>
      </c>
      <c r="E162" s="10">
        <v>497</v>
      </c>
      <c r="F162" s="10">
        <v>3</v>
      </c>
      <c r="G162" s="10">
        <v>1</v>
      </c>
      <c r="H162" s="5" t="str">
        <f t="shared" si="6"/>
        <v>det_497</v>
      </c>
      <c r="I162" s="5" t="str">
        <f t="shared" si="7"/>
        <v>W:\Performance Measurement\1. Freeway\1. raw data\2015\data files\det_497.txt</v>
      </c>
      <c r="J162" s="5" t="str">
        <f t="shared" si="8"/>
        <v>W:\Performance Measurement\1. Freeway\1. raw data\2015\data files\det_497.xlsx</v>
      </c>
      <c r="K162" s="5"/>
      <c r="M162" s="113" t="s">
        <v>67</v>
      </c>
      <c r="N162" s="10">
        <v>497</v>
      </c>
      <c r="O162" s="10">
        <v>3</v>
      </c>
      <c r="P162" s="10">
        <v>1</v>
      </c>
    </row>
    <row r="163" spans="4:16" x14ac:dyDescent="0.25">
      <c r="D163" s="109">
        <v>159</v>
      </c>
      <c r="E163" s="10">
        <v>500</v>
      </c>
      <c r="F163" s="10">
        <v>3</v>
      </c>
      <c r="G163" s="10">
        <v>1</v>
      </c>
      <c r="H163" s="5" t="str">
        <f t="shared" si="6"/>
        <v>det_500</v>
      </c>
      <c r="I163" s="5" t="str">
        <f t="shared" si="7"/>
        <v>W:\Performance Measurement\1. Freeway\1. raw data\2015\data files\det_500.txt</v>
      </c>
      <c r="J163" s="5" t="str">
        <f t="shared" si="8"/>
        <v>W:\Performance Measurement\1. Freeway\1. raw data\2015\data files\det_500.xlsx</v>
      </c>
      <c r="K163" s="5"/>
      <c r="M163" s="113" t="s">
        <v>67</v>
      </c>
      <c r="N163" s="10">
        <v>500</v>
      </c>
      <c r="O163" s="10">
        <v>3</v>
      </c>
      <c r="P163" s="10">
        <v>1</v>
      </c>
    </row>
    <row r="164" spans="4:16" x14ac:dyDescent="0.25">
      <c r="D164" s="109">
        <v>160</v>
      </c>
      <c r="E164" s="10">
        <v>504</v>
      </c>
      <c r="F164" s="10">
        <v>3</v>
      </c>
      <c r="G164" s="10">
        <v>0</v>
      </c>
      <c r="H164" s="5" t="str">
        <f t="shared" si="6"/>
        <v>det_504</v>
      </c>
      <c r="I164" s="5" t="str">
        <f t="shared" si="7"/>
        <v>W:\Performance Measurement\1. Freeway\1. raw data\2015\data files\det_504.txt</v>
      </c>
      <c r="J164" s="5" t="str">
        <f t="shared" si="8"/>
        <v>W:\Performance Measurement\1. Freeway\1. raw data\2015\data files\det_504.xlsx</v>
      </c>
      <c r="K164" s="5"/>
      <c r="M164" s="113" t="s">
        <v>67</v>
      </c>
      <c r="N164" s="10">
        <v>504</v>
      </c>
      <c r="O164" s="10">
        <v>3</v>
      </c>
      <c r="P164" s="10">
        <v>0</v>
      </c>
    </row>
    <row r="165" spans="4:16" x14ac:dyDescent="0.25">
      <c r="D165" s="109">
        <v>161</v>
      </c>
      <c r="E165" s="10">
        <v>441</v>
      </c>
      <c r="F165" s="10">
        <v>3</v>
      </c>
      <c r="G165" s="10">
        <v>1</v>
      </c>
      <c r="H165" s="5" t="str">
        <f t="shared" si="6"/>
        <v>det_441</v>
      </c>
      <c r="I165" s="5" t="str">
        <f t="shared" si="7"/>
        <v>W:\Performance Measurement\1. Freeway\1. raw data\2015\data files\det_441.txt</v>
      </c>
      <c r="J165" s="5" t="str">
        <f t="shared" si="8"/>
        <v>W:\Performance Measurement\1. Freeway\1. raw data\2015\data files\det_441.xlsx</v>
      </c>
      <c r="K165" s="5"/>
      <c r="M165" s="113" t="s">
        <v>68</v>
      </c>
      <c r="N165" s="10">
        <v>441</v>
      </c>
      <c r="O165" s="10">
        <v>3</v>
      </c>
      <c r="P165" s="10">
        <v>1</v>
      </c>
    </row>
    <row r="166" spans="4:16" x14ac:dyDescent="0.25">
      <c r="D166" s="109">
        <v>162</v>
      </c>
      <c r="E166" s="10">
        <v>444</v>
      </c>
      <c r="F166" s="10">
        <v>5</v>
      </c>
      <c r="G166" s="10">
        <v>1</v>
      </c>
      <c r="H166" s="5" t="str">
        <f t="shared" si="6"/>
        <v>det_444</v>
      </c>
      <c r="I166" s="5" t="str">
        <f t="shared" si="7"/>
        <v>W:\Performance Measurement\1. Freeway\1. raw data\2015\data files\det_444.txt</v>
      </c>
      <c r="J166" s="5" t="str">
        <f t="shared" si="8"/>
        <v>W:\Performance Measurement\1. Freeway\1. raw data\2015\data files\det_444.xlsx</v>
      </c>
      <c r="K166" s="5"/>
      <c r="M166" s="113" t="s">
        <v>68</v>
      </c>
      <c r="N166" s="10">
        <v>444</v>
      </c>
      <c r="O166" s="10">
        <v>5</v>
      </c>
      <c r="P166" s="10">
        <v>1</v>
      </c>
    </row>
    <row r="167" spans="4:16" x14ac:dyDescent="0.25">
      <c r="D167" s="109">
        <v>163</v>
      </c>
      <c r="E167" s="10">
        <v>447</v>
      </c>
      <c r="F167" s="10">
        <v>5</v>
      </c>
      <c r="G167" s="10">
        <v>1</v>
      </c>
      <c r="H167" s="5" t="str">
        <f t="shared" si="6"/>
        <v>det_447</v>
      </c>
      <c r="I167" s="5" t="str">
        <f t="shared" si="7"/>
        <v>W:\Performance Measurement\1. Freeway\1. raw data\2015\data files\det_447.txt</v>
      </c>
      <c r="J167" s="5" t="str">
        <f t="shared" si="8"/>
        <v>W:\Performance Measurement\1. Freeway\1. raw data\2015\data files\det_447.xlsx</v>
      </c>
      <c r="K167" s="5"/>
      <c r="M167" s="113" t="s">
        <v>68</v>
      </c>
      <c r="N167" s="10">
        <v>447</v>
      </c>
      <c r="O167" s="10">
        <v>5</v>
      </c>
      <c r="P167" s="10">
        <v>1</v>
      </c>
    </row>
    <row r="168" spans="4:16" x14ac:dyDescent="0.25">
      <c r="D168" s="109">
        <v>164</v>
      </c>
      <c r="E168" s="10">
        <v>450</v>
      </c>
      <c r="F168" s="10">
        <v>5</v>
      </c>
      <c r="G168" s="10">
        <v>1</v>
      </c>
      <c r="H168" s="5" t="str">
        <f t="shared" si="6"/>
        <v>det_450</v>
      </c>
      <c r="I168" s="5" t="str">
        <f t="shared" si="7"/>
        <v>W:\Performance Measurement\1. Freeway\1. raw data\2015\data files\det_450.txt</v>
      </c>
      <c r="J168" s="5" t="str">
        <f t="shared" si="8"/>
        <v>W:\Performance Measurement\1. Freeway\1. raw data\2015\data files\det_450.xlsx</v>
      </c>
      <c r="K168" s="5"/>
      <c r="M168" s="113" t="s">
        <v>68</v>
      </c>
      <c r="N168" s="10">
        <v>450</v>
      </c>
      <c r="O168" s="10">
        <v>5</v>
      </c>
      <c r="P168" s="10">
        <v>1</v>
      </c>
    </row>
    <row r="169" spans="4:16" x14ac:dyDescent="0.25">
      <c r="D169" s="109">
        <v>165</v>
      </c>
      <c r="E169" s="10">
        <v>453</v>
      </c>
      <c r="F169" s="10">
        <v>5</v>
      </c>
      <c r="G169" s="10">
        <v>1</v>
      </c>
      <c r="H169" s="5" t="str">
        <f t="shared" si="6"/>
        <v>det_453</v>
      </c>
      <c r="I169" s="5" t="str">
        <f t="shared" si="7"/>
        <v>W:\Performance Measurement\1. Freeway\1. raw data\2015\data files\det_453.txt</v>
      </c>
      <c r="J169" s="5" t="str">
        <f t="shared" si="8"/>
        <v>W:\Performance Measurement\1. Freeway\1. raw data\2015\data files\det_453.xlsx</v>
      </c>
      <c r="K169" s="5"/>
      <c r="M169" s="113" t="s">
        <v>68</v>
      </c>
      <c r="N169" s="10">
        <v>453</v>
      </c>
      <c r="O169" s="10">
        <v>5</v>
      </c>
      <c r="P169" s="10">
        <v>1</v>
      </c>
    </row>
    <row r="170" spans="4:16" x14ac:dyDescent="0.25">
      <c r="D170" s="109">
        <v>166</v>
      </c>
      <c r="E170" s="10">
        <v>456</v>
      </c>
      <c r="F170" s="10">
        <v>5</v>
      </c>
      <c r="G170" s="10">
        <v>1</v>
      </c>
      <c r="H170" s="5" t="str">
        <f t="shared" si="6"/>
        <v>det_456</v>
      </c>
      <c r="I170" s="5" t="str">
        <f t="shared" si="7"/>
        <v>W:\Performance Measurement\1. Freeway\1. raw data\2015\data files\det_456.txt</v>
      </c>
      <c r="J170" s="5" t="str">
        <f t="shared" si="8"/>
        <v>W:\Performance Measurement\1. Freeway\1. raw data\2015\data files\det_456.xlsx</v>
      </c>
      <c r="K170" s="5"/>
      <c r="M170" s="113" t="s">
        <v>68</v>
      </c>
      <c r="N170" s="10">
        <v>456</v>
      </c>
      <c r="O170" s="10">
        <v>5</v>
      </c>
      <c r="P170" s="10">
        <v>1</v>
      </c>
    </row>
    <row r="171" spans="4:16" x14ac:dyDescent="0.25">
      <c r="D171" s="109">
        <v>167</v>
      </c>
      <c r="E171" s="10">
        <v>459</v>
      </c>
      <c r="F171" s="10">
        <v>5</v>
      </c>
      <c r="G171" s="10">
        <v>1</v>
      </c>
      <c r="H171" s="5" t="str">
        <f t="shared" si="6"/>
        <v>det_459</v>
      </c>
      <c r="I171" s="5" t="str">
        <f t="shared" si="7"/>
        <v>W:\Performance Measurement\1. Freeway\1. raw data\2015\data files\det_459.txt</v>
      </c>
      <c r="J171" s="5" t="str">
        <f t="shared" si="8"/>
        <v>W:\Performance Measurement\1. Freeway\1. raw data\2015\data files\det_459.xlsx</v>
      </c>
      <c r="K171" s="5"/>
      <c r="M171" s="113" t="s">
        <v>68</v>
      </c>
      <c r="N171" s="10">
        <v>459</v>
      </c>
      <c r="O171" s="10">
        <v>5</v>
      </c>
      <c r="P171" s="10">
        <v>1</v>
      </c>
    </row>
    <row r="172" spans="4:16" x14ac:dyDescent="0.25">
      <c r="D172" s="109">
        <v>168</v>
      </c>
      <c r="E172" s="10">
        <v>462</v>
      </c>
      <c r="F172" s="10">
        <v>5</v>
      </c>
      <c r="G172" s="10">
        <v>1</v>
      </c>
      <c r="H172" s="5" t="str">
        <f t="shared" si="6"/>
        <v>det_462</v>
      </c>
      <c r="I172" s="5" t="str">
        <f t="shared" si="7"/>
        <v>W:\Performance Measurement\1. Freeway\1. raw data\2015\data files\det_462.txt</v>
      </c>
      <c r="J172" s="5" t="str">
        <f t="shared" si="8"/>
        <v>W:\Performance Measurement\1. Freeway\1. raw data\2015\data files\det_462.xlsx</v>
      </c>
      <c r="K172" s="5"/>
      <c r="M172" s="113" t="s">
        <v>68</v>
      </c>
      <c r="N172" s="10">
        <v>462</v>
      </c>
      <c r="O172" s="10">
        <v>5</v>
      </c>
      <c r="P172" s="10">
        <v>1</v>
      </c>
    </row>
    <row r="173" spans="4:16" x14ac:dyDescent="0.25">
      <c r="D173" s="109">
        <v>169</v>
      </c>
      <c r="E173" s="10">
        <v>467</v>
      </c>
      <c r="F173" s="10">
        <v>5</v>
      </c>
      <c r="G173" s="10">
        <v>1</v>
      </c>
      <c r="H173" s="5" t="str">
        <f t="shared" si="6"/>
        <v>det_467</v>
      </c>
      <c r="I173" s="5" t="str">
        <f t="shared" si="7"/>
        <v>W:\Performance Measurement\1. Freeway\1. raw data\2015\data files\det_467.txt</v>
      </c>
      <c r="J173" s="5" t="str">
        <f t="shared" si="8"/>
        <v>W:\Performance Measurement\1. Freeway\1. raw data\2015\data files\det_467.xlsx</v>
      </c>
      <c r="K173" s="5"/>
      <c r="M173" s="113" t="s">
        <v>68</v>
      </c>
      <c r="N173" s="10">
        <v>467</v>
      </c>
      <c r="O173" s="10">
        <v>5</v>
      </c>
      <c r="P173" s="10">
        <v>1</v>
      </c>
    </row>
    <row r="174" spans="4:16" x14ac:dyDescent="0.25">
      <c r="D174" s="109">
        <v>170</v>
      </c>
      <c r="E174" s="10">
        <v>470</v>
      </c>
      <c r="F174" s="10">
        <v>5</v>
      </c>
      <c r="G174" s="10">
        <v>1</v>
      </c>
      <c r="H174" s="5" t="str">
        <f t="shared" si="6"/>
        <v>det_470</v>
      </c>
      <c r="I174" s="5" t="str">
        <f t="shared" si="7"/>
        <v>W:\Performance Measurement\1. Freeway\1. raw data\2015\data files\det_470.txt</v>
      </c>
      <c r="J174" s="5" t="str">
        <f t="shared" si="8"/>
        <v>W:\Performance Measurement\1. Freeway\1. raw data\2015\data files\det_470.xlsx</v>
      </c>
      <c r="K174" s="5"/>
      <c r="M174" s="113" t="s">
        <v>68</v>
      </c>
      <c r="N174" s="10">
        <v>470</v>
      </c>
      <c r="O174" s="10">
        <v>5</v>
      </c>
      <c r="P174" s="10">
        <v>1</v>
      </c>
    </row>
    <row r="175" spans="4:16" x14ac:dyDescent="0.25">
      <c r="D175" s="109">
        <v>171</v>
      </c>
      <c r="E175" s="10">
        <v>473</v>
      </c>
      <c r="F175" s="10">
        <v>5</v>
      </c>
      <c r="G175" s="10">
        <v>1</v>
      </c>
      <c r="H175" s="5" t="str">
        <f t="shared" si="6"/>
        <v>det_473</v>
      </c>
      <c r="I175" s="5" t="str">
        <f t="shared" si="7"/>
        <v>W:\Performance Measurement\1. Freeway\1. raw data\2015\data files\det_473.txt</v>
      </c>
      <c r="J175" s="5" t="str">
        <f t="shared" si="8"/>
        <v>W:\Performance Measurement\1. Freeway\1. raw data\2015\data files\det_473.xlsx</v>
      </c>
      <c r="K175" s="5"/>
      <c r="M175" s="113" t="s">
        <v>68</v>
      </c>
      <c r="N175" s="10">
        <v>473</v>
      </c>
      <c r="O175" s="10">
        <v>5</v>
      </c>
      <c r="P175" s="10">
        <v>1</v>
      </c>
    </row>
    <row r="176" spans="4:16" x14ac:dyDescent="0.25">
      <c r="D176" s="109">
        <v>172</v>
      </c>
      <c r="E176" s="10">
        <v>476</v>
      </c>
      <c r="F176" s="10">
        <v>5</v>
      </c>
      <c r="G176" s="10">
        <v>1</v>
      </c>
      <c r="H176" s="5" t="str">
        <f t="shared" si="6"/>
        <v>det_476</v>
      </c>
      <c r="I176" s="5" t="str">
        <f t="shared" si="7"/>
        <v>W:\Performance Measurement\1. Freeway\1. raw data\2015\data files\det_476.txt</v>
      </c>
      <c r="J176" s="5" t="str">
        <f t="shared" si="8"/>
        <v>W:\Performance Measurement\1. Freeway\1. raw data\2015\data files\det_476.xlsx</v>
      </c>
      <c r="K176" s="5"/>
      <c r="M176" s="113" t="s">
        <v>68</v>
      </c>
      <c r="N176" s="10">
        <v>476</v>
      </c>
      <c r="O176" s="10">
        <v>5</v>
      </c>
      <c r="P176" s="10">
        <v>1</v>
      </c>
    </row>
    <row r="177" spans="4:16" x14ac:dyDescent="0.25">
      <c r="D177" s="109">
        <v>173</v>
      </c>
      <c r="E177" s="10">
        <v>479</v>
      </c>
      <c r="F177" s="10">
        <v>5</v>
      </c>
      <c r="G177" s="10">
        <v>1</v>
      </c>
      <c r="H177" s="5" t="str">
        <f t="shared" si="6"/>
        <v>det_479</v>
      </c>
      <c r="I177" s="5" t="str">
        <f t="shared" si="7"/>
        <v>W:\Performance Measurement\1. Freeway\1. raw data\2015\data files\det_479.txt</v>
      </c>
      <c r="J177" s="5" t="str">
        <f t="shared" si="8"/>
        <v>W:\Performance Measurement\1. Freeway\1. raw data\2015\data files\det_479.xlsx</v>
      </c>
      <c r="K177" s="5"/>
      <c r="M177" s="113" t="s">
        <v>68</v>
      </c>
      <c r="N177" s="10">
        <v>479</v>
      </c>
      <c r="O177" s="10">
        <v>5</v>
      </c>
      <c r="P177" s="10">
        <v>1</v>
      </c>
    </row>
    <row r="178" spans="4:16" x14ac:dyDescent="0.25">
      <c r="D178" s="109">
        <v>174</v>
      </c>
      <c r="E178" s="10">
        <v>482</v>
      </c>
      <c r="F178" s="10">
        <v>5</v>
      </c>
      <c r="G178" s="10">
        <v>1</v>
      </c>
      <c r="H178" s="5" t="str">
        <f t="shared" si="6"/>
        <v>det_482</v>
      </c>
      <c r="I178" s="5" t="str">
        <f t="shared" si="7"/>
        <v>W:\Performance Measurement\1. Freeway\1. raw data\2015\data files\det_482.txt</v>
      </c>
      <c r="J178" s="5" t="str">
        <f t="shared" si="8"/>
        <v>W:\Performance Measurement\1. Freeway\1. raw data\2015\data files\det_482.xlsx</v>
      </c>
      <c r="K178" s="5"/>
      <c r="M178" s="113" t="s">
        <v>68</v>
      </c>
      <c r="N178" s="10">
        <v>482</v>
      </c>
      <c r="O178" s="10">
        <v>5</v>
      </c>
      <c r="P178" s="10">
        <v>1</v>
      </c>
    </row>
    <row r="179" spans="4:16" x14ac:dyDescent="0.25">
      <c r="D179" s="109">
        <v>175</v>
      </c>
      <c r="E179" s="10">
        <v>485</v>
      </c>
      <c r="F179" s="10">
        <v>5</v>
      </c>
      <c r="G179" s="10">
        <v>1</v>
      </c>
      <c r="H179" s="5" t="str">
        <f t="shared" si="6"/>
        <v>det_485</v>
      </c>
      <c r="I179" s="5" t="str">
        <f t="shared" si="7"/>
        <v>W:\Performance Measurement\1. Freeway\1. raw data\2015\data files\det_485.txt</v>
      </c>
      <c r="J179" s="5" t="str">
        <f t="shared" si="8"/>
        <v>W:\Performance Measurement\1. Freeway\1. raw data\2015\data files\det_485.xlsx</v>
      </c>
      <c r="K179" s="5"/>
      <c r="M179" s="113" t="s">
        <v>68</v>
      </c>
      <c r="N179" s="10">
        <v>485</v>
      </c>
      <c r="O179" s="10">
        <v>5</v>
      </c>
      <c r="P179" s="10">
        <v>1</v>
      </c>
    </row>
    <row r="180" spans="4:16" x14ac:dyDescent="0.25">
      <c r="D180" s="109">
        <v>176</v>
      </c>
      <c r="E180" s="10">
        <v>488</v>
      </c>
      <c r="F180" s="10">
        <v>3</v>
      </c>
      <c r="G180" s="10">
        <v>1</v>
      </c>
      <c r="H180" s="5" t="str">
        <f t="shared" si="6"/>
        <v>det_488</v>
      </c>
      <c r="I180" s="5" t="str">
        <f t="shared" si="7"/>
        <v>W:\Performance Measurement\1. Freeway\1. raw data\2015\data files\det_488.txt</v>
      </c>
      <c r="J180" s="5" t="str">
        <f t="shared" si="8"/>
        <v>W:\Performance Measurement\1. Freeway\1. raw data\2015\data files\det_488.xlsx</v>
      </c>
      <c r="K180" s="5"/>
      <c r="M180" s="113" t="s">
        <v>68</v>
      </c>
      <c r="N180" s="10">
        <v>488</v>
      </c>
      <c r="O180" s="10">
        <v>3</v>
      </c>
      <c r="P180" s="10">
        <v>1</v>
      </c>
    </row>
    <row r="181" spans="4:16" x14ac:dyDescent="0.25">
      <c r="D181" s="109">
        <v>177</v>
      </c>
      <c r="E181" s="10">
        <v>490</v>
      </c>
      <c r="F181" s="10">
        <v>3</v>
      </c>
      <c r="G181" s="10">
        <v>1</v>
      </c>
      <c r="H181" s="5" t="str">
        <f t="shared" si="6"/>
        <v>det_490</v>
      </c>
      <c r="I181" s="5" t="str">
        <f t="shared" si="7"/>
        <v>W:\Performance Measurement\1. Freeway\1. raw data\2015\data files\det_490.txt</v>
      </c>
      <c r="J181" s="5" t="str">
        <f t="shared" si="8"/>
        <v>W:\Performance Measurement\1. Freeway\1. raw data\2015\data files\det_490.xlsx</v>
      </c>
      <c r="K181" s="5"/>
      <c r="M181" s="113" t="s">
        <v>68</v>
      </c>
      <c r="N181" s="10">
        <v>490</v>
      </c>
      <c r="O181" s="10">
        <v>3</v>
      </c>
      <c r="P181" s="10">
        <v>1</v>
      </c>
    </row>
    <row r="182" spans="4:16" x14ac:dyDescent="0.25">
      <c r="D182" s="109">
        <v>178</v>
      </c>
      <c r="E182" s="10">
        <v>465</v>
      </c>
      <c r="F182" s="10">
        <v>5</v>
      </c>
      <c r="G182" s="10">
        <v>1</v>
      </c>
      <c r="H182" s="5" t="str">
        <f t="shared" si="6"/>
        <v>det_465</v>
      </c>
      <c r="I182" s="5" t="str">
        <f t="shared" si="7"/>
        <v>W:\Performance Measurement\1. Freeway\1. raw data\2015\data files\det_465.txt</v>
      </c>
      <c r="J182" s="5" t="str">
        <f t="shared" si="8"/>
        <v>W:\Performance Measurement\1. Freeway\1. raw data\2015\data files\det_465.xlsx</v>
      </c>
      <c r="K182" s="5"/>
      <c r="M182" s="113" t="s">
        <v>69</v>
      </c>
      <c r="N182" s="10">
        <v>465</v>
      </c>
      <c r="O182" s="10">
        <v>5</v>
      </c>
      <c r="P182" s="10">
        <v>1</v>
      </c>
    </row>
    <row r="183" spans="4:16" x14ac:dyDescent="0.25">
      <c r="D183" s="109">
        <v>179</v>
      </c>
      <c r="E183" s="10">
        <v>520</v>
      </c>
      <c r="F183" s="10">
        <v>5</v>
      </c>
      <c r="G183" s="10">
        <v>1</v>
      </c>
      <c r="H183" s="5" t="str">
        <f t="shared" si="6"/>
        <v>det_520</v>
      </c>
      <c r="I183" s="5" t="str">
        <f t="shared" si="7"/>
        <v>W:\Performance Measurement\1. Freeway\1. raw data\2015\data files\det_520.txt</v>
      </c>
      <c r="J183" s="5" t="str">
        <f t="shared" si="8"/>
        <v>W:\Performance Measurement\1. Freeway\1. raw data\2015\data files\det_520.xlsx</v>
      </c>
      <c r="K183" s="5"/>
      <c r="M183" s="113" t="s">
        <v>69</v>
      </c>
      <c r="N183" s="10">
        <v>520</v>
      </c>
      <c r="O183" s="10">
        <v>5</v>
      </c>
      <c r="P183" s="10">
        <v>1</v>
      </c>
    </row>
    <row r="184" spans="4:16" x14ac:dyDescent="0.25">
      <c r="D184" s="109">
        <v>180</v>
      </c>
      <c r="E184" s="10">
        <v>521</v>
      </c>
      <c r="F184" s="10">
        <v>5</v>
      </c>
      <c r="G184" s="10">
        <v>1</v>
      </c>
      <c r="H184" s="5" t="str">
        <f t="shared" si="6"/>
        <v>det_521</v>
      </c>
      <c r="I184" s="5" t="str">
        <f t="shared" si="7"/>
        <v>W:\Performance Measurement\1. Freeway\1. raw data\2015\data files\det_521.txt</v>
      </c>
      <c r="J184" s="5" t="str">
        <f t="shared" si="8"/>
        <v>W:\Performance Measurement\1. Freeway\1. raw data\2015\data files\det_521.xlsx</v>
      </c>
      <c r="K184" s="5"/>
      <c r="M184" s="113" t="s">
        <v>69</v>
      </c>
      <c r="N184" s="10">
        <v>521</v>
      </c>
      <c r="O184" s="10">
        <v>5</v>
      </c>
      <c r="P184" s="10">
        <v>1</v>
      </c>
    </row>
    <row r="185" spans="4:16" x14ac:dyDescent="0.25">
      <c r="D185" s="109">
        <v>181</v>
      </c>
      <c r="E185" s="10">
        <v>522</v>
      </c>
      <c r="F185" s="10">
        <v>5</v>
      </c>
      <c r="G185" s="10">
        <v>1</v>
      </c>
      <c r="H185" s="5" t="str">
        <f t="shared" si="6"/>
        <v>det_522</v>
      </c>
      <c r="I185" s="5" t="str">
        <f t="shared" si="7"/>
        <v>W:\Performance Measurement\1. Freeway\1. raw data\2015\data files\det_522.txt</v>
      </c>
      <c r="J185" s="5" t="str">
        <f t="shared" si="8"/>
        <v>W:\Performance Measurement\1. Freeway\1. raw data\2015\data files\det_522.xlsx</v>
      </c>
      <c r="K185" s="5"/>
      <c r="M185" s="113" t="s">
        <v>69</v>
      </c>
      <c r="N185" s="10">
        <v>522</v>
      </c>
      <c r="O185" s="10">
        <v>5</v>
      </c>
      <c r="P185" s="10">
        <v>1</v>
      </c>
    </row>
    <row r="186" spans="4:16" x14ac:dyDescent="0.25">
      <c r="D186" s="109">
        <v>182</v>
      </c>
      <c r="E186" s="10">
        <v>523</v>
      </c>
      <c r="F186" s="10">
        <v>5</v>
      </c>
      <c r="G186" s="10">
        <v>1</v>
      </c>
      <c r="H186" s="5" t="str">
        <f t="shared" si="6"/>
        <v>det_523</v>
      </c>
      <c r="I186" s="5" t="str">
        <f t="shared" si="7"/>
        <v>W:\Performance Measurement\1. Freeway\1. raw data\2015\data files\det_523.txt</v>
      </c>
      <c r="J186" s="5" t="str">
        <f t="shared" si="8"/>
        <v>W:\Performance Measurement\1. Freeway\1. raw data\2015\data files\det_523.xlsx</v>
      </c>
      <c r="K186" s="5"/>
      <c r="M186" s="113" t="s">
        <v>69</v>
      </c>
      <c r="N186" s="10">
        <v>523</v>
      </c>
      <c r="O186" s="10">
        <v>5</v>
      </c>
      <c r="P186" s="10">
        <v>1</v>
      </c>
    </row>
    <row r="187" spans="4:16" x14ac:dyDescent="0.25">
      <c r="D187" s="109">
        <v>183</v>
      </c>
      <c r="E187" s="10">
        <v>524</v>
      </c>
      <c r="F187" s="10">
        <v>5</v>
      </c>
      <c r="G187" s="10">
        <v>1</v>
      </c>
      <c r="H187" s="5" t="str">
        <f t="shared" si="6"/>
        <v>det_524</v>
      </c>
      <c r="I187" s="5" t="str">
        <f t="shared" si="7"/>
        <v>W:\Performance Measurement\1. Freeway\1. raw data\2015\data files\det_524.txt</v>
      </c>
      <c r="J187" s="5" t="str">
        <f t="shared" si="8"/>
        <v>W:\Performance Measurement\1. Freeway\1. raw data\2015\data files\det_524.xlsx</v>
      </c>
      <c r="K187" s="5"/>
      <c r="M187" s="113" t="s">
        <v>69</v>
      </c>
      <c r="N187" s="10">
        <v>524</v>
      </c>
      <c r="O187" s="10">
        <v>5</v>
      </c>
      <c r="P187" s="10">
        <v>1</v>
      </c>
    </row>
    <row r="188" spans="4:16" x14ac:dyDescent="0.25">
      <c r="D188" s="109">
        <v>184</v>
      </c>
      <c r="E188" s="10">
        <v>525</v>
      </c>
      <c r="F188" s="10">
        <v>4</v>
      </c>
      <c r="G188" s="10">
        <v>1</v>
      </c>
      <c r="H188" s="5" t="str">
        <f t="shared" si="6"/>
        <v>det_525</v>
      </c>
      <c r="I188" s="5" t="str">
        <f t="shared" si="7"/>
        <v>W:\Performance Measurement\1. Freeway\1. raw data\2015\data files\det_525.txt</v>
      </c>
      <c r="J188" s="5" t="str">
        <f t="shared" si="8"/>
        <v>W:\Performance Measurement\1. Freeway\1. raw data\2015\data files\det_525.xlsx</v>
      </c>
      <c r="K188" s="5"/>
      <c r="M188" s="113" t="s">
        <v>69</v>
      </c>
      <c r="N188" s="10">
        <v>525</v>
      </c>
      <c r="O188" s="10">
        <v>4</v>
      </c>
      <c r="P188" s="10">
        <v>1</v>
      </c>
    </row>
    <row r="189" spans="4:16" x14ac:dyDescent="0.25">
      <c r="D189" s="109">
        <v>185</v>
      </c>
      <c r="E189" s="10">
        <v>526</v>
      </c>
      <c r="F189" s="10">
        <v>3</v>
      </c>
      <c r="G189" s="10">
        <v>1</v>
      </c>
      <c r="H189" s="5" t="str">
        <f t="shared" si="6"/>
        <v>det_526</v>
      </c>
      <c r="I189" s="5" t="str">
        <f t="shared" si="7"/>
        <v>W:\Performance Measurement\1. Freeway\1. raw data\2015\data files\det_526.txt</v>
      </c>
      <c r="J189" s="5" t="str">
        <f t="shared" si="8"/>
        <v>W:\Performance Measurement\1. Freeway\1. raw data\2015\data files\det_526.xlsx</v>
      </c>
      <c r="K189" s="5"/>
      <c r="M189" s="113" t="s">
        <v>69</v>
      </c>
      <c r="N189" s="10">
        <v>526</v>
      </c>
      <c r="O189" s="10">
        <v>3</v>
      </c>
      <c r="P189" s="10">
        <v>1</v>
      </c>
    </row>
    <row r="190" spans="4:16" x14ac:dyDescent="0.25">
      <c r="D190" s="109">
        <v>186</v>
      </c>
      <c r="E190" s="112">
        <v>527</v>
      </c>
      <c r="F190" s="112">
        <v>3</v>
      </c>
      <c r="G190" s="112">
        <v>1</v>
      </c>
      <c r="H190" s="5" t="str">
        <f t="shared" si="6"/>
        <v>det_527</v>
      </c>
      <c r="I190" s="5" t="str">
        <f t="shared" si="7"/>
        <v>W:\Performance Measurement\1. Freeway\1. raw data\2015\data files\det_527.txt</v>
      </c>
      <c r="J190" s="5" t="str">
        <f t="shared" si="8"/>
        <v>W:\Performance Measurement\1. Freeway\1. raw data\2015\data files\det_527.xlsx</v>
      </c>
      <c r="K190" s="5"/>
      <c r="M190" s="113" t="s">
        <v>69</v>
      </c>
      <c r="N190" s="10">
        <v>527</v>
      </c>
      <c r="O190" s="10">
        <v>3</v>
      </c>
      <c r="P190" s="10">
        <v>1</v>
      </c>
    </row>
    <row r="191" spans="4:16" x14ac:dyDescent="0.25">
      <c r="D191" s="109">
        <v>187</v>
      </c>
      <c r="E191" s="10">
        <v>528</v>
      </c>
      <c r="F191" s="10">
        <v>5</v>
      </c>
      <c r="G191" s="10">
        <v>1</v>
      </c>
      <c r="H191" s="5" t="str">
        <f t="shared" si="6"/>
        <v>det_528</v>
      </c>
      <c r="I191" s="5" t="str">
        <f t="shared" si="7"/>
        <v>W:\Performance Measurement\1. Freeway\1. raw data\2015\data files\det_528.txt</v>
      </c>
      <c r="J191" s="5" t="str">
        <f t="shared" si="8"/>
        <v>W:\Performance Measurement\1. Freeway\1. raw data\2015\data files\det_528.xlsx</v>
      </c>
      <c r="K191" s="5"/>
      <c r="M191" s="113" t="s">
        <v>69</v>
      </c>
      <c r="N191" s="10">
        <v>528</v>
      </c>
      <c r="O191" s="10">
        <v>5</v>
      </c>
      <c r="P191" s="10">
        <v>1</v>
      </c>
    </row>
    <row r="192" spans="4:16" x14ac:dyDescent="0.25">
      <c r="D192" s="109">
        <v>188</v>
      </c>
      <c r="E192" s="10">
        <v>529</v>
      </c>
      <c r="F192" s="10">
        <v>4</v>
      </c>
      <c r="G192" s="10">
        <v>1</v>
      </c>
      <c r="H192" s="5" t="str">
        <f t="shared" si="6"/>
        <v>det_529</v>
      </c>
      <c r="I192" s="5" t="str">
        <f t="shared" si="7"/>
        <v>W:\Performance Measurement\1. Freeway\1. raw data\2015\data files\det_529.txt</v>
      </c>
      <c r="J192" s="5" t="str">
        <f t="shared" si="8"/>
        <v>W:\Performance Measurement\1. Freeway\1. raw data\2015\data files\det_529.xlsx</v>
      </c>
      <c r="K192" s="5"/>
      <c r="M192" s="113" t="s">
        <v>69</v>
      </c>
      <c r="N192" s="10">
        <v>529</v>
      </c>
      <c r="O192" s="10">
        <v>4</v>
      </c>
      <c r="P192" s="10">
        <v>1</v>
      </c>
    </row>
    <row r="193" spans="4:16" x14ac:dyDescent="0.25">
      <c r="D193" s="109">
        <v>189</v>
      </c>
      <c r="E193" s="10">
        <v>530</v>
      </c>
      <c r="F193" s="10">
        <v>3</v>
      </c>
      <c r="G193" s="10">
        <v>1</v>
      </c>
      <c r="H193" s="5" t="str">
        <f t="shared" si="6"/>
        <v>det_530</v>
      </c>
      <c r="I193" s="5" t="str">
        <f t="shared" si="7"/>
        <v>W:\Performance Measurement\1. Freeway\1. raw data\2015\data files\det_530.txt</v>
      </c>
      <c r="J193" s="5" t="str">
        <f t="shared" si="8"/>
        <v>W:\Performance Measurement\1. Freeway\1. raw data\2015\data files\det_530.xlsx</v>
      </c>
      <c r="K193" s="5"/>
      <c r="M193" s="113" t="s">
        <v>69</v>
      </c>
      <c r="N193" s="10">
        <v>530</v>
      </c>
      <c r="O193" s="10">
        <v>3</v>
      </c>
      <c r="P193" s="10">
        <v>1</v>
      </c>
    </row>
    <row r="194" spans="4:16" x14ac:dyDescent="0.25">
      <c r="D194" s="109">
        <v>190</v>
      </c>
      <c r="E194" s="10">
        <v>531</v>
      </c>
      <c r="F194" s="10">
        <v>3</v>
      </c>
      <c r="G194" s="10">
        <v>1</v>
      </c>
      <c r="H194" s="5" t="str">
        <f t="shared" si="6"/>
        <v>det_531</v>
      </c>
      <c r="I194" s="5" t="str">
        <f t="shared" si="7"/>
        <v>W:\Performance Measurement\1. Freeway\1. raw data\2015\data files\det_531.txt</v>
      </c>
      <c r="J194" s="5" t="str">
        <f t="shared" si="8"/>
        <v>W:\Performance Measurement\1. Freeway\1. raw data\2015\data files\det_531.xlsx</v>
      </c>
      <c r="K194" s="5"/>
      <c r="M194" s="113" t="s">
        <v>69</v>
      </c>
      <c r="N194" s="10">
        <v>531</v>
      </c>
      <c r="O194" s="10">
        <v>3</v>
      </c>
      <c r="P194" s="10">
        <v>1</v>
      </c>
    </row>
    <row r="195" spans="4:16" x14ac:dyDescent="0.25">
      <c r="D195" s="109">
        <v>191</v>
      </c>
      <c r="E195" s="10">
        <v>532</v>
      </c>
      <c r="F195" s="10">
        <v>4</v>
      </c>
      <c r="G195" s="10">
        <v>1</v>
      </c>
      <c r="H195" s="5" t="str">
        <f t="shared" si="6"/>
        <v>det_532</v>
      </c>
      <c r="I195" s="5" t="str">
        <f t="shared" si="7"/>
        <v>W:\Performance Measurement\1. Freeway\1. raw data\2015\data files\det_532.txt</v>
      </c>
      <c r="J195" s="5" t="str">
        <f t="shared" si="8"/>
        <v>W:\Performance Measurement\1. Freeway\1. raw data\2015\data files\det_532.xlsx</v>
      </c>
      <c r="K195" s="5"/>
      <c r="M195" s="113" t="s">
        <v>69</v>
      </c>
      <c r="N195" s="10">
        <v>532</v>
      </c>
      <c r="O195" s="10">
        <v>4</v>
      </c>
      <c r="P195" s="10">
        <v>1</v>
      </c>
    </row>
    <row r="196" spans="4:16" x14ac:dyDescent="0.25">
      <c r="D196" s="109">
        <v>192</v>
      </c>
      <c r="E196" s="10">
        <v>533</v>
      </c>
      <c r="F196" s="10">
        <v>6</v>
      </c>
      <c r="G196" s="10">
        <v>1</v>
      </c>
      <c r="H196" s="5" t="str">
        <f t="shared" si="6"/>
        <v>det_533</v>
      </c>
      <c r="I196" s="5" t="str">
        <f t="shared" si="7"/>
        <v>W:\Performance Measurement\1. Freeway\1. raw data\2015\data files\det_533.txt</v>
      </c>
      <c r="J196" s="5" t="str">
        <f t="shared" si="8"/>
        <v>W:\Performance Measurement\1. Freeway\1. raw data\2015\data files\det_533.xlsx</v>
      </c>
      <c r="K196" s="5"/>
      <c r="M196" s="113" t="s">
        <v>69</v>
      </c>
      <c r="N196" s="10">
        <v>533</v>
      </c>
      <c r="O196" s="10">
        <v>6</v>
      </c>
      <c r="P196" s="10">
        <v>1</v>
      </c>
    </row>
    <row r="197" spans="4:16" x14ac:dyDescent="0.25">
      <c r="D197" s="109">
        <v>193</v>
      </c>
      <c r="E197" s="10">
        <v>534</v>
      </c>
      <c r="F197" s="10">
        <v>5</v>
      </c>
      <c r="G197" s="10">
        <v>1</v>
      </c>
      <c r="H197" s="5" t="str">
        <f t="shared" ref="H197:H260" si="9">"det_"&amp;E197&amp;""</f>
        <v>det_534</v>
      </c>
      <c r="I197" s="5" t="str">
        <f t="shared" ref="I197:I265" si="10">$B$5&amp;"\"&amp;H197&amp;".txt"</f>
        <v>W:\Performance Measurement\1. Freeway\1. raw data\2015\data files\det_534.txt</v>
      </c>
      <c r="J197" s="5" t="str">
        <f t="shared" ref="J197:J265" si="11">$B$5&amp;"\"&amp;H197&amp;".xlsx"</f>
        <v>W:\Performance Measurement\1. Freeway\1. raw data\2015\data files\det_534.xlsx</v>
      </c>
      <c r="K197" s="5"/>
      <c r="M197" s="113" t="s">
        <v>69</v>
      </c>
      <c r="N197" s="10">
        <v>534</v>
      </c>
      <c r="O197" s="10">
        <v>5</v>
      </c>
      <c r="P197" s="10">
        <v>1</v>
      </c>
    </row>
    <row r="198" spans="4:16" x14ac:dyDescent="0.25">
      <c r="D198" s="109">
        <v>194</v>
      </c>
      <c r="E198" s="10">
        <v>535</v>
      </c>
      <c r="F198" s="10">
        <v>5</v>
      </c>
      <c r="G198" s="10">
        <v>1</v>
      </c>
      <c r="H198" s="5" t="str">
        <f t="shared" si="9"/>
        <v>det_535</v>
      </c>
      <c r="I198" s="5" t="str">
        <f t="shared" si="10"/>
        <v>W:\Performance Measurement\1. Freeway\1. raw data\2015\data files\det_535.txt</v>
      </c>
      <c r="J198" s="5" t="str">
        <f t="shared" si="11"/>
        <v>W:\Performance Measurement\1. Freeway\1. raw data\2015\data files\det_535.xlsx</v>
      </c>
      <c r="K198" s="5"/>
      <c r="M198" s="113" t="s">
        <v>69</v>
      </c>
      <c r="N198" s="10">
        <v>535</v>
      </c>
      <c r="O198" s="10">
        <v>5</v>
      </c>
      <c r="P198" s="10">
        <v>1</v>
      </c>
    </row>
    <row r="199" spans="4:16" x14ac:dyDescent="0.25">
      <c r="D199" s="109">
        <v>195</v>
      </c>
      <c r="E199" s="10">
        <v>536</v>
      </c>
      <c r="F199" s="10">
        <v>5</v>
      </c>
      <c r="G199" s="10">
        <v>1</v>
      </c>
      <c r="H199" s="5" t="str">
        <f t="shared" si="9"/>
        <v>det_536</v>
      </c>
      <c r="I199" s="5" t="str">
        <f t="shared" si="10"/>
        <v>W:\Performance Measurement\1. Freeway\1. raw data\2015\data files\det_536.txt</v>
      </c>
      <c r="J199" s="5" t="str">
        <f t="shared" si="11"/>
        <v>W:\Performance Measurement\1. Freeway\1. raw data\2015\data files\det_536.xlsx</v>
      </c>
      <c r="K199" s="5"/>
      <c r="M199" s="113" t="s">
        <v>69</v>
      </c>
      <c r="N199" s="10">
        <v>536</v>
      </c>
      <c r="O199" s="10">
        <v>5</v>
      </c>
      <c r="P199" s="10">
        <v>1</v>
      </c>
    </row>
    <row r="200" spans="4:16" x14ac:dyDescent="0.25">
      <c r="D200" s="109">
        <v>196</v>
      </c>
      <c r="E200" s="10">
        <v>537</v>
      </c>
      <c r="F200" s="10">
        <v>5</v>
      </c>
      <c r="G200" s="10">
        <v>1</v>
      </c>
      <c r="H200" s="5" t="str">
        <f t="shared" si="9"/>
        <v>det_537</v>
      </c>
      <c r="I200" s="5" t="str">
        <f t="shared" si="10"/>
        <v>W:\Performance Measurement\1. Freeway\1. raw data\2015\data files\det_537.txt</v>
      </c>
      <c r="J200" s="5" t="str">
        <f t="shared" si="11"/>
        <v>W:\Performance Measurement\1. Freeway\1. raw data\2015\data files\det_537.xlsx</v>
      </c>
      <c r="K200" s="5"/>
      <c r="M200" s="113" t="s">
        <v>69</v>
      </c>
      <c r="N200" s="10">
        <v>537</v>
      </c>
      <c r="O200" s="10">
        <v>5</v>
      </c>
      <c r="P200" s="10">
        <v>1</v>
      </c>
    </row>
    <row r="201" spans="4:16" x14ac:dyDescent="0.25">
      <c r="D201" s="109">
        <v>197</v>
      </c>
      <c r="E201" s="10">
        <v>538</v>
      </c>
      <c r="F201" s="10">
        <v>5</v>
      </c>
      <c r="G201" s="10">
        <v>1</v>
      </c>
      <c r="H201" s="5" t="str">
        <f t="shared" si="9"/>
        <v>det_538</v>
      </c>
      <c r="I201" s="5" t="str">
        <f t="shared" si="10"/>
        <v>W:\Performance Measurement\1. Freeway\1. raw data\2015\data files\det_538.txt</v>
      </c>
      <c r="J201" s="5" t="str">
        <f t="shared" si="11"/>
        <v>W:\Performance Measurement\1. Freeway\1. raw data\2015\data files\det_538.xlsx</v>
      </c>
      <c r="K201" s="5"/>
      <c r="M201" s="113" t="s">
        <v>69</v>
      </c>
      <c r="N201" s="10">
        <v>538</v>
      </c>
      <c r="O201" s="10">
        <v>5</v>
      </c>
      <c r="P201" s="10">
        <v>1</v>
      </c>
    </row>
    <row r="202" spans="4:16" x14ac:dyDescent="0.25">
      <c r="D202" s="109">
        <v>198</v>
      </c>
      <c r="E202" s="10">
        <v>178</v>
      </c>
      <c r="F202" s="10">
        <v>3</v>
      </c>
      <c r="G202" s="10">
        <v>0</v>
      </c>
      <c r="H202" s="5" t="str">
        <f t="shared" si="9"/>
        <v>det_178</v>
      </c>
      <c r="I202" s="5" t="str">
        <f t="shared" si="10"/>
        <v>W:\Performance Measurement\1. Freeway\1. raw data\2015\data files\det_178.txt</v>
      </c>
      <c r="J202" s="5" t="str">
        <f t="shared" si="11"/>
        <v>W:\Performance Measurement\1. Freeway\1. raw data\2015\data files\det_178.xlsx</v>
      </c>
      <c r="K202" s="5"/>
      <c r="M202" s="113" t="s">
        <v>70</v>
      </c>
      <c r="N202" s="10">
        <v>178</v>
      </c>
      <c r="O202" s="10">
        <v>3</v>
      </c>
      <c r="P202" s="10">
        <v>0</v>
      </c>
    </row>
    <row r="203" spans="4:16" x14ac:dyDescent="0.25">
      <c r="D203" s="109">
        <v>199</v>
      </c>
      <c r="E203" s="10">
        <v>179</v>
      </c>
      <c r="F203" s="10">
        <v>2</v>
      </c>
      <c r="G203" s="10">
        <v>0</v>
      </c>
      <c r="H203" s="5" t="str">
        <f t="shared" si="9"/>
        <v>det_179</v>
      </c>
      <c r="I203" s="5" t="str">
        <f t="shared" si="10"/>
        <v>W:\Performance Measurement\1. Freeway\1. raw data\2015\data files\det_179.txt</v>
      </c>
      <c r="J203" s="5" t="str">
        <f t="shared" si="11"/>
        <v>W:\Performance Measurement\1. Freeway\1. raw data\2015\data files\det_179.xlsx</v>
      </c>
      <c r="K203" s="5"/>
      <c r="M203" s="113" t="s">
        <v>70</v>
      </c>
      <c r="N203" s="10">
        <v>179</v>
      </c>
      <c r="O203" s="10">
        <v>2</v>
      </c>
      <c r="P203" s="10">
        <v>0</v>
      </c>
    </row>
    <row r="204" spans="4:16" x14ac:dyDescent="0.25">
      <c r="D204" s="109">
        <v>200</v>
      </c>
      <c r="E204" s="10">
        <v>182</v>
      </c>
      <c r="F204" s="10">
        <v>3</v>
      </c>
      <c r="G204" s="10">
        <v>0</v>
      </c>
      <c r="H204" s="5" t="str">
        <f t="shared" si="9"/>
        <v>det_182</v>
      </c>
      <c r="I204" s="5" t="str">
        <f t="shared" si="10"/>
        <v>W:\Performance Measurement\1. Freeway\1. raw data\2015\data files\det_182.txt</v>
      </c>
      <c r="J204" s="5" t="str">
        <f t="shared" si="11"/>
        <v>W:\Performance Measurement\1. Freeway\1. raw data\2015\data files\det_182.xlsx</v>
      </c>
      <c r="K204" s="5"/>
      <c r="M204" s="113" t="s">
        <v>70</v>
      </c>
      <c r="N204" s="10">
        <v>182</v>
      </c>
      <c r="O204" s="10">
        <v>3</v>
      </c>
      <c r="P204" s="10">
        <v>0</v>
      </c>
    </row>
    <row r="205" spans="4:16" x14ac:dyDescent="0.25">
      <c r="D205" s="109">
        <v>201</v>
      </c>
      <c r="E205" s="10">
        <v>184</v>
      </c>
      <c r="F205" s="10">
        <v>2</v>
      </c>
      <c r="G205" s="10">
        <v>0</v>
      </c>
      <c r="H205" s="5" t="str">
        <f t="shared" si="9"/>
        <v>det_184</v>
      </c>
      <c r="I205" s="5" t="str">
        <f t="shared" si="10"/>
        <v>W:\Performance Measurement\1. Freeway\1. raw data\2015\data files\det_184.txt</v>
      </c>
      <c r="J205" s="5" t="str">
        <f t="shared" si="11"/>
        <v>W:\Performance Measurement\1. Freeway\1. raw data\2015\data files\det_184.xlsx</v>
      </c>
      <c r="K205" s="5"/>
      <c r="M205" s="113" t="s">
        <v>70</v>
      </c>
      <c r="N205" s="10">
        <v>184</v>
      </c>
      <c r="O205" s="10">
        <v>2</v>
      </c>
      <c r="P205" s="10">
        <v>0</v>
      </c>
    </row>
    <row r="206" spans="4:16" x14ac:dyDescent="0.25">
      <c r="D206" s="109">
        <v>202</v>
      </c>
      <c r="E206" s="10">
        <v>187</v>
      </c>
      <c r="F206" s="10">
        <v>2</v>
      </c>
      <c r="G206" s="10">
        <v>0</v>
      </c>
      <c r="H206" s="5" t="str">
        <f t="shared" si="9"/>
        <v>det_187</v>
      </c>
      <c r="I206" s="5" t="str">
        <f t="shared" si="10"/>
        <v>W:\Performance Measurement\1. Freeway\1. raw data\2015\data files\det_187.txt</v>
      </c>
      <c r="J206" s="5" t="str">
        <f t="shared" si="11"/>
        <v>W:\Performance Measurement\1. Freeway\1. raw data\2015\data files\det_187.xlsx</v>
      </c>
      <c r="K206" s="5"/>
      <c r="M206" s="113" t="s">
        <v>70</v>
      </c>
      <c r="N206" s="10">
        <v>187</v>
      </c>
      <c r="O206" s="10">
        <v>2</v>
      </c>
      <c r="P206" s="10">
        <v>0</v>
      </c>
    </row>
    <row r="207" spans="4:16" x14ac:dyDescent="0.25">
      <c r="D207" s="109">
        <v>203</v>
      </c>
      <c r="E207" s="10">
        <v>176</v>
      </c>
      <c r="F207" s="10">
        <v>2</v>
      </c>
      <c r="G207" s="10">
        <v>0</v>
      </c>
      <c r="H207" s="5" t="str">
        <f t="shared" si="9"/>
        <v>det_176</v>
      </c>
      <c r="I207" s="5" t="str">
        <f t="shared" si="10"/>
        <v>W:\Performance Measurement\1. Freeway\1. raw data\2015\data files\det_176.txt</v>
      </c>
      <c r="J207" s="5" t="str">
        <f t="shared" si="11"/>
        <v>W:\Performance Measurement\1. Freeway\1. raw data\2015\data files\det_176.xlsx</v>
      </c>
      <c r="K207" s="5"/>
      <c r="M207" s="113" t="s">
        <v>70</v>
      </c>
      <c r="N207" s="10">
        <v>176</v>
      </c>
      <c r="O207" s="10">
        <v>2</v>
      </c>
      <c r="P207" s="10">
        <v>0</v>
      </c>
    </row>
    <row r="208" spans="4:16" x14ac:dyDescent="0.25">
      <c r="D208" s="109">
        <v>204</v>
      </c>
      <c r="E208" s="10">
        <v>171</v>
      </c>
      <c r="F208" s="10">
        <v>3</v>
      </c>
      <c r="G208" s="10">
        <v>0</v>
      </c>
      <c r="H208" s="5" t="str">
        <f t="shared" si="9"/>
        <v>det_171</v>
      </c>
      <c r="I208" s="5" t="str">
        <f t="shared" si="10"/>
        <v>W:\Performance Measurement\1. Freeway\1. raw data\2015\data files\det_171.txt</v>
      </c>
      <c r="J208" s="5" t="str">
        <f t="shared" si="11"/>
        <v>W:\Performance Measurement\1. Freeway\1. raw data\2015\data files\det_171.xlsx</v>
      </c>
      <c r="K208" s="5"/>
      <c r="M208" s="113" t="s">
        <v>70</v>
      </c>
      <c r="N208" s="10">
        <v>171</v>
      </c>
      <c r="O208" s="10">
        <v>3</v>
      </c>
      <c r="P208" s="10">
        <v>0</v>
      </c>
    </row>
    <row r="209" spans="4:16" x14ac:dyDescent="0.25">
      <c r="D209" s="109">
        <v>205</v>
      </c>
      <c r="E209" s="10">
        <v>169</v>
      </c>
      <c r="F209" s="10">
        <v>3</v>
      </c>
      <c r="G209" s="10">
        <v>0</v>
      </c>
      <c r="H209" s="5" t="str">
        <f t="shared" si="9"/>
        <v>det_169</v>
      </c>
      <c r="I209" s="5" t="str">
        <f t="shared" si="10"/>
        <v>W:\Performance Measurement\1. Freeway\1. raw data\2015\data files\det_169.txt</v>
      </c>
      <c r="J209" s="5" t="str">
        <f t="shared" si="11"/>
        <v>W:\Performance Measurement\1. Freeway\1. raw data\2015\data files\det_169.xlsx</v>
      </c>
      <c r="K209" s="5"/>
      <c r="M209" s="113" t="s">
        <v>70</v>
      </c>
      <c r="N209" s="10">
        <v>169</v>
      </c>
      <c r="O209" s="10">
        <v>3</v>
      </c>
      <c r="P209" s="10">
        <v>0</v>
      </c>
    </row>
    <row r="210" spans="4:16" x14ac:dyDescent="0.25">
      <c r="D210" s="109">
        <v>206</v>
      </c>
      <c r="E210" s="10">
        <v>167</v>
      </c>
      <c r="F210" s="10">
        <v>2</v>
      </c>
      <c r="G210" s="10">
        <v>0</v>
      </c>
      <c r="H210" s="5" t="str">
        <f t="shared" si="9"/>
        <v>det_167</v>
      </c>
      <c r="I210" s="5" t="str">
        <f t="shared" si="10"/>
        <v>W:\Performance Measurement\1. Freeway\1. raw data\2015\data files\det_167.txt</v>
      </c>
      <c r="J210" s="5" t="str">
        <f t="shared" si="11"/>
        <v>W:\Performance Measurement\1. Freeway\1. raw data\2015\data files\det_167.xlsx</v>
      </c>
      <c r="K210" s="5"/>
      <c r="M210" s="113" t="s">
        <v>70</v>
      </c>
      <c r="N210" s="10">
        <v>167</v>
      </c>
      <c r="O210" s="10">
        <v>2</v>
      </c>
      <c r="P210" s="10">
        <v>0</v>
      </c>
    </row>
    <row r="211" spans="4:16" x14ac:dyDescent="0.25">
      <c r="D211" s="109">
        <v>207</v>
      </c>
      <c r="E211" s="10">
        <v>539</v>
      </c>
      <c r="F211" s="10">
        <v>0</v>
      </c>
      <c r="G211" s="10">
        <v>0</v>
      </c>
      <c r="H211" s="5" t="str">
        <f t="shared" si="9"/>
        <v>det_539</v>
      </c>
      <c r="I211" s="5" t="str">
        <f t="shared" si="10"/>
        <v>W:\Performance Measurement\1. Freeway\1. raw data\2015\data files\det_539.txt</v>
      </c>
      <c r="J211" s="5" t="str">
        <f t="shared" si="11"/>
        <v>W:\Performance Measurement\1. Freeway\1. raw data\2015\data files\det_539.xlsx</v>
      </c>
      <c r="K211" s="5"/>
      <c r="M211" s="113" t="s">
        <v>71</v>
      </c>
      <c r="N211" s="10">
        <v>539</v>
      </c>
      <c r="O211" s="10">
        <v>0</v>
      </c>
      <c r="P211" s="10">
        <v>0</v>
      </c>
    </row>
    <row r="212" spans="4:16" x14ac:dyDescent="0.25">
      <c r="D212" s="109">
        <v>208</v>
      </c>
      <c r="E212" s="10">
        <v>540</v>
      </c>
      <c r="F212" s="10">
        <v>3</v>
      </c>
      <c r="G212" s="10">
        <v>1</v>
      </c>
      <c r="H212" s="5" t="str">
        <f t="shared" si="9"/>
        <v>det_540</v>
      </c>
      <c r="I212" s="5" t="str">
        <f t="shared" si="10"/>
        <v>W:\Performance Measurement\1. Freeway\1. raw data\2015\data files\det_540.txt</v>
      </c>
      <c r="J212" s="5" t="str">
        <f t="shared" si="11"/>
        <v>W:\Performance Measurement\1. Freeway\1. raw data\2015\data files\det_540.xlsx</v>
      </c>
      <c r="K212" s="5"/>
      <c r="M212" s="113" t="s">
        <v>71</v>
      </c>
      <c r="N212" s="10">
        <v>540</v>
      </c>
      <c r="O212" s="10">
        <v>3</v>
      </c>
      <c r="P212" s="10">
        <v>1</v>
      </c>
    </row>
    <row r="213" spans="4:16" x14ac:dyDescent="0.25">
      <c r="D213" s="109">
        <v>209</v>
      </c>
      <c r="E213" s="10">
        <v>541</v>
      </c>
      <c r="F213" s="10">
        <v>3</v>
      </c>
      <c r="G213" s="10">
        <v>1</v>
      </c>
      <c r="H213" s="5" t="str">
        <f t="shared" si="9"/>
        <v>det_541</v>
      </c>
      <c r="I213" s="5" t="str">
        <f t="shared" si="10"/>
        <v>W:\Performance Measurement\1. Freeway\1. raw data\2015\data files\det_541.txt</v>
      </c>
      <c r="J213" s="5" t="str">
        <f t="shared" si="11"/>
        <v>W:\Performance Measurement\1. Freeway\1. raw data\2015\data files\det_541.xlsx</v>
      </c>
      <c r="K213" s="5"/>
      <c r="M213" s="113" t="s">
        <v>71</v>
      </c>
      <c r="N213" s="10">
        <v>541</v>
      </c>
      <c r="O213" s="10">
        <v>3</v>
      </c>
      <c r="P213" s="10">
        <v>1</v>
      </c>
    </row>
    <row r="214" spans="4:16" x14ac:dyDescent="0.25">
      <c r="D214" s="109">
        <v>210</v>
      </c>
      <c r="E214" s="10">
        <v>542</v>
      </c>
      <c r="F214" s="10">
        <v>3</v>
      </c>
      <c r="G214" s="10">
        <v>1</v>
      </c>
      <c r="H214" s="5" t="str">
        <f t="shared" si="9"/>
        <v>det_542</v>
      </c>
      <c r="I214" s="5" t="str">
        <f t="shared" si="10"/>
        <v>W:\Performance Measurement\1. Freeway\1. raw data\2015\data files\det_542.txt</v>
      </c>
      <c r="J214" s="5" t="str">
        <f t="shared" si="11"/>
        <v>W:\Performance Measurement\1. Freeway\1. raw data\2015\data files\det_542.xlsx</v>
      </c>
      <c r="K214" s="5"/>
      <c r="M214" s="113" t="s">
        <v>71</v>
      </c>
      <c r="N214" s="10">
        <v>542</v>
      </c>
      <c r="O214" s="10">
        <v>3</v>
      </c>
      <c r="P214" s="10">
        <v>1</v>
      </c>
    </row>
    <row r="215" spans="4:16" x14ac:dyDescent="0.25">
      <c r="D215" s="109">
        <v>211</v>
      </c>
      <c r="E215" s="10">
        <v>543</v>
      </c>
      <c r="F215" s="10">
        <v>3</v>
      </c>
      <c r="G215" s="10">
        <v>1</v>
      </c>
      <c r="H215" s="5" t="str">
        <f t="shared" si="9"/>
        <v>det_543</v>
      </c>
      <c r="I215" s="5" t="str">
        <f t="shared" si="10"/>
        <v>W:\Performance Measurement\1. Freeway\1. raw data\2015\data files\det_543.txt</v>
      </c>
      <c r="J215" s="5" t="str">
        <f t="shared" si="11"/>
        <v>W:\Performance Measurement\1. Freeway\1. raw data\2015\data files\det_543.xlsx</v>
      </c>
      <c r="K215" s="5"/>
      <c r="M215" s="113" t="s">
        <v>71</v>
      </c>
      <c r="N215" s="10">
        <v>543</v>
      </c>
      <c r="O215" s="10">
        <v>3</v>
      </c>
      <c r="P215" s="10">
        <v>1</v>
      </c>
    </row>
    <row r="216" spans="4:16" x14ac:dyDescent="0.25">
      <c r="D216" s="109">
        <v>212</v>
      </c>
      <c r="E216" s="10">
        <v>514</v>
      </c>
      <c r="F216" s="10">
        <v>4</v>
      </c>
      <c r="G216" s="10">
        <v>1</v>
      </c>
      <c r="H216" s="5" t="str">
        <f t="shared" si="9"/>
        <v>det_514</v>
      </c>
      <c r="I216" s="5" t="str">
        <f t="shared" si="10"/>
        <v>W:\Performance Measurement\1. Freeway\1. raw data\2015\data files\det_514.txt</v>
      </c>
      <c r="J216" s="5" t="str">
        <f t="shared" si="11"/>
        <v>W:\Performance Measurement\1. Freeway\1. raw data\2015\data files\det_514.xlsx</v>
      </c>
      <c r="K216" s="5"/>
      <c r="M216" s="113" t="s">
        <v>71</v>
      </c>
      <c r="N216" s="10">
        <v>514</v>
      </c>
      <c r="O216" s="10">
        <v>4</v>
      </c>
      <c r="P216" s="10">
        <v>1</v>
      </c>
    </row>
    <row r="217" spans="4:16" x14ac:dyDescent="0.25">
      <c r="D217" s="109">
        <v>213</v>
      </c>
      <c r="E217" s="10">
        <v>518</v>
      </c>
      <c r="F217" s="10">
        <v>3</v>
      </c>
      <c r="G217" s="10">
        <v>1</v>
      </c>
      <c r="H217" s="5" t="str">
        <f t="shared" si="9"/>
        <v>det_518</v>
      </c>
      <c r="I217" s="5" t="str">
        <f t="shared" si="10"/>
        <v>W:\Performance Measurement\1. Freeway\1. raw data\2015\data files\det_518.txt</v>
      </c>
      <c r="J217" s="5" t="str">
        <f t="shared" si="11"/>
        <v>W:\Performance Measurement\1. Freeway\1. raw data\2015\data files\det_518.xlsx</v>
      </c>
      <c r="K217" s="5"/>
      <c r="M217" s="113" t="s">
        <v>71</v>
      </c>
      <c r="N217" s="10">
        <v>518</v>
      </c>
      <c r="O217" s="10">
        <v>3</v>
      </c>
      <c r="P217" s="10">
        <v>1</v>
      </c>
    </row>
    <row r="218" spans="4:16" x14ac:dyDescent="0.25">
      <c r="D218" s="109">
        <v>214</v>
      </c>
      <c r="E218" s="10">
        <v>510</v>
      </c>
      <c r="F218" s="10">
        <v>4</v>
      </c>
      <c r="G218" s="10">
        <v>1</v>
      </c>
      <c r="H218" s="5" t="str">
        <f t="shared" si="9"/>
        <v>det_510</v>
      </c>
      <c r="I218" s="5" t="str">
        <f t="shared" si="10"/>
        <v>W:\Performance Measurement\1. Freeway\1. raw data\2015\data files\det_510.txt</v>
      </c>
      <c r="J218" s="5" t="str">
        <f t="shared" si="11"/>
        <v>W:\Performance Measurement\1. Freeway\1. raw data\2015\data files\det_510.xlsx</v>
      </c>
      <c r="K218" s="5"/>
      <c r="M218" s="113" t="s">
        <v>71</v>
      </c>
      <c r="N218" s="10">
        <v>510</v>
      </c>
      <c r="O218" s="10">
        <v>4</v>
      </c>
      <c r="P218" s="10">
        <v>1</v>
      </c>
    </row>
    <row r="219" spans="4:16" x14ac:dyDescent="0.25">
      <c r="D219" s="109">
        <v>215</v>
      </c>
      <c r="E219" s="10">
        <v>513</v>
      </c>
      <c r="F219" s="10">
        <v>3</v>
      </c>
      <c r="G219" s="10">
        <v>0</v>
      </c>
      <c r="H219" s="5" t="str">
        <f t="shared" si="9"/>
        <v>det_513</v>
      </c>
      <c r="I219" s="5" t="str">
        <f t="shared" si="10"/>
        <v>W:\Performance Measurement\1. Freeway\1. raw data\2015\data files\det_513.txt</v>
      </c>
      <c r="J219" s="5" t="str">
        <f t="shared" si="11"/>
        <v>W:\Performance Measurement\1. Freeway\1. raw data\2015\data files\det_513.xlsx</v>
      </c>
      <c r="K219" s="5"/>
      <c r="M219" s="113" t="s">
        <v>71</v>
      </c>
      <c r="N219" s="10">
        <v>513</v>
      </c>
      <c r="O219" s="10">
        <v>3</v>
      </c>
      <c r="P219" s="10">
        <v>0</v>
      </c>
    </row>
    <row r="220" spans="4:16" x14ac:dyDescent="0.25">
      <c r="D220" s="109">
        <v>216</v>
      </c>
      <c r="E220" s="112">
        <v>544</v>
      </c>
      <c r="F220" s="112">
        <v>3</v>
      </c>
      <c r="G220" s="112">
        <v>1</v>
      </c>
      <c r="H220" s="5" t="str">
        <f t="shared" si="9"/>
        <v>det_544</v>
      </c>
      <c r="I220" s="5" t="str">
        <f t="shared" si="10"/>
        <v>W:\Performance Measurement\1. Freeway\1. raw data\2015\data files\det_544.txt</v>
      </c>
      <c r="J220" s="5" t="str">
        <f t="shared" si="11"/>
        <v>W:\Performance Measurement\1. Freeway\1. raw data\2015\data files\det_544.xlsx</v>
      </c>
      <c r="K220" s="5"/>
      <c r="M220" s="113" t="s">
        <v>71</v>
      </c>
      <c r="N220" s="10">
        <v>544</v>
      </c>
      <c r="O220" s="10">
        <v>3</v>
      </c>
      <c r="P220" s="10">
        <v>1</v>
      </c>
    </row>
    <row r="221" spans="4:16" x14ac:dyDescent="0.25">
      <c r="D221" s="109">
        <v>217</v>
      </c>
      <c r="E221" s="10">
        <v>545</v>
      </c>
      <c r="F221" s="10">
        <v>3</v>
      </c>
      <c r="G221" s="10">
        <v>1</v>
      </c>
      <c r="H221" s="5" t="str">
        <f t="shared" si="9"/>
        <v>det_545</v>
      </c>
      <c r="I221" s="5" t="str">
        <f t="shared" si="10"/>
        <v>W:\Performance Measurement\1. Freeway\1. raw data\2015\data files\det_545.txt</v>
      </c>
      <c r="J221" s="5" t="str">
        <f t="shared" si="11"/>
        <v>W:\Performance Measurement\1. Freeway\1. raw data\2015\data files\det_545.xlsx</v>
      </c>
      <c r="K221" s="5"/>
      <c r="M221" s="113" t="s">
        <v>71</v>
      </c>
      <c r="N221" s="10">
        <v>545</v>
      </c>
      <c r="O221" s="10">
        <v>3</v>
      </c>
      <c r="P221" s="10">
        <v>1</v>
      </c>
    </row>
    <row r="222" spans="4:16" x14ac:dyDescent="0.25">
      <c r="D222" s="109">
        <v>218</v>
      </c>
      <c r="E222" s="10">
        <v>546</v>
      </c>
      <c r="F222" s="10">
        <v>3</v>
      </c>
      <c r="G222" s="10">
        <v>1</v>
      </c>
      <c r="H222" s="5" t="str">
        <f t="shared" si="9"/>
        <v>det_546</v>
      </c>
      <c r="I222" s="5" t="str">
        <f t="shared" si="10"/>
        <v>W:\Performance Measurement\1. Freeway\1. raw data\2015\data files\det_546.txt</v>
      </c>
      <c r="J222" s="5" t="str">
        <f t="shared" si="11"/>
        <v>W:\Performance Measurement\1. Freeway\1. raw data\2015\data files\det_546.xlsx</v>
      </c>
      <c r="K222" s="5"/>
      <c r="M222" s="113" t="s">
        <v>71</v>
      </c>
      <c r="N222" s="10">
        <v>546</v>
      </c>
      <c r="O222" s="10">
        <v>3</v>
      </c>
      <c r="P222" s="10">
        <v>1</v>
      </c>
    </row>
    <row r="223" spans="4:16" x14ac:dyDescent="0.25">
      <c r="D223" s="109">
        <v>219</v>
      </c>
      <c r="E223" s="10">
        <v>547</v>
      </c>
      <c r="F223" s="10">
        <v>3</v>
      </c>
      <c r="G223" s="10">
        <v>1</v>
      </c>
      <c r="H223" s="5" t="str">
        <f t="shared" si="9"/>
        <v>det_547</v>
      </c>
      <c r="I223" s="5" t="str">
        <f t="shared" si="10"/>
        <v>W:\Performance Measurement\1. Freeway\1. raw data\2015\data files\det_547.txt</v>
      </c>
      <c r="J223" s="5" t="str">
        <f t="shared" si="11"/>
        <v>W:\Performance Measurement\1. Freeway\1. raw data\2015\data files\det_547.xlsx</v>
      </c>
      <c r="K223" s="5"/>
      <c r="M223" s="113" t="s">
        <v>71</v>
      </c>
      <c r="N223" s="10">
        <v>547</v>
      </c>
      <c r="O223" s="10">
        <v>3</v>
      </c>
      <c r="P223" s="10">
        <v>1</v>
      </c>
    </row>
    <row r="224" spans="4:16" x14ac:dyDescent="0.25">
      <c r="D224" s="109">
        <v>220</v>
      </c>
      <c r="E224" s="10">
        <v>548</v>
      </c>
      <c r="F224" s="10">
        <v>2</v>
      </c>
      <c r="G224" s="10">
        <v>0</v>
      </c>
      <c r="H224" s="5" t="str">
        <f t="shared" si="9"/>
        <v>det_548</v>
      </c>
      <c r="I224" s="5" t="str">
        <f t="shared" si="10"/>
        <v>W:\Performance Measurement\1. Freeway\1. raw data\2015\data files\det_548.txt</v>
      </c>
      <c r="J224" s="5" t="str">
        <f t="shared" si="11"/>
        <v>W:\Performance Measurement\1. Freeway\1. raw data\2015\data files\det_548.xlsx</v>
      </c>
      <c r="K224" s="5"/>
      <c r="M224" s="113" t="s">
        <v>71</v>
      </c>
      <c r="N224" s="10">
        <v>548</v>
      </c>
      <c r="O224" s="10">
        <v>2</v>
      </c>
      <c r="P224" s="10">
        <v>0</v>
      </c>
    </row>
    <row r="225" spans="4:16" x14ac:dyDescent="0.25">
      <c r="D225" s="109">
        <v>221</v>
      </c>
      <c r="E225" s="10">
        <v>264</v>
      </c>
      <c r="F225" s="10">
        <v>5</v>
      </c>
      <c r="G225" s="10">
        <v>1</v>
      </c>
      <c r="H225" s="5" t="str">
        <f t="shared" si="9"/>
        <v>det_264</v>
      </c>
      <c r="I225" s="5" t="str">
        <f t="shared" si="10"/>
        <v>W:\Performance Measurement\1. Freeway\1. raw data\2015\data files\det_264.txt</v>
      </c>
      <c r="J225" s="5" t="str">
        <f t="shared" si="11"/>
        <v>W:\Performance Measurement\1. Freeway\1. raw data\2015\data files\det_264.xlsx</v>
      </c>
      <c r="K225" s="5"/>
      <c r="M225" s="113" t="s">
        <v>72</v>
      </c>
      <c r="N225" s="10">
        <v>264</v>
      </c>
      <c r="O225" s="10">
        <v>5</v>
      </c>
      <c r="P225" s="10">
        <v>1</v>
      </c>
    </row>
    <row r="226" spans="4:16" x14ac:dyDescent="0.25">
      <c r="D226" s="109">
        <v>222</v>
      </c>
      <c r="E226" s="10">
        <v>267</v>
      </c>
      <c r="F226" s="10">
        <v>4</v>
      </c>
      <c r="G226" s="10">
        <v>1</v>
      </c>
      <c r="H226" s="5" t="str">
        <f t="shared" si="9"/>
        <v>det_267</v>
      </c>
      <c r="I226" s="5" t="str">
        <f t="shared" si="10"/>
        <v>W:\Performance Measurement\1. Freeway\1. raw data\2015\data files\det_267.txt</v>
      </c>
      <c r="J226" s="5" t="str">
        <f t="shared" si="11"/>
        <v>W:\Performance Measurement\1. Freeway\1. raw data\2015\data files\det_267.xlsx</v>
      </c>
      <c r="K226" s="5"/>
      <c r="M226" s="113" t="s">
        <v>72</v>
      </c>
      <c r="N226" s="10">
        <v>267</v>
      </c>
      <c r="O226" s="10">
        <v>4</v>
      </c>
      <c r="P226" s="10">
        <v>1</v>
      </c>
    </row>
    <row r="227" spans="4:16" x14ac:dyDescent="0.25">
      <c r="D227" s="109">
        <v>223</v>
      </c>
      <c r="E227" s="10">
        <v>270</v>
      </c>
      <c r="F227" s="10">
        <v>3</v>
      </c>
      <c r="G227" s="10">
        <v>1</v>
      </c>
      <c r="H227" s="5" t="str">
        <f t="shared" si="9"/>
        <v>det_270</v>
      </c>
      <c r="I227" s="5" t="str">
        <f t="shared" si="10"/>
        <v>W:\Performance Measurement\1. Freeway\1. raw data\2015\data files\det_270.txt</v>
      </c>
      <c r="J227" s="5" t="str">
        <f t="shared" si="11"/>
        <v>W:\Performance Measurement\1. Freeway\1. raw data\2015\data files\det_270.xlsx</v>
      </c>
      <c r="K227" s="5"/>
      <c r="M227" s="113" t="s">
        <v>72</v>
      </c>
      <c r="N227" s="10">
        <v>270</v>
      </c>
      <c r="O227" s="10">
        <v>3</v>
      </c>
      <c r="P227" s="10">
        <v>1</v>
      </c>
    </row>
    <row r="228" spans="4:16" x14ac:dyDescent="0.25">
      <c r="D228" s="109">
        <v>224</v>
      </c>
      <c r="E228" s="10">
        <v>271</v>
      </c>
      <c r="F228" s="10">
        <v>3</v>
      </c>
      <c r="G228" s="10">
        <v>0</v>
      </c>
      <c r="H228" s="5" t="str">
        <f t="shared" si="9"/>
        <v>det_271</v>
      </c>
      <c r="I228" s="5" t="str">
        <f t="shared" si="10"/>
        <v>W:\Performance Measurement\1. Freeway\1. raw data\2015\data files\det_271.txt</v>
      </c>
      <c r="J228" s="5" t="str">
        <f t="shared" si="11"/>
        <v>W:\Performance Measurement\1. Freeway\1. raw data\2015\data files\det_271.xlsx</v>
      </c>
      <c r="K228" s="5"/>
      <c r="M228" s="113" t="s">
        <v>273</v>
      </c>
      <c r="N228" s="10">
        <v>271</v>
      </c>
      <c r="O228" s="10">
        <v>3</v>
      </c>
      <c r="P228" s="10">
        <v>0</v>
      </c>
    </row>
    <row r="229" spans="4:16" x14ac:dyDescent="0.25">
      <c r="D229" s="109">
        <v>225</v>
      </c>
      <c r="E229" s="10">
        <v>256</v>
      </c>
      <c r="F229" s="10">
        <v>3</v>
      </c>
      <c r="G229" s="10">
        <v>1</v>
      </c>
      <c r="H229" s="5" t="str">
        <f t="shared" si="9"/>
        <v>det_256</v>
      </c>
      <c r="I229" s="5" t="str">
        <f t="shared" si="10"/>
        <v>W:\Performance Measurement\1. Freeway\1. raw data\2015\data files\det_256.txt</v>
      </c>
      <c r="J229" s="5" t="str">
        <f t="shared" si="11"/>
        <v>W:\Performance Measurement\1. Freeway\1. raw data\2015\data files\det_256.xlsx</v>
      </c>
      <c r="K229" s="5"/>
      <c r="M229" s="113" t="s">
        <v>72</v>
      </c>
      <c r="N229" s="10">
        <v>256</v>
      </c>
      <c r="O229" s="10">
        <v>3</v>
      </c>
      <c r="P229" s="10">
        <v>1</v>
      </c>
    </row>
    <row r="230" spans="4:16" x14ac:dyDescent="0.25">
      <c r="D230" s="109">
        <v>226</v>
      </c>
      <c r="E230" s="10">
        <v>258</v>
      </c>
      <c r="F230" s="10">
        <v>5</v>
      </c>
      <c r="G230" s="10">
        <v>1</v>
      </c>
      <c r="H230" s="5" t="str">
        <f t="shared" si="9"/>
        <v>det_258</v>
      </c>
      <c r="I230" s="5" t="str">
        <f t="shared" si="10"/>
        <v>W:\Performance Measurement\1. Freeway\1. raw data\2015\data files\det_258.txt</v>
      </c>
      <c r="J230" s="5" t="str">
        <f t="shared" si="11"/>
        <v>W:\Performance Measurement\1. Freeway\1. raw data\2015\data files\det_258.xlsx</v>
      </c>
      <c r="K230" s="5"/>
      <c r="M230" s="113" t="s">
        <v>72</v>
      </c>
      <c r="N230" s="10">
        <v>258</v>
      </c>
      <c r="O230" s="10">
        <v>5</v>
      </c>
      <c r="P230" s="10">
        <v>1</v>
      </c>
    </row>
    <row r="231" spans="4:16" x14ac:dyDescent="0.25">
      <c r="D231" s="109">
        <v>227</v>
      </c>
      <c r="E231" s="10">
        <v>261</v>
      </c>
      <c r="F231" s="10">
        <v>4</v>
      </c>
      <c r="G231" s="10">
        <v>1</v>
      </c>
      <c r="H231" s="5" t="str">
        <f t="shared" si="9"/>
        <v>det_261</v>
      </c>
      <c r="I231" s="5" t="str">
        <f t="shared" si="10"/>
        <v>W:\Performance Measurement\1. Freeway\1. raw data\2015\data files\det_261.txt</v>
      </c>
      <c r="J231" s="5" t="str">
        <f t="shared" si="11"/>
        <v>W:\Performance Measurement\1. Freeway\1. raw data\2015\data files\det_261.xlsx</v>
      </c>
      <c r="K231" s="5"/>
      <c r="M231" s="113" t="s">
        <v>72</v>
      </c>
      <c r="N231" s="10">
        <v>261</v>
      </c>
      <c r="O231" s="10">
        <v>4</v>
      </c>
      <c r="P231" s="10">
        <v>1</v>
      </c>
    </row>
    <row r="232" spans="4:16" x14ac:dyDescent="0.25">
      <c r="D232" s="109">
        <v>228</v>
      </c>
      <c r="E232" s="10">
        <v>263</v>
      </c>
      <c r="F232" s="10">
        <v>4</v>
      </c>
      <c r="G232" s="10">
        <v>1</v>
      </c>
      <c r="H232" s="5" t="str">
        <f t="shared" si="9"/>
        <v>det_263</v>
      </c>
      <c r="I232" s="5" t="str">
        <f t="shared" si="10"/>
        <v>W:\Performance Measurement\1. Freeway\1. raw data\2015\data files\det_263.txt</v>
      </c>
      <c r="J232" s="5" t="str">
        <f t="shared" si="11"/>
        <v>W:\Performance Measurement\1. Freeway\1. raw data\2015\data files\det_263.xlsx</v>
      </c>
      <c r="K232" s="5"/>
      <c r="M232" s="113" t="s">
        <v>72</v>
      </c>
      <c r="N232" s="10">
        <v>263</v>
      </c>
      <c r="O232" s="10">
        <v>4</v>
      </c>
      <c r="P232" s="10">
        <v>1</v>
      </c>
    </row>
    <row r="233" spans="4:16" x14ac:dyDescent="0.25">
      <c r="D233" s="109">
        <v>229</v>
      </c>
      <c r="E233" s="10">
        <v>507</v>
      </c>
      <c r="F233" s="10">
        <v>3</v>
      </c>
      <c r="G233" s="10">
        <v>1</v>
      </c>
      <c r="H233" s="5" t="str">
        <f t="shared" si="9"/>
        <v>det_507</v>
      </c>
      <c r="I233" s="5" t="str">
        <f t="shared" si="10"/>
        <v>W:\Performance Measurement\1. Freeway\1. raw data\2015\data files\det_507.txt</v>
      </c>
      <c r="J233" s="5" t="str">
        <f t="shared" si="11"/>
        <v>W:\Performance Measurement\1. Freeway\1. raw data\2015\data files\det_507.xlsx</v>
      </c>
      <c r="K233" s="5"/>
      <c r="M233" s="113" t="s">
        <v>72</v>
      </c>
      <c r="N233" s="10">
        <v>507</v>
      </c>
      <c r="O233" s="10">
        <v>3</v>
      </c>
      <c r="P233" s="10">
        <v>1</v>
      </c>
    </row>
    <row r="234" spans="4:16" x14ac:dyDescent="0.25">
      <c r="D234" s="109">
        <v>230</v>
      </c>
      <c r="E234" s="10">
        <v>549</v>
      </c>
      <c r="F234" s="10">
        <v>4</v>
      </c>
      <c r="G234" s="10">
        <v>1</v>
      </c>
      <c r="H234" s="5" t="str">
        <f t="shared" si="9"/>
        <v>det_549</v>
      </c>
      <c r="I234" s="5" t="str">
        <f t="shared" si="10"/>
        <v>W:\Performance Measurement\1. Freeway\1. raw data\2015\data files\det_549.txt</v>
      </c>
      <c r="J234" s="5" t="str">
        <f t="shared" si="11"/>
        <v>W:\Performance Measurement\1. Freeway\1. raw data\2015\data files\det_549.xlsx</v>
      </c>
      <c r="K234" s="5"/>
      <c r="M234" s="113" t="s">
        <v>73</v>
      </c>
      <c r="N234" s="10">
        <v>549</v>
      </c>
      <c r="O234" s="10">
        <v>4</v>
      </c>
      <c r="P234" s="10">
        <v>1</v>
      </c>
    </row>
    <row r="235" spans="4:16" x14ac:dyDescent="0.25">
      <c r="D235" s="109">
        <v>231</v>
      </c>
      <c r="E235" s="10">
        <v>550</v>
      </c>
      <c r="F235" s="10">
        <v>3</v>
      </c>
      <c r="G235" s="10">
        <v>1</v>
      </c>
      <c r="H235" s="5" t="str">
        <f t="shared" si="9"/>
        <v>det_550</v>
      </c>
      <c r="I235" s="5" t="str">
        <f t="shared" si="10"/>
        <v>W:\Performance Measurement\1. Freeway\1. raw data\2015\data files\det_550.txt</v>
      </c>
      <c r="J235" s="5" t="str">
        <f t="shared" si="11"/>
        <v>W:\Performance Measurement\1. Freeway\1. raw data\2015\data files\det_550.xlsx</v>
      </c>
      <c r="K235" s="5"/>
      <c r="M235" s="113" t="s">
        <v>74</v>
      </c>
      <c r="N235" s="10">
        <v>550</v>
      </c>
      <c r="O235" s="10">
        <v>3</v>
      </c>
      <c r="P235" s="10">
        <v>1</v>
      </c>
    </row>
    <row r="236" spans="4:16" x14ac:dyDescent="0.25">
      <c r="D236" s="109">
        <v>232</v>
      </c>
      <c r="E236" s="10">
        <v>551</v>
      </c>
      <c r="F236" s="10">
        <v>3</v>
      </c>
      <c r="G236" s="10">
        <v>1</v>
      </c>
      <c r="H236" s="5" t="str">
        <f t="shared" si="9"/>
        <v>det_551</v>
      </c>
      <c r="I236" s="5" t="str">
        <f t="shared" si="10"/>
        <v>W:\Performance Measurement\1. Freeway\1. raw data\2015\data files\det_551.txt</v>
      </c>
      <c r="J236" s="5" t="str">
        <f t="shared" si="11"/>
        <v>W:\Performance Measurement\1. Freeway\1. raw data\2015\data files\det_551.xlsx</v>
      </c>
      <c r="K236" s="5"/>
      <c r="M236" s="113" t="s">
        <v>73</v>
      </c>
      <c r="N236" s="10">
        <v>551</v>
      </c>
      <c r="O236" s="10">
        <v>3</v>
      </c>
      <c r="P236" s="10">
        <v>1</v>
      </c>
    </row>
    <row r="237" spans="4:16" x14ac:dyDescent="0.25">
      <c r="D237" s="109">
        <v>233</v>
      </c>
      <c r="E237" s="10">
        <v>552</v>
      </c>
      <c r="F237" s="10">
        <v>3</v>
      </c>
      <c r="G237" s="10">
        <v>1</v>
      </c>
      <c r="H237" s="5" t="str">
        <f t="shared" si="9"/>
        <v>det_552</v>
      </c>
      <c r="I237" s="5" t="str">
        <f t="shared" si="10"/>
        <v>W:\Performance Measurement\1. Freeway\1. raw data\2015\data files\det_552.txt</v>
      </c>
      <c r="J237" s="5" t="str">
        <f t="shared" si="11"/>
        <v>W:\Performance Measurement\1. Freeway\1. raw data\2015\data files\det_552.xlsx</v>
      </c>
      <c r="K237" s="5"/>
      <c r="M237" s="113" t="s">
        <v>74</v>
      </c>
      <c r="N237" s="10">
        <v>552</v>
      </c>
      <c r="O237" s="10">
        <v>3</v>
      </c>
      <c r="P237" s="10">
        <v>1</v>
      </c>
    </row>
    <row r="238" spans="4:16" x14ac:dyDescent="0.25">
      <c r="D238" s="109">
        <v>234</v>
      </c>
      <c r="E238" s="10">
        <v>553</v>
      </c>
      <c r="F238" s="10">
        <v>3</v>
      </c>
      <c r="G238" s="10">
        <v>1</v>
      </c>
      <c r="H238" s="5" t="str">
        <f t="shared" si="9"/>
        <v>det_553</v>
      </c>
      <c r="I238" s="5" t="str">
        <f t="shared" si="10"/>
        <v>W:\Performance Measurement\1. Freeway\1. raw data\2015\data files\det_553.txt</v>
      </c>
      <c r="J238" s="5" t="str">
        <f t="shared" si="11"/>
        <v>W:\Performance Measurement\1. Freeway\1. raw data\2015\data files\det_553.xlsx</v>
      </c>
      <c r="K238" s="5"/>
      <c r="M238" s="113" t="s">
        <v>73</v>
      </c>
      <c r="N238" s="10">
        <v>553</v>
      </c>
      <c r="O238" s="10">
        <v>3</v>
      </c>
      <c r="P238" s="10">
        <v>1</v>
      </c>
    </row>
    <row r="239" spans="4:16" x14ac:dyDescent="0.25">
      <c r="D239" s="109">
        <v>235</v>
      </c>
      <c r="E239" s="10">
        <v>554</v>
      </c>
      <c r="F239" s="10">
        <v>3</v>
      </c>
      <c r="G239" s="10">
        <v>1</v>
      </c>
      <c r="H239" s="5" t="str">
        <f t="shared" si="9"/>
        <v>det_554</v>
      </c>
      <c r="I239" s="5" t="str">
        <f t="shared" si="10"/>
        <v>W:\Performance Measurement\1. Freeway\1. raw data\2015\data files\det_554.txt</v>
      </c>
      <c r="J239" s="5" t="str">
        <f t="shared" si="11"/>
        <v>W:\Performance Measurement\1. Freeway\1. raw data\2015\data files\det_554.xlsx</v>
      </c>
      <c r="K239" s="5"/>
      <c r="M239" s="113" t="s">
        <v>74</v>
      </c>
      <c r="N239" s="10">
        <v>554</v>
      </c>
      <c r="O239" s="10">
        <v>3</v>
      </c>
      <c r="P239" s="10">
        <v>1</v>
      </c>
    </row>
    <row r="240" spans="4:16" x14ac:dyDescent="0.25">
      <c r="D240" s="109">
        <v>236</v>
      </c>
      <c r="E240" s="10">
        <v>555</v>
      </c>
      <c r="F240" s="10">
        <v>3</v>
      </c>
      <c r="G240" s="10">
        <v>1</v>
      </c>
      <c r="H240" s="5" t="str">
        <f t="shared" si="9"/>
        <v>det_555</v>
      </c>
      <c r="I240" s="5" t="str">
        <f t="shared" si="10"/>
        <v>W:\Performance Measurement\1. Freeway\1. raw data\2015\data files\det_555.txt</v>
      </c>
      <c r="J240" s="5" t="str">
        <f t="shared" si="11"/>
        <v>W:\Performance Measurement\1. Freeway\1. raw data\2015\data files\det_555.xlsx</v>
      </c>
      <c r="K240" s="5"/>
      <c r="M240" s="113" t="s">
        <v>73</v>
      </c>
      <c r="N240" s="10">
        <v>555</v>
      </c>
      <c r="O240" s="10">
        <v>3</v>
      </c>
      <c r="P240" s="10">
        <v>1</v>
      </c>
    </row>
    <row r="241" spans="4:16" x14ac:dyDescent="0.25">
      <c r="D241" s="109">
        <v>237</v>
      </c>
      <c r="E241" s="10">
        <v>556</v>
      </c>
      <c r="F241" s="10">
        <v>3</v>
      </c>
      <c r="G241" s="10">
        <v>1</v>
      </c>
      <c r="H241" s="5" t="str">
        <f t="shared" si="9"/>
        <v>det_556</v>
      </c>
      <c r="I241" s="5" t="str">
        <f t="shared" si="10"/>
        <v>W:\Performance Measurement\1. Freeway\1. raw data\2015\data files\det_556.txt</v>
      </c>
      <c r="J241" s="5" t="str">
        <f t="shared" si="11"/>
        <v>W:\Performance Measurement\1. Freeway\1. raw data\2015\data files\det_556.xlsx</v>
      </c>
      <c r="K241" s="5"/>
      <c r="M241" s="113" t="s">
        <v>74</v>
      </c>
      <c r="N241" s="10">
        <v>556</v>
      </c>
      <c r="O241" s="10">
        <v>3</v>
      </c>
      <c r="P241" s="10">
        <v>1</v>
      </c>
    </row>
    <row r="242" spans="4:16" x14ac:dyDescent="0.25">
      <c r="D242" s="109">
        <v>238</v>
      </c>
      <c r="E242" s="10">
        <v>557</v>
      </c>
      <c r="F242" s="10">
        <v>3</v>
      </c>
      <c r="G242" s="10">
        <v>1</v>
      </c>
      <c r="H242" s="5" t="str">
        <f t="shared" si="9"/>
        <v>det_557</v>
      </c>
      <c r="I242" s="5" t="str">
        <f t="shared" si="10"/>
        <v>W:\Performance Measurement\1. Freeway\1. raw data\2015\data files\det_557.txt</v>
      </c>
      <c r="J242" s="5" t="str">
        <f t="shared" si="11"/>
        <v>W:\Performance Measurement\1. Freeway\1. raw data\2015\data files\det_557.xlsx</v>
      </c>
      <c r="K242" s="5"/>
      <c r="M242" s="113" t="s">
        <v>73</v>
      </c>
      <c r="N242" s="10">
        <v>557</v>
      </c>
      <c r="O242" s="10">
        <v>3</v>
      </c>
      <c r="P242" s="10">
        <v>1</v>
      </c>
    </row>
    <row r="243" spans="4:16" x14ac:dyDescent="0.25">
      <c r="D243" s="109">
        <v>239</v>
      </c>
      <c r="E243" s="10">
        <v>570</v>
      </c>
      <c r="F243" s="10">
        <v>3</v>
      </c>
      <c r="G243" s="10">
        <v>1</v>
      </c>
      <c r="H243" s="5" t="str">
        <f t="shared" si="9"/>
        <v>det_570</v>
      </c>
      <c r="I243" s="5" t="str">
        <f t="shared" si="10"/>
        <v>W:\Performance Measurement\1. Freeway\1. raw data\2015\data files\det_570.txt</v>
      </c>
      <c r="J243" s="5" t="str">
        <f t="shared" si="11"/>
        <v>W:\Performance Measurement\1. Freeway\1. raw data\2015\data files\det_570.xlsx</v>
      </c>
      <c r="K243" s="5"/>
      <c r="M243" s="113" t="s">
        <v>74</v>
      </c>
      <c r="N243" s="10">
        <v>570</v>
      </c>
      <c r="O243" s="10">
        <v>3</v>
      </c>
      <c r="P243" s="10">
        <v>1</v>
      </c>
    </row>
    <row r="244" spans="4:16" x14ac:dyDescent="0.25">
      <c r="D244" s="109">
        <v>240</v>
      </c>
      <c r="E244" s="10">
        <v>571</v>
      </c>
      <c r="F244" s="10">
        <v>3</v>
      </c>
      <c r="G244" s="10">
        <v>1</v>
      </c>
      <c r="H244" s="5" t="str">
        <f t="shared" si="9"/>
        <v>det_571</v>
      </c>
      <c r="I244" s="5" t="str">
        <f t="shared" si="10"/>
        <v>W:\Performance Measurement\1. Freeway\1. raw data\2015\data files\det_571.txt</v>
      </c>
      <c r="J244" s="5" t="str">
        <f t="shared" si="11"/>
        <v>W:\Performance Measurement\1. Freeway\1. raw data\2015\data files\det_571.xlsx</v>
      </c>
      <c r="K244" s="5"/>
      <c r="M244" s="113" t="s">
        <v>74</v>
      </c>
      <c r="N244" s="10">
        <v>571</v>
      </c>
      <c r="O244" s="10">
        <v>3</v>
      </c>
      <c r="P244" s="10">
        <v>1</v>
      </c>
    </row>
    <row r="245" spans="4:16" x14ac:dyDescent="0.25">
      <c r="D245" s="109">
        <v>241</v>
      </c>
      <c r="E245" s="10">
        <v>572</v>
      </c>
      <c r="F245" s="10">
        <v>3</v>
      </c>
      <c r="G245" s="10">
        <v>1</v>
      </c>
      <c r="H245" s="5" t="str">
        <f t="shared" si="9"/>
        <v>det_572</v>
      </c>
      <c r="I245" s="5" t="str">
        <f t="shared" si="10"/>
        <v>W:\Performance Measurement\1. Freeway\1. raw data\2015\data files\det_572.txt</v>
      </c>
      <c r="J245" s="5" t="str">
        <f t="shared" si="11"/>
        <v>W:\Performance Measurement\1. Freeway\1. raw data\2015\data files\det_572.xlsx</v>
      </c>
      <c r="K245" s="5"/>
      <c r="M245" s="113" t="s">
        <v>74</v>
      </c>
      <c r="N245" s="10">
        <v>572</v>
      </c>
      <c r="O245" s="10">
        <v>3</v>
      </c>
      <c r="P245" s="10">
        <v>1</v>
      </c>
    </row>
    <row r="246" spans="4:16" x14ac:dyDescent="0.25">
      <c r="D246" s="109">
        <v>242</v>
      </c>
      <c r="E246" s="10">
        <v>573</v>
      </c>
      <c r="F246" s="10">
        <v>3</v>
      </c>
      <c r="G246" s="10">
        <v>1</v>
      </c>
      <c r="H246" s="5" t="str">
        <f t="shared" si="9"/>
        <v>det_573</v>
      </c>
      <c r="I246" s="5" t="str">
        <f t="shared" si="10"/>
        <v>W:\Performance Measurement\1. Freeway\1. raw data\2015\data files\det_573.txt</v>
      </c>
      <c r="J246" s="5" t="str">
        <f t="shared" si="11"/>
        <v>W:\Performance Measurement\1. Freeway\1. raw data\2015\data files\det_573.xlsx</v>
      </c>
      <c r="K246" s="5"/>
      <c r="M246" s="113" t="s">
        <v>74</v>
      </c>
      <c r="N246" s="10">
        <v>573</v>
      </c>
      <c r="O246" s="10">
        <v>3</v>
      </c>
      <c r="P246" s="10">
        <v>1</v>
      </c>
    </row>
    <row r="247" spans="4:16" x14ac:dyDescent="0.25">
      <c r="D247" s="109">
        <v>243</v>
      </c>
      <c r="E247" s="10">
        <v>574</v>
      </c>
      <c r="F247" s="10">
        <v>3</v>
      </c>
      <c r="G247" s="10">
        <v>1</v>
      </c>
      <c r="H247" s="5" t="str">
        <f t="shared" si="9"/>
        <v>det_574</v>
      </c>
      <c r="I247" s="5" t="str">
        <f t="shared" si="10"/>
        <v>W:\Performance Measurement\1. Freeway\1. raw data\2015\data files\det_574.txt</v>
      </c>
      <c r="J247" s="5" t="str">
        <f t="shared" si="11"/>
        <v>W:\Performance Measurement\1. Freeway\1. raw data\2015\data files\det_574.xlsx</v>
      </c>
      <c r="K247" s="5"/>
      <c r="M247" s="113" t="s">
        <v>74</v>
      </c>
      <c r="N247" s="10">
        <v>574</v>
      </c>
      <c r="O247" s="10">
        <v>3</v>
      </c>
      <c r="P247" s="10">
        <v>1</v>
      </c>
    </row>
    <row r="248" spans="4:16" x14ac:dyDescent="0.25">
      <c r="D248" s="109">
        <v>244</v>
      </c>
      <c r="E248" s="10">
        <v>575</v>
      </c>
      <c r="F248" s="10">
        <v>3</v>
      </c>
      <c r="G248" s="10">
        <v>1</v>
      </c>
      <c r="H248" s="5" t="str">
        <f t="shared" si="9"/>
        <v>det_575</v>
      </c>
      <c r="I248" s="5" t="str">
        <f t="shared" si="10"/>
        <v>W:\Performance Measurement\1. Freeway\1. raw data\2015\data files\det_575.txt</v>
      </c>
      <c r="J248" s="5" t="str">
        <f t="shared" si="11"/>
        <v>W:\Performance Measurement\1. Freeway\1. raw data\2015\data files\det_575.xlsx</v>
      </c>
      <c r="K248" s="5"/>
      <c r="M248" s="113" t="s">
        <v>74</v>
      </c>
      <c r="N248" s="10">
        <v>575</v>
      </c>
      <c r="O248" s="10">
        <v>3</v>
      </c>
      <c r="P248" s="10">
        <v>1</v>
      </c>
    </row>
    <row r="249" spans="4:16" x14ac:dyDescent="0.25">
      <c r="D249" s="109">
        <v>245</v>
      </c>
      <c r="E249" s="10">
        <v>576</v>
      </c>
      <c r="F249" s="10">
        <v>3</v>
      </c>
      <c r="G249" s="10">
        <v>1</v>
      </c>
      <c r="H249" s="5" t="str">
        <f t="shared" si="9"/>
        <v>det_576</v>
      </c>
      <c r="I249" s="5" t="str">
        <f t="shared" si="10"/>
        <v>W:\Performance Measurement\1. Freeway\1. raw data\2015\data files\det_576.txt</v>
      </c>
      <c r="J249" s="5" t="str">
        <f t="shared" si="11"/>
        <v>W:\Performance Measurement\1. Freeway\1. raw data\2015\data files\det_576.xlsx</v>
      </c>
      <c r="K249" s="5"/>
      <c r="M249" s="113" t="s">
        <v>74</v>
      </c>
      <c r="N249" s="10">
        <v>576</v>
      </c>
      <c r="O249" s="10">
        <v>3</v>
      </c>
      <c r="P249" s="10">
        <v>1</v>
      </c>
    </row>
    <row r="250" spans="4:16" x14ac:dyDescent="0.25">
      <c r="D250" s="109">
        <v>246</v>
      </c>
      <c r="E250" s="10">
        <v>577</v>
      </c>
      <c r="F250" s="10">
        <v>3</v>
      </c>
      <c r="G250" s="10">
        <v>1</v>
      </c>
      <c r="H250" s="5" t="str">
        <f t="shared" si="9"/>
        <v>det_577</v>
      </c>
      <c r="I250" s="5" t="str">
        <f t="shared" si="10"/>
        <v>W:\Performance Measurement\1. Freeway\1. raw data\2015\data files\det_577.txt</v>
      </c>
      <c r="J250" s="5" t="str">
        <f t="shared" si="11"/>
        <v>W:\Performance Measurement\1. Freeway\1. raw data\2015\data files\det_577.xlsx</v>
      </c>
      <c r="K250" s="5"/>
      <c r="M250" s="113" t="s">
        <v>74</v>
      </c>
      <c r="N250" s="10">
        <v>577</v>
      </c>
      <c r="O250" s="10">
        <v>3</v>
      </c>
      <c r="P250" s="10">
        <v>1</v>
      </c>
    </row>
    <row r="251" spans="4:16" x14ac:dyDescent="0.25">
      <c r="D251" s="109">
        <v>247</v>
      </c>
      <c r="E251" s="10">
        <v>578</v>
      </c>
      <c r="F251" s="10">
        <v>4</v>
      </c>
      <c r="G251" s="10">
        <v>1</v>
      </c>
      <c r="H251" s="5" t="str">
        <f t="shared" si="9"/>
        <v>det_578</v>
      </c>
      <c r="I251" s="5" t="str">
        <f t="shared" si="10"/>
        <v>W:\Performance Measurement\1. Freeway\1. raw data\2015\data files\det_578.txt</v>
      </c>
      <c r="J251" s="5" t="str">
        <f t="shared" si="11"/>
        <v>W:\Performance Measurement\1. Freeway\1. raw data\2015\data files\det_578.xlsx</v>
      </c>
      <c r="K251" s="5"/>
      <c r="M251" s="113" t="s">
        <v>74</v>
      </c>
      <c r="N251" s="10">
        <v>578</v>
      </c>
      <c r="O251" s="10">
        <v>4</v>
      </c>
      <c r="P251" s="10">
        <v>1</v>
      </c>
    </row>
    <row r="252" spans="4:16" x14ac:dyDescent="0.25">
      <c r="D252" s="109">
        <v>248</v>
      </c>
      <c r="E252" s="10">
        <v>255</v>
      </c>
      <c r="F252" s="10">
        <v>4</v>
      </c>
      <c r="G252" s="10">
        <v>0</v>
      </c>
      <c r="H252" s="5" t="str">
        <f t="shared" si="9"/>
        <v>det_255</v>
      </c>
      <c r="I252" s="5" t="str">
        <f t="shared" si="10"/>
        <v>W:\Performance Measurement\1. Freeway\1. raw data\2015\data files\det_255.txt</v>
      </c>
      <c r="J252" s="5" t="str">
        <f t="shared" si="11"/>
        <v>W:\Performance Measurement\1. Freeway\1. raw data\2015\data files\det_255.xlsx</v>
      </c>
      <c r="K252" s="5"/>
      <c r="M252" s="113" t="s">
        <v>73</v>
      </c>
      <c r="N252" s="10">
        <v>255</v>
      </c>
      <c r="O252" s="10">
        <v>4</v>
      </c>
      <c r="P252" s="10">
        <v>0</v>
      </c>
    </row>
    <row r="253" spans="4:16" x14ac:dyDescent="0.25">
      <c r="D253" s="109">
        <v>249</v>
      </c>
      <c r="E253" s="10">
        <v>558</v>
      </c>
      <c r="F253" s="10">
        <v>3</v>
      </c>
      <c r="G253" s="10">
        <v>1</v>
      </c>
      <c r="H253" s="5" t="str">
        <f t="shared" si="9"/>
        <v>det_558</v>
      </c>
      <c r="I253" s="5" t="str">
        <f t="shared" si="10"/>
        <v>W:\Performance Measurement\1. Freeway\1. raw data\2015\data files\det_558.txt</v>
      </c>
      <c r="J253" s="5" t="str">
        <f t="shared" si="11"/>
        <v>W:\Performance Measurement\1. Freeway\1. raw data\2015\data files\det_558.xlsx</v>
      </c>
      <c r="K253" s="5"/>
      <c r="M253" s="113" t="s">
        <v>75</v>
      </c>
      <c r="N253" s="10">
        <v>558</v>
      </c>
      <c r="O253" s="10">
        <v>3</v>
      </c>
      <c r="P253" s="10">
        <v>1</v>
      </c>
    </row>
    <row r="254" spans="4:16" x14ac:dyDescent="0.25">
      <c r="D254" s="109">
        <v>250</v>
      </c>
      <c r="E254" s="10">
        <v>559</v>
      </c>
      <c r="F254" s="10">
        <v>3</v>
      </c>
      <c r="G254" s="10">
        <v>1</v>
      </c>
      <c r="H254" s="5" t="str">
        <f t="shared" si="9"/>
        <v>det_559</v>
      </c>
      <c r="I254" s="5" t="str">
        <f t="shared" si="10"/>
        <v>W:\Performance Measurement\1. Freeway\1. raw data\2015\data files\det_559.txt</v>
      </c>
      <c r="J254" s="5" t="str">
        <f t="shared" si="11"/>
        <v>W:\Performance Measurement\1. Freeway\1. raw data\2015\data files\det_559.xlsx</v>
      </c>
      <c r="M254" s="113" t="s">
        <v>75</v>
      </c>
      <c r="N254" s="10">
        <v>559</v>
      </c>
      <c r="O254" s="10">
        <v>3</v>
      </c>
      <c r="P254" s="10">
        <v>1</v>
      </c>
    </row>
    <row r="255" spans="4:16" x14ac:dyDescent="0.25">
      <c r="D255" s="109">
        <v>251</v>
      </c>
      <c r="E255" s="10">
        <v>560</v>
      </c>
      <c r="F255" s="10">
        <v>3</v>
      </c>
      <c r="G255" s="10">
        <v>1</v>
      </c>
      <c r="H255" s="5" t="str">
        <f t="shared" si="9"/>
        <v>det_560</v>
      </c>
      <c r="I255" s="5" t="str">
        <f t="shared" si="10"/>
        <v>W:\Performance Measurement\1. Freeway\1. raw data\2015\data files\det_560.txt</v>
      </c>
      <c r="J255" s="5" t="str">
        <f t="shared" si="11"/>
        <v>W:\Performance Measurement\1. Freeway\1. raw data\2015\data files\det_560.xlsx</v>
      </c>
      <c r="M255" s="113" t="s">
        <v>75</v>
      </c>
      <c r="N255" s="10">
        <v>560</v>
      </c>
      <c r="O255" s="10">
        <v>3</v>
      </c>
      <c r="P255" s="10">
        <v>1</v>
      </c>
    </row>
    <row r="256" spans="4:16" x14ac:dyDescent="0.25">
      <c r="D256" s="109">
        <v>252</v>
      </c>
      <c r="E256" s="10">
        <v>561</v>
      </c>
      <c r="F256" s="10">
        <v>4</v>
      </c>
      <c r="G256" s="10">
        <v>1</v>
      </c>
      <c r="H256" s="5" t="str">
        <f t="shared" si="9"/>
        <v>det_561</v>
      </c>
      <c r="I256" s="5" t="str">
        <f t="shared" si="10"/>
        <v>W:\Performance Measurement\1. Freeway\1. raw data\2015\data files\det_561.txt</v>
      </c>
      <c r="J256" s="5" t="str">
        <f t="shared" si="11"/>
        <v>W:\Performance Measurement\1. Freeway\1. raw data\2015\data files\det_561.xlsx</v>
      </c>
      <c r="M256" s="113" t="s">
        <v>75</v>
      </c>
      <c r="N256" s="10">
        <v>561</v>
      </c>
      <c r="O256" s="10">
        <v>4</v>
      </c>
      <c r="P256" s="10">
        <v>1</v>
      </c>
    </row>
    <row r="257" spans="4:16" x14ac:dyDescent="0.25">
      <c r="D257" s="109">
        <v>253</v>
      </c>
      <c r="E257" s="10">
        <v>562</v>
      </c>
      <c r="F257" s="10">
        <v>3</v>
      </c>
      <c r="G257" s="10">
        <v>1</v>
      </c>
      <c r="H257" s="5" t="str">
        <f t="shared" si="9"/>
        <v>det_562</v>
      </c>
      <c r="I257" s="5" t="str">
        <f t="shared" si="10"/>
        <v>W:\Performance Measurement\1. Freeway\1. raw data\2015\data files\det_562.txt</v>
      </c>
      <c r="J257" s="5" t="str">
        <f t="shared" si="11"/>
        <v>W:\Performance Measurement\1. Freeway\1. raw data\2015\data files\det_562.xlsx</v>
      </c>
      <c r="M257" s="113" t="s">
        <v>75</v>
      </c>
      <c r="N257" s="10">
        <v>562</v>
      </c>
      <c r="O257" s="10">
        <v>3</v>
      </c>
      <c r="P257" s="10">
        <v>1</v>
      </c>
    </row>
    <row r="258" spans="4:16" x14ac:dyDescent="0.25">
      <c r="D258" s="109">
        <v>254</v>
      </c>
      <c r="E258" s="10">
        <v>563</v>
      </c>
      <c r="F258" s="10">
        <v>4</v>
      </c>
      <c r="G258" s="10">
        <v>1</v>
      </c>
      <c r="H258" s="5" t="str">
        <f t="shared" si="9"/>
        <v>det_563</v>
      </c>
      <c r="I258" s="5" t="str">
        <f t="shared" si="10"/>
        <v>W:\Performance Measurement\1. Freeway\1. raw data\2015\data files\det_563.txt</v>
      </c>
      <c r="J258" s="5" t="str">
        <f t="shared" si="11"/>
        <v>W:\Performance Measurement\1. Freeway\1. raw data\2015\data files\det_563.xlsx</v>
      </c>
      <c r="M258" s="113" t="s">
        <v>75</v>
      </c>
      <c r="N258" s="10">
        <v>563</v>
      </c>
      <c r="O258" s="10">
        <v>4</v>
      </c>
      <c r="P258" s="10">
        <v>1</v>
      </c>
    </row>
    <row r="259" spans="4:16" x14ac:dyDescent="0.25">
      <c r="D259" s="109">
        <v>255</v>
      </c>
      <c r="E259" s="10">
        <v>564</v>
      </c>
      <c r="F259" s="10">
        <v>3</v>
      </c>
      <c r="G259" s="10">
        <v>1</v>
      </c>
      <c r="H259" s="5" t="str">
        <f t="shared" si="9"/>
        <v>det_564</v>
      </c>
      <c r="I259" s="5" t="str">
        <f t="shared" si="10"/>
        <v>W:\Performance Measurement\1. Freeway\1. raw data\2015\data files\det_564.txt</v>
      </c>
      <c r="J259" s="5" t="str">
        <f t="shared" si="11"/>
        <v>W:\Performance Measurement\1. Freeway\1. raw data\2015\data files\det_564.xlsx</v>
      </c>
      <c r="M259" s="113" t="s">
        <v>75</v>
      </c>
      <c r="N259" s="10">
        <v>564</v>
      </c>
      <c r="O259" s="10">
        <v>3</v>
      </c>
      <c r="P259" s="10">
        <v>1</v>
      </c>
    </row>
    <row r="260" spans="4:16" x14ac:dyDescent="0.25">
      <c r="D260" s="109">
        <v>256</v>
      </c>
      <c r="E260" s="10">
        <v>565</v>
      </c>
      <c r="F260" s="10">
        <v>4</v>
      </c>
      <c r="G260" s="10">
        <v>1</v>
      </c>
      <c r="H260" s="5" t="str">
        <f t="shared" si="9"/>
        <v>det_565</v>
      </c>
      <c r="I260" s="5" t="str">
        <f t="shared" si="10"/>
        <v>W:\Performance Measurement\1. Freeway\1. raw data\2015\data files\det_565.txt</v>
      </c>
      <c r="J260" s="5" t="str">
        <f t="shared" si="11"/>
        <v>W:\Performance Measurement\1. Freeway\1. raw data\2015\data files\det_565.xlsx</v>
      </c>
      <c r="M260" s="113" t="s">
        <v>75</v>
      </c>
      <c r="N260" s="10">
        <v>565</v>
      </c>
      <c r="O260" s="10">
        <v>4</v>
      </c>
      <c r="P260" s="10">
        <v>1</v>
      </c>
    </row>
    <row r="261" spans="4:16" x14ac:dyDescent="0.25">
      <c r="D261" s="109">
        <v>257</v>
      </c>
      <c r="E261" s="10">
        <v>566</v>
      </c>
      <c r="F261" s="10">
        <v>3</v>
      </c>
      <c r="G261" s="10">
        <v>1</v>
      </c>
      <c r="H261" s="5" t="str">
        <f t="shared" ref="H261:H324" si="12">"det_"&amp;E261&amp;""</f>
        <v>det_566</v>
      </c>
      <c r="I261" s="5" t="str">
        <f t="shared" si="10"/>
        <v>W:\Performance Measurement\1. Freeway\1. raw data\2015\data files\det_566.txt</v>
      </c>
      <c r="J261" s="5" t="str">
        <f t="shared" si="11"/>
        <v>W:\Performance Measurement\1. Freeway\1. raw data\2015\data files\det_566.xlsx</v>
      </c>
      <c r="M261" s="113" t="s">
        <v>75</v>
      </c>
      <c r="N261" s="10">
        <v>566</v>
      </c>
      <c r="O261" s="10">
        <v>3</v>
      </c>
      <c r="P261" s="10">
        <v>1</v>
      </c>
    </row>
    <row r="262" spans="4:16" x14ac:dyDescent="0.25">
      <c r="D262" s="109">
        <v>258</v>
      </c>
      <c r="E262" s="10">
        <v>567</v>
      </c>
      <c r="F262" s="10">
        <v>4</v>
      </c>
      <c r="G262" s="10">
        <v>1</v>
      </c>
      <c r="H262" s="5" t="str">
        <f t="shared" si="12"/>
        <v>det_567</v>
      </c>
      <c r="I262" s="5" t="str">
        <f t="shared" si="10"/>
        <v>W:\Performance Measurement\1. Freeway\1. raw data\2015\data files\det_567.txt</v>
      </c>
      <c r="J262" s="5" t="str">
        <f t="shared" si="11"/>
        <v>W:\Performance Measurement\1. Freeway\1. raw data\2015\data files\det_567.xlsx</v>
      </c>
      <c r="K262" s="5"/>
      <c r="M262" s="113" t="s">
        <v>75</v>
      </c>
      <c r="N262" s="10">
        <v>567</v>
      </c>
      <c r="O262" s="10">
        <v>4</v>
      </c>
      <c r="P262" s="10">
        <v>1</v>
      </c>
    </row>
    <row r="263" spans="4:16" x14ac:dyDescent="0.25">
      <c r="D263" s="109">
        <v>259</v>
      </c>
      <c r="E263" s="10">
        <v>568</v>
      </c>
      <c r="F263" s="10">
        <v>3</v>
      </c>
      <c r="G263" s="10">
        <v>1</v>
      </c>
      <c r="H263" s="5" t="str">
        <f t="shared" si="12"/>
        <v>det_568</v>
      </c>
      <c r="I263" s="5" t="str">
        <f t="shared" si="10"/>
        <v>W:\Performance Measurement\1. Freeway\1. raw data\2015\data files\det_568.txt</v>
      </c>
      <c r="J263" s="5" t="str">
        <f t="shared" si="11"/>
        <v>W:\Performance Measurement\1. Freeway\1. raw data\2015\data files\det_568.xlsx</v>
      </c>
      <c r="M263" s="113" t="s">
        <v>75</v>
      </c>
      <c r="N263" s="10">
        <v>568</v>
      </c>
      <c r="O263" s="10">
        <v>3</v>
      </c>
      <c r="P263" s="10">
        <v>1</v>
      </c>
    </row>
    <row r="264" spans="4:16" x14ac:dyDescent="0.25">
      <c r="D264" s="109">
        <v>260</v>
      </c>
      <c r="E264" s="10">
        <v>569</v>
      </c>
      <c r="F264" s="10">
        <v>3</v>
      </c>
      <c r="G264" s="10">
        <v>1</v>
      </c>
      <c r="H264" s="5" t="str">
        <f t="shared" si="12"/>
        <v>det_569</v>
      </c>
      <c r="I264" s="5" t="str">
        <f t="shared" si="10"/>
        <v>W:\Performance Measurement\1. Freeway\1. raw data\2015\data files\det_569.txt</v>
      </c>
      <c r="J264" s="5" t="str">
        <f t="shared" si="11"/>
        <v>W:\Performance Measurement\1. Freeway\1. raw data\2015\data files\det_569.xlsx</v>
      </c>
      <c r="M264" s="113" t="s">
        <v>75</v>
      </c>
      <c r="N264" s="10">
        <v>569</v>
      </c>
      <c r="O264" s="10">
        <v>3</v>
      </c>
      <c r="P264" s="10">
        <v>1</v>
      </c>
    </row>
    <row r="265" spans="4:16" x14ac:dyDescent="0.25">
      <c r="D265" s="109">
        <v>261</v>
      </c>
      <c r="E265" s="10">
        <v>601</v>
      </c>
      <c r="F265" s="10">
        <v>4</v>
      </c>
      <c r="G265" s="10">
        <v>0</v>
      </c>
      <c r="H265" s="5" t="str">
        <f t="shared" si="12"/>
        <v>det_601</v>
      </c>
      <c r="I265" s="5" t="str">
        <f t="shared" si="10"/>
        <v>W:\Performance Measurement\1. Freeway\1. raw data\2015\data files\det_601.txt</v>
      </c>
      <c r="J265" s="5" t="str">
        <f t="shared" si="11"/>
        <v>W:\Performance Measurement\1. Freeway\1. raw data\2015\data files\det_601.xlsx</v>
      </c>
      <c r="M265" s="113" t="s">
        <v>76</v>
      </c>
      <c r="N265" s="10">
        <v>601</v>
      </c>
      <c r="O265" s="10">
        <v>4</v>
      </c>
      <c r="P265" s="10">
        <v>0</v>
      </c>
    </row>
    <row r="266" spans="4:16" x14ac:dyDescent="0.25">
      <c r="D266" s="109">
        <v>262</v>
      </c>
      <c r="E266" s="10">
        <v>602</v>
      </c>
      <c r="F266" s="10">
        <v>3</v>
      </c>
      <c r="G266" s="10">
        <v>1</v>
      </c>
      <c r="H266" s="5" t="str">
        <f t="shared" si="12"/>
        <v>det_602</v>
      </c>
      <c r="I266" s="5" t="str">
        <f t="shared" ref="I266:I329" si="13">$B$5&amp;"\"&amp;H266&amp;".txt"</f>
        <v>W:\Performance Measurement\1. Freeway\1. raw data\2015\data files\det_602.txt</v>
      </c>
      <c r="J266" s="5" t="str">
        <f t="shared" ref="J266:J329" si="14">$B$5&amp;"\"&amp;H266&amp;".xlsx"</f>
        <v>W:\Performance Measurement\1. Freeway\1. raw data\2015\data files\det_602.xlsx</v>
      </c>
      <c r="M266" s="113" t="s">
        <v>76</v>
      </c>
      <c r="N266" s="10">
        <v>602</v>
      </c>
      <c r="O266" s="10">
        <v>3</v>
      </c>
      <c r="P266" s="10">
        <v>1</v>
      </c>
    </row>
    <row r="267" spans="4:16" x14ac:dyDescent="0.25">
      <c r="D267" s="109">
        <v>263</v>
      </c>
      <c r="E267" s="10">
        <v>603</v>
      </c>
      <c r="F267" s="10">
        <v>3</v>
      </c>
      <c r="G267" s="10">
        <v>1</v>
      </c>
      <c r="H267" s="5" t="str">
        <f t="shared" si="12"/>
        <v>det_603</v>
      </c>
      <c r="I267" s="5" t="str">
        <f t="shared" si="13"/>
        <v>W:\Performance Measurement\1. Freeway\1. raw data\2015\data files\det_603.txt</v>
      </c>
      <c r="J267" s="5" t="str">
        <f t="shared" si="14"/>
        <v>W:\Performance Measurement\1. Freeway\1. raw data\2015\data files\det_603.xlsx</v>
      </c>
      <c r="M267" s="113" t="s">
        <v>76</v>
      </c>
      <c r="N267" s="10">
        <v>603</v>
      </c>
      <c r="O267" s="10">
        <v>3</v>
      </c>
      <c r="P267" s="10">
        <v>1</v>
      </c>
    </row>
    <row r="268" spans="4:16" x14ac:dyDescent="0.25">
      <c r="D268" s="109">
        <v>264</v>
      </c>
      <c r="E268" s="10">
        <v>604</v>
      </c>
      <c r="F268" s="10">
        <v>3</v>
      </c>
      <c r="G268" s="10">
        <v>1</v>
      </c>
      <c r="H268" s="5" t="str">
        <f t="shared" si="12"/>
        <v>det_604</v>
      </c>
      <c r="I268" s="5" t="str">
        <f t="shared" si="13"/>
        <v>W:\Performance Measurement\1. Freeway\1. raw data\2015\data files\det_604.txt</v>
      </c>
      <c r="J268" s="5" t="str">
        <f t="shared" si="14"/>
        <v>W:\Performance Measurement\1. Freeway\1. raw data\2015\data files\det_604.xlsx</v>
      </c>
      <c r="M268" s="113" t="s">
        <v>76</v>
      </c>
      <c r="N268" s="10">
        <v>604</v>
      </c>
      <c r="O268" s="10">
        <v>3</v>
      </c>
      <c r="P268" s="10">
        <v>1</v>
      </c>
    </row>
    <row r="269" spans="4:16" x14ac:dyDescent="0.25">
      <c r="D269" s="109">
        <v>265</v>
      </c>
      <c r="E269" s="10">
        <v>605</v>
      </c>
      <c r="F269" s="10">
        <v>3</v>
      </c>
      <c r="G269" s="10">
        <v>1</v>
      </c>
      <c r="H269" s="5" t="str">
        <f t="shared" si="12"/>
        <v>det_605</v>
      </c>
      <c r="I269" s="5" t="str">
        <f t="shared" si="13"/>
        <v>W:\Performance Measurement\1. Freeway\1. raw data\2015\data files\det_605.txt</v>
      </c>
      <c r="J269" s="5" t="str">
        <f t="shared" si="14"/>
        <v>W:\Performance Measurement\1. Freeway\1. raw data\2015\data files\det_605.xlsx</v>
      </c>
      <c r="M269" s="113" t="s">
        <v>76</v>
      </c>
      <c r="N269" s="10">
        <v>605</v>
      </c>
      <c r="O269" s="10">
        <v>3</v>
      </c>
      <c r="P269" s="10">
        <v>1</v>
      </c>
    </row>
    <row r="270" spans="4:16" x14ac:dyDescent="0.25">
      <c r="D270" s="109">
        <v>266</v>
      </c>
      <c r="E270" s="10">
        <v>606</v>
      </c>
      <c r="F270" s="10">
        <v>3</v>
      </c>
      <c r="G270" s="10">
        <v>1</v>
      </c>
      <c r="H270" s="5" t="str">
        <f t="shared" si="12"/>
        <v>det_606</v>
      </c>
      <c r="I270" s="5" t="str">
        <f t="shared" si="13"/>
        <v>W:\Performance Measurement\1. Freeway\1. raw data\2015\data files\det_606.txt</v>
      </c>
      <c r="J270" s="5" t="str">
        <f t="shared" si="14"/>
        <v>W:\Performance Measurement\1. Freeway\1. raw data\2015\data files\det_606.xlsx</v>
      </c>
      <c r="M270" s="113" t="s">
        <v>76</v>
      </c>
      <c r="N270" s="10">
        <v>606</v>
      </c>
      <c r="O270" s="10">
        <v>3</v>
      </c>
      <c r="P270" s="10">
        <v>1</v>
      </c>
    </row>
    <row r="271" spans="4:16" x14ac:dyDescent="0.25">
      <c r="D271" s="109">
        <v>267</v>
      </c>
      <c r="E271" s="10">
        <v>594</v>
      </c>
      <c r="F271" s="10">
        <v>3</v>
      </c>
      <c r="G271" s="10">
        <v>1</v>
      </c>
      <c r="H271" s="5" t="str">
        <f t="shared" si="12"/>
        <v>det_594</v>
      </c>
      <c r="I271" s="5" t="str">
        <f t="shared" si="13"/>
        <v>W:\Performance Measurement\1. Freeway\1. raw data\2015\data files\det_594.txt</v>
      </c>
      <c r="J271" s="5" t="str">
        <f t="shared" si="14"/>
        <v>W:\Performance Measurement\1. Freeway\1. raw data\2015\data files\det_594.xlsx</v>
      </c>
      <c r="M271" s="113" t="s">
        <v>76</v>
      </c>
      <c r="N271" s="10">
        <v>594</v>
      </c>
      <c r="O271" s="10">
        <v>3</v>
      </c>
      <c r="P271" s="10">
        <v>1</v>
      </c>
    </row>
    <row r="272" spans="4:16" x14ac:dyDescent="0.25">
      <c r="D272" s="109">
        <v>268</v>
      </c>
      <c r="E272" s="10">
        <v>595</v>
      </c>
      <c r="F272" s="10">
        <v>3</v>
      </c>
      <c r="G272" s="10">
        <v>1</v>
      </c>
      <c r="H272" s="5" t="str">
        <f t="shared" si="12"/>
        <v>det_595</v>
      </c>
      <c r="I272" s="5" t="str">
        <f t="shared" si="13"/>
        <v>W:\Performance Measurement\1. Freeway\1. raw data\2015\data files\det_595.txt</v>
      </c>
      <c r="J272" s="5" t="str">
        <f t="shared" si="14"/>
        <v>W:\Performance Measurement\1. Freeway\1. raw data\2015\data files\det_595.xlsx</v>
      </c>
      <c r="M272" s="113" t="s">
        <v>76</v>
      </c>
      <c r="N272" s="10">
        <v>595</v>
      </c>
      <c r="O272" s="10">
        <v>3</v>
      </c>
      <c r="P272" s="10">
        <v>1</v>
      </c>
    </row>
    <row r="273" spans="4:16" x14ac:dyDescent="0.25">
      <c r="D273" s="109">
        <v>269</v>
      </c>
      <c r="E273" s="10">
        <v>596</v>
      </c>
      <c r="F273" s="10">
        <v>3</v>
      </c>
      <c r="G273" s="10">
        <v>1</v>
      </c>
      <c r="H273" s="5" t="str">
        <f t="shared" si="12"/>
        <v>det_596</v>
      </c>
      <c r="I273" s="5" t="str">
        <f t="shared" si="13"/>
        <v>W:\Performance Measurement\1. Freeway\1. raw data\2015\data files\det_596.txt</v>
      </c>
      <c r="J273" s="5" t="str">
        <f t="shared" si="14"/>
        <v>W:\Performance Measurement\1. Freeway\1. raw data\2015\data files\det_596.xlsx</v>
      </c>
      <c r="M273" s="113" t="s">
        <v>76</v>
      </c>
      <c r="N273" s="10">
        <v>596</v>
      </c>
      <c r="O273" s="10">
        <v>3</v>
      </c>
      <c r="P273" s="10">
        <v>1</v>
      </c>
    </row>
    <row r="274" spans="4:16" x14ac:dyDescent="0.25">
      <c r="D274" s="109">
        <v>270</v>
      </c>
      <c r="E274" s="10">
        <v>597</v>
      </c>
      <c r="F274" s="10">
        <v>3</v>
      </c>
      <c r="G274" s="10">
        <v>1</v>
      </c>
      <c r="H274" s="5" t="str">
        <f t="shared" si="12"/>
        <v>det_597</v>
      </c>
      <c r="I274" s="5" t="str">
        <f t="shared" si="13"/>
        <v>W:\Performance Measurement\1. Freeway\1. raw data\2015\data files\det_597.txt</v>
      </c>
      <c r="J274" s="5" t="str">
        <f t="shared" si="14"/>
        <v>W:\Performance Measurement\1. Freeway\1. raw data\2015\data files\det_597.xlsx</v>
      </c>
      <c r="M274" s="113" t="s">
        <v>76</v>
      </c>
      <c r="N274" s="10">
        <v>597</v>
      </c>
      <c r="O274" s="10">
        <v>3</v>
      </c>
      <c r="P274" s="10">
        <v>1</v>
      </c>
    </row>
    <row r="275" spans="4:16" x14ac:dyDescent="0.25">
      <c r="D275" s="109">
        <v>271</v>
      </c>
      <c r="E275" s="10">
        <v>598</v>
      </c>
      <c r="F275" s="10">
        <v>3</v>
      </c>
      <c r="G275" s="10">
        <v>1</v>
      </c>
      <c r="H275" s="5" t="str">
        <f t="shared" si="12"/>
        <v>det_598</v>
      </c>
      <c r="I275" s="5" t="str">
        <f t="shared" si="13"/>
        <v>W:\Performance Measurement\1. Freeway\1. raw data\2015\data files\det_598.txt</v>
      </c>
      <c r="J275" s="5" t="str">
        <f t="shared" si="14"/>
        <v>W:\Performance Measurement\1. Freeway\1. raw data\2015\data files\det_598.xlsx</v>
      </c>
      <c r="K275" s="5"/>
      <c r="M275" s="113" t="s">
        <v>76</v>
      </c>
      <c r="N275" s="10">
        <v>598</v>
      </c>
      <c r="O275" s="10">
        <v>3</v>
      </c>
      <c r="P275" s="10">
        <v>1</v>
      </c>
    </row>
    <row r="276" spans="4:16" x14ac:dyDescent="0.25">
      <c r="D276" s="109">
        <v>272</v>
      </c>
      <c r="E276" s="10">
        <v>599</v>
      </c>
      <c r="F276" s="10">
        <v>3</v>
      </c>
      <c r="G276" s="10">
        <v>1</v>
      </c>
      <c r="H276" s="5" t="str">
        <f t="shared" si="12"/>
        <v>det_599</v>
      </c>
      <c r="I276" s="5" t="str">
        <f t="shared" si="13"/>
        <v>W:\Performance Measurement\1. Freeway\1. raw data\2015\data files\det_599.txt</v>
      </c>
      <c r="J276" s="5" t="str">
        <f t="shared" si="14"/>
        <v>W:\Performance Measurement\1. Freeway\1. raw data\2015\data files\det_599.xlsx</v>
      </c>
      <c r="K276" s="5"/>
      <c r="M276" s="113" t="s">
        <v>76</v>
      </c>
      <c r="N276" s="10">
        <v>599</v>
      </c>
      <c r="O276" s="10">
        <v>3</v>
      </c>
      <c r="P276" s="10">
        <v>1</v>
      </c>
    </row>
    <row r="277" spans="4:16" x14ac:dyDescent="0.25">
      <c r="D277" s="109">
        <v>273</v>
      </c>
      <c r="E277" s="10">
        <v>600</v>
      </c>
      <c r="F277" s="10">
        <v>3</v>
      </c>
      <c r="G277" s="10">
        <v>1</v>
      </c>
      <c r="H277" s="5" t="str">
        <f t="shared" si="12"/>
        <v>det_600</v>
      </c>
      <c r="I277" s="5" t="str">
        <f t="shared" si="13"/>
        <v>W:\Performance Measurement\1. Freeway\1. raw data\2015\data files\det_600.txt</v>
      </c>
      <c r="J277" s="5" t="str">
        <f t="shared" si="14"/>
        <v>W:\Performance Measurement\1. Freeway\1. raw data\2015\data files\det_600.xlsx</v>
      </c>
      <c r="K277" s="5"/>
      <c r="M277" s="113" t="s">
        <v>76</v>
      </c>
      <c r="N277" s="10">
        <v>600</v>
      </c>
      <c r="O277" s="10">
        <v>3</v>
      </c>
      <c r="P277" s="10">
        <v>1</v>
      </c>
    </row>
    <row r="278" spans="4:16" x14ac:dyDescent="0.25">
      <c r="D278" s="109">
        <v>274</v>
      </c>
      <c r="E278" s="10">
        <v>586</v>
      </c>
      <c r="F278" s="10">
        <v>4</v>
      </c>
      <c r="G278" s="10">
        <v>0</v>
      </c>
      <c r="H278" s="5" t="str">
        <f t="shared" si="12"/>
        <v>det_586</v>
      </c>
      <c r="I278" s="5" t="str">
        <f t="shared" si="13"/>
        <v>W:\Performance Measurement\1. Freeway\1. raw data\2015\data files\det_586.txt</v>
      </c>
      <c r="J278" s="5" t="str">
        <f t="shared" si="14"/>
        <v>W:\Performance Measurement\1. Freeway\1. raw data\2015\data files\det_586.xlsx</v>
      </c>
      <c r="K278" s="5"/>
      <c r="M278" s="113" t="s">
        <v>77</v>
      </c>
      <c r="N278" s="10">
        <v>586</v>
      </c>
      <c r="O278" s="10">
        <v>4</v>
      </c>
      <c r="P278" s="10">
        <v>0</v>
      </c>
    </row>
    <row r="279" spans="4:16" x14ac:dyDescent="0.25">
      <c r="D279" s="109">
        <v>275</v>
      </c>
      <c r="E279" s="10">
        <v>587</v>
      </c>
      <c r="F279" s="10">
        <v>4</v>
      </c>
      <c r="G279" s="10">
        <v>0</v>
      </c>
      <c r="H279" s="5" t="str">
        <f t="shared" si="12"/>
        <v>det_587</v>
      </c>
      <c r="I279" s="5" t="str">
        <f t="shared" si="13"/>
        <v>W:\Performance Measurement\1. Freeway\1. raw data\2015\data files\det_587.txt</v>
      </c>
      <c r="J279" s="5" t="str">
        <f t="shared" si="14"/>
        <v>W:\Performance Measurement\1. Freeway\1. raw data\2015\data files\det_587.xlsx</v>
      </c>
      <c r="K279" s="5"/>
      <c r="M279" s="113" t="s">
        <v>77</v>
      </c>
      <c r="N279" s="10">
        <v>587</v>
      </c>
      <c r="O279" s="10">
        <v>4</v>
      </c>
      <c r="P279" s="10">
        <v>0</v>
      </c>
    </row>
    <row r="280" spans="4:16" x14ac:dyDescent="0.25">
      <c r="D280" s="109">
        <v>276</v>
      </c>
      <c r="E280" s="10">
        <v>588</v>
      </c>
      <c r="F280" s="10">
        <v>4</v>
      </c>
      <c r="G280" s="10">
        <v>0</v>
      </c>
      <c r="H280" s="5" t="str">
        <f t="shared" si="12"/>
        <v>det_588</v>
      </c>
      <c r="I280" s="5" t="str">
        <f t="shared" si="13"/>
        <v>W:\Performance Measurement\1. Freeway\1. raw data\2015\data files\det_588.txt</v>
      </c>
      <c r="J280" s="5" t="str">
        <f t="shared" si="14"/>
        <v>W:\Performance Measurement\1. Freeway\1. raw data\2015\data files\det_588.xlsx</v>
      </c>
      <c r="K280" s="5"/>
      <c r="M280" s="113" t="s">
        <v>77</v>
      </c>
      <c r="N280" s="10">
        <v>588</v>
      </c>
      <c r="O280" s="10">
        <v>4</v>
      </c>
      <c r="P280" s="10">
        <v>0</v>
      </c>
    </row>
    <row r="281" spans="4:16" x14ac:dyDescent="0.25">
      <c r="D281" s="109">
        <v>277</v>
      </c>
      <c r="E281" s="10">
        <v>589</v>
      </c>
      <c r="F281" s="10">
        <v>4</v>
      </c>
      <c r="G281" s="10">
        <v>0</v>
      </c>
      <c r="H281" s="5" t="str">
        <f t="shared" si="12"/>
        <v>det_589</v>
      </c>
      <c r="I281" s="5" t="str">
        <f t="shared" si="13"/>
        <v>W:\Performance Measurement\1. Freeway\1. raw data\2015\data files\det_589.txt</v>
      </c>
      <c r="J281" s="5" t="str">
        <f t="shared" si="14"/>
        <v>W:\Performance Measurement\1. Freeway\1. raw data\2015\data files\det_589.xlsx</v>
      </c>
      <c r="K281" s="5"/>
      <c r="M281" s="113" t="s">
        <v>77</v>
      </c>
      <c r="N281" s="10">
        <v>589</v>
      </c>
      <c r="O281" s="10">
        <v>4</v>
      </c>
      <c r="P281" s="10">
        <v>0</v>
      </c>
    </row>
    <row r="282" spans="4:16" x14ac:dyDescent="0.25">
      <c r="D282" s="109">
        <v>278</v>
      </c>
      <c r="E282" s="10">
        <v>590</v>
      </c>
      <c r="F282" s="10">
        <v>4</v>
      </c>
      <c r="G282" s="10">
        <v>0</v>
      </c>
      <c r="H282" s="5" t="str">
        <f t="shared" si="12"/>
        <v>det_590</v>
      </c>
      <c r="I282" s="5" t="str">
        <f t="shared" si="13"/>
        <v>W:\Performance Measurement\1. Freeway\1. raw data\2015\data files\det_590.txt</v>
      </c>
      <c r="J282" s="5" t="str">
        <f t="shared" si="14"/>
        <v>W:\Performance Measurement\1. Freeway\1. raw data\2015\data files\det_590.xlsx</v>
      </c>
      <c r="K282" s="5"/>
      <c r="M282" s="113" t="s">
        <v>77</v>
      </c>
      <c r="N282" s="10">
        <v>590</v>
      </c>
      <c r="O282" s="10">
        <v>4</v>
      </c>
      <c r="P282" s="10">
        <v>0</v>
      </c>
    </row>
    <row r="283" spans="4:16" x14ac:dyDescent="0.25">
      <c r="D283" s="109">
        <v>279</v>
      </c>
      <c r="E283" s="10">
        <v>591</v>
      </c>
      <c r="F283" s="10">
        <v>4</v>
      </c>
      <c r="G283" s="10">
        <v>0</v>
      </c>
      <c r="H283" s="5" t="str">
        <f t="shared" si="12"/>
        <v>det_591</v>
      </c>
      <c r="I283" s="5" t="str">
        <f t="shared" si="13"/>
        <v>W:\Performance Measurement\1. Freeway\1. raw data\2015\data files\det_591.txt</v>
      </c>
      <c r="J283" s="5" t="str">
        <f t="shared" si="14"/>
        <v>W:\Performance Measurement\1. Freeway\1. raw data\2015\data files\det_591.xlsx</v>
      </c>
      <c r="K283" s="5"/>
      <c r="M283" s="113" t="s">
        <v>77</v>
      </c>
      <c r="N283" s="10">
        <v>591</v>
      </c>
      <c r="O283" s="10">
        <v>4</v>
      </c>
      <c r="P283" s="10">
        <v>0</v>
      </c>
    </row>
    <row r="284" spans="4:16" x14ac:dyDescent="0.25">
      <c r="D284" s="109">
        <v>280</v>
      </c>
      <c r="E284" s="10">
        <v>592</v>
      </c>
      <c r="F284" s="10">
        <v>5</v>
      </c>
      <c r="G284" s="10">
        <v>0</v>
      </c>
      <c r="H284" s="5" t="str">
        <f t="shared" si="12"/>
        <v>det_592</v>
      </c>
      <c r="I284" s="5" t="str">
        <f t="shared" si="13"/>
        <v>W:\Performance Measurement\1. Freeway\1. raw data\2015\data files\det_592.txt</v>
      </c>
      <c r="J284" s="5" t="str">
        <f t="shared" si="14"/>
        <v>W:\Performance Measurement\1. Freeway\1. raw data\2015\data files\det_592.xlsx</v>
      </c>
      <c r="K284" s="5"/>
      <c r="M284" s="113" t="s">
        <v>77</v>
      </c>
      <c r="N284" s="10">
        <v>592</v>
      </c>
      <c r="O284" s="10">
        <v>5</v>
      </c>
      <c r="P284" s="10">
        <v>0</v>
      </c>
    </row>
    <row r="285" spans="4:16" x14ac:dyDescent="0.25">
      <c r="D285" s="109">
        <v>281</v>
      </c>
      <c r="E285" s="10">
        <v>593</v>
      </c>
      <c r="F285" s="10">
        <v>4</v>
      </c>
      <c r="G285" s="10">
        <v>0</v>
      </c>
      <c r="H285" s="5" t="str">
        <f t="shared" si="12"/>
        <v>det_593</v>
      </c>
      <c r="I285" s="5" t="str">
        <f t="shared" si="13"/>
        <v>W:\Performance Measurement\1. Freeway\1. raw data\2015\data files\det_593.txt</v>
      </c>
      <c r="J285" s="5" t="str">
        <f t="shared" si="14"/>
        <v>W:\Performance Measurement\1. Freeway\1. raw data\2015\data files\det_593.xlsx</v>
      </c>
      <c r="K285" s="5"/>
      <c r="M285" s="113" t="s">
        <v>77</v>
      </c>
      <c r="N285" s="10">
        <v>593</v>
      </c>
      <c r="O285" s="10">
        <v>4</v>
      </c>
      <c r="P285" s="10">
        <v>0</v>
      </c>
    </row>
    <row r="286" spans="4:16" x14ac:dyDescent="0.25">
      <c r="D286" s="109">
        <v>282</v>
      </c>
      <c r="E286" s="10">
        <v>579</v>
      </c>
      <c r="F286" s="10">
        <v>4</v>
      </c>
      <c r="G286" s="10">
        <v>0</v>
      </c>
      <c r="H286" s="5" t="str">
        <f t="shared" si="12"/>
        <v>det_579</v>
      </c>
      <c r="I286" s="5" t="str">
        <f t="shared" si="13"/>
        <v>W:\Performance Measurement\1. Freeway\1. raw data\2015\data files\det_579.txt</v>
      </c>
      <c r="J286" s="5" t="str">
        <f t="shared" si="14"/>
        <v>W:\Performance Measurement\1. Freeway\1. raw data\2015\data files\det_579.xlsx</v>
      </c>
      <c r="K286" s="5"/>
      <c r="M286" s="113" t="s">
        <v>77</v>
      </c>
      <c r="N286" s="10">
        <v>579</v>
      </c>
      <c r="O286" s="10">
        <v>4</v>
      </c>
      <c r="P286" s="10">
        <v>0</v>
      </c>
    </row>
    <row r="287" spans="4:16" x14ac:dyDescent="0.25">
      <c r="D287" s="109">
        <v>283</v>
      </c>
      <c r="E287" s="10">
        <v>580</v>
      </c>
      <c r="F287" s="10">
        <v>5</v>
      </c>
      <c r="G287" s="10">
        <v>0</v>
      </c>
      <c r="H287" s="5" t="str">
        <f t="shared" si="12"/>
        <v>det_580</v>
      </c>
      <c r="I287" s="5" t="str">
        <f t="shared" si="13"/>
        <v>W:\Performance Measurement\1. Freeway\1. raw data\2015\data files\det_580.txt</v>
      </c>
      <c r="J287" s="5" t="str">
        <f t="shared" si="14"/>
        <v>W:\Performance Measurement\1. Freeway\1. raw data\2015\data files\det_580.xlsx</v>
      </c>
      <c r="K287" s="5"/>
      <c r="M287" s="113" t="s">
        <v>77</v>
      </c>
      <c r="N287" s="10">
        <v>580</v>
      </c>
      <c r="O287" s="10">
        <v>5</v>
      </c>
      <c r="P287" s="10">
        <v>0</v>
      </c>
    </row>
    <row r="288" spans="4:16" x14ac:dyDescent="0.25">
      <c r="D288" s="109">
        <v>284</v>
      </c>
      <c r="E288" s="10">
        <v>581</v>
      </c>
      <c r="F288" s="10">
        <v>4</v>
      </c>
      <c r="G288" s="10">
        <v>0</v>
      </c>
      <c r="H288" s="5" t="str">
        <f t="shared" si="12"/>
        <v>det_581</v>
      </c>
      <c r="I288" s="5" t="str">
        <f t="shared" si="13"/>
        <v>W:\Performance Measurement\1. Freeway\1. raw data\2015\data files\det_581.txt</v>
      </c>
      <c r="J288" s="5" t="str">
        <f t="shared" si="14"/>
        <v>W:\Performance Measurement\1. Freeway\1. raw data\2015\data files\det_581.xlsx</v>
      </c>
      <c r="K288" s="5"/>
      <c r="M288" s="113" t="s">
        <v>77</v>
      </c>
      <c r="N288" s="10">
        <v>581</v>
      </c>
      <c r="O288" s="10">
        <v>4</v>
      </c>
      <c r="P288" s="10">
        <v>0</v>
      </c>
    </row>
    <row r="289" spans="4:16" x14ac:dyDescent="0.25">
      <c r="D289" s="109">
        <v>285</v>
      </c>
      <c r="E289" s="10">
        <v>582</v>
      </c>
      <c r="F289" s="10">
        <v>4</v>
      </c>
      <c r="G289" s="10">
        <v>0</v>
      </c>
      <c r="H289" s="5" t="str">
        <f t="shared" si="12"/>
        <v>det_582</v>
      </c>
      <c r="I289" s="5" t="str">
        <f t="shared" si="13"/>
        <v>W:\Performance Measurement\1. Freeway\1. raw data\2015\data files\det_582.txt</v>
      </c>
      <c r="J289" s="5" t="str">
        <f t="shared" si="14"/>
        <v>W:\Performance Measurement\1. Freeway\1. raw data\2015\data files\det_582.xlsx</v>
      </c>
      <c r="K289" s="5"/>
      <c r="M289" s="113" t="s">
        <v>77</v>
      </c>
      <c r="N289" s="10">
        <v>582</v>
      </c>
      <c r="O289" s="10">
        <v>4</v>
      </c>
      <c r="P289" s="10">
        <v>0</v>
      </c>
    </row>
    <row r="290" spans="4:16" x14ac:dyDescent="0.25">
      <c r="D290" s="109">
        <v>286</v>
      </c>
      <c r="E290" s="10">
        <v>583</v>
      </c>
      <c r="F290" s="10">
        <v>4</v>
      </c>
      <c r="G290" s="10">
        <v>0</v>
      </c>
      <c r="H290" s="5" t="str">
        <f t="shared" si="12"/>
        <v>det_583</v>
      </c>
      <c r="I290" s="5" t="str">
        <f t="shared" si="13"/>
        <v>W:\Performance Measurement\1. Freeway\1. raw data\2015\data files\det_583.txt</v>
      </c>
      <c r="J290" s="5" t="str">
        <f t="shared" si="14"/>
        <v>W:\Performance Measurement\1. Freeway\1. raw data\2015\data files\det_583.xlsx</v>
      </c>
      <c r="K290" s="5"/>
      <c r="M290" s="113" t="s">
        <v>77</v>
      </c>
      <c r="N290" s="10">
        <v>583</v>
      </c>
      <c r="O290" s="10">
        <v>4</v>
      </c>
      <c r="P290" s="10">
        <v>0</v>
      </c>
    </row>
    <row r="291" spans="4:16" x14ac:dyDescent="0.25">
      <c r="D291" s="109">
        <v>287</v>
      </c>
      <c r="E291" s="10">
        <v>584</v>
      </c>
      <c r="F291" s="10">
        <v>4</v>
      </c>
      <c r="G291" s="10">
        <v>0</v>
      </c>
      <c r="H291" s="5" t="str">
        <f t="shared" si="12"/>
        <v>det_584</v>
      </c>
      <c r="I291" s="5" t="str">
        <f t="shared" si="13"/>
        <v>W:\Performance Measurement\1. Freeway\1. raw data\2015\data files\det_584.txt</v>
      </c>
      <c r="J291" s="5" t="str">
        <f t="shared" si="14"/>
        <v>W:\Performance Measurement\1. Freeway\1. raw data\2015\data files\det_584.xlsx</v>
      </c>
      <c r="K291" s="5"/>
      <c r="M291" s="113" t="s">
        <v>77</v>
      </c>
      <c r="N291" s="10">
        <v>584</v>
      </c>
      <c r="O291" s="10">
        <v>4</v>
      </c>
      <c r="P291" s="10">
        <v>0</v>
      </c>
    </row>
    <row r="292" spans="4:16" x14ac:dyDescent="0.25">
      <c r="D292" s="109">
        <v>288</v>
      </c>
      <c r="E292" s="112">
        <v>585</v>
      </c>
      <c r="F292" s="112">
        <v>3</v>
      </c>
      <c r="G292" s="112">
        <v>0</v>
      </c>
      <c r="H292" s="5" t="str">
        <f t="shared" si="12"/>
        <v>det_585</v>
      </c>
      <c r="I292" s="5" t="str">
        <f t="shared" si="13"/>
        <v>W:\Performance Measurement\1. Freeway\1. raw data\2015\data files\det_585.txt</v>
      </c>
      <c r="J292" s="5" t="str">
        <f t="shared" si="14"/>
        <v>W:\Performance Measurement\1. Freeway\1. raw data\2015\data files\det_585.xlsx</v>
      </c>
      <c r="K292" s="5"/>
      <c r="M292" s="113" t="s">
        <v>77</v>
      </c>
      <c r="N292" s="112">
        <v>585</v>
      </c>
      <c r="O292" s="112">
        <v>3</v>
      </c>
      <c r="P292" s="112">
        <v>0</v>
      </c>
    </row>
    <row r="293" spans="4:16" x14ac:dyDescent="0.25">
      <c r="D293" s="109">
        <v>289</v>
      </c>
      <c r="E293" s="10">
        <v>650</v>
      </c>
      <c r="F293" s="10">
        <v>3</v>
      </c>
      <c r="G293" s="10">
        <v>1</v>
      </c>
      <c r="H293" s="5" t="str">
        <f t="shared" si="12"/>
        <v>det_650</v>
      </c>
      <c r="I293" s="5" t="str">
        <f t="shared" si="13"/>
        <v>W:\Performance Measurement\1. Freeway\1. raw data\2015\data files\det_650.txt</v>
      </c>
      <c r="J293" s="5" t="str">
        <f t="shared" si="14"/>
        <v>W:\Performance Measurement\1. Freeway\1. raw data\2015\data files\det_650.xlsx</v>
      </c>
      <c r="K293" s="5"/>
      <c r="M293" s="113" t="s">
        <v>78</v>
      </c>
      <c r="N293" s="10">
        <v>650</v>
      </c>
      <c r="O293" s="10">
        <v>3</v>
      </c>
      <c r="P293" s="10">
        <v>1</v>
      </c>
    </row>
    <row r="294" spans="4:16" x14ac:dyDescent="0.25">
      <c r="D294" s="109">
        <v>290</v>
      </c>
      <c r="E294" s="112">
        <v>666</v>
      </c>
      <c r="F294" s="112">
        <v>3</v>
      </c>
      <c r="G294" s="112">
        <v>1</v>
      </c>
      <c r="H294" s="5" t="str">
        <f t="shared" si="12"/>
        <v>det_666</v>
      </c>
      <c r="I294" s="5" t="str">
        <f t="shared" si="13"/>
        <v>W:\Performance Measurement\1. Freeway\1. raw data\2015\data files\det_666.txt</v>
      </c>
      <c r="J294" s="5" t="str">
        <f t="shared" si="14"/>
        <v>W:\Performance Measurement\1. Freeway\1. raw data\2015\data files\det_666.xlsx</v>
      </c>
      <c r="K294" s="5"/>
      <c r="M294" s="113" t="s">
        <v>78</v>
      </c>
      <c r="N294" s="112">
        <v>666</v>
      </c>
      <c r="O294" s="112">
        <v>3</v>
      </c>
      <c r="P294" s="112">
        <v>1</v>
      </c>
    </row>
    <row r="295" spans="4:16" x14ac:dyDescent="0.25">
      <c r="D295" s="109">
        <v>291</v>
      </c>
      <c r="E295" s="10">
        <v>667</v>
      </c>
      <c r="F295" s="10">
        <v>3</v>
      </c>
      <c r="G295" s="10">
        <v>1</v>
      </c>
      <c r="H295" s="5" t="str">
        <f t="shared" si="12"/>
        <v>det_667</v>
      </c>
      <c r="I295" s="5" t="str">
        <f t="shared" si="13"/>
        <v>W:\Performance Measurement\1. Freeway\1. raw data\2015\data files\det_667.txt</v>
      </c>
      <c r="J295" s="5" t="str">
        <f t="shared" si="14"/>
        <v>W:\Performance Measurement\1. Freeway\1. raw data\2015\data files\det_667.xlsx</v>
      </c>
      <c r="K295" s="5"/>
      <c r="M295" s="113" t="s">
        <v>78</v>
      </c>
      <c r="N295" s="10">
        <v>667</v>
      </c>
      <c r="O295" s="10">
        <v>3</v>
      </c>
      <c r="P295" s="10">
        <v>1</v>
      </c>
    </row>
    <row r="296" spans="4:16" x14ac:dyDescent="0.25">
      <c r="D296" s="109">
        <v>292</v>
      </c>
      <c r="E296" s="10">
        <v>668</v>
      </c>
      <c r="F296" s="10">
        <v>3</v>
      </c>
      <c r="G296" s="10">
        <v>1</v>
      </c>
      <c r="H296" s="5" t="str">
        <f t="shared" si="12"/>
        <v>det_668</v>
      </c>
      <c r="I296" s="5" t="str">
        <f t="shared" si="13"/>
        <v>W:\Performance Measurement\1. Freeway\1. raw data\2015\data files\det_668.txt</v>
      </c>
      <c r="J296" s="5" t="str">
        <f t="shared" si="14"/>
        <v>W:\Performance Measurement\1. Freeway\1. raw data\2015\data files\det_668.xlsx</v>
      </c>
      <c r="K296" s="5"/>
      <c r="M296" s="113" t="s">
        <v>78</v>
      </c>
      <c r="N296" s="10">
        <v>668</v>
      </c>
      <c r="O296" s="10">
        <v>3</v>
      </c>
      <c r="P296" s="10">
        <v>1</v>
      </c>
    </row>
    <row r="297" spans="4:16" x14ac:dyDescent="0.25">
      <c r="D297" s="109">
        <v>293</v>
      </c>
      <c r="E297" s="10">
        <v>669</v>
      </c>
      <c r="F297" s="10">
        <v>3</v>
      </c>
      <c r="G297" s="10">
        <v>1</v>
      </c>
      <c r="H297" s="5" t="str">
        <f t="shared" si="12"/>
        <v>det_669</v>
      </c>
      <c r="I297" s="5" t="str">
        <f t="shared" si="13"/>
        <v>W:\Performance Measurement\1. Freeway\1. raw data\2015\data files\det_669.txt</v>
      </c>
      <c r="J297" s="5" t="str">
        <f t="shared" si="14"/>
        <v>W:\Performance Measurement\1. Freeway\1. raw data\2015\data files\det_669.xlsx</v>
      </c>
      <c r="K297" s="5"/>
      <c r="M297" s="113" t="s">
        <v>78</v>
      </c>
      <c r="N297" s="10">
        <v>669</v>
      </c>
      <c r="O297" s="10">
        <v>3</v>
      </c>
      <c r="P297" s="10">
        <v>1</v>
      </c>
    </row>
    <row r="298" spans="4:16" x14ac:dyDescent="0.25">
      <c r="D298" s="109">
        <v>294</v>
      </c>
      <c r="E298" s="112">
        <v>670</v>
      </c>
      <c r="F298" s="112">
        <v>4</v>
      </c>
      <c r="G298" s="112">
        <v>1</v>
      </c>
      <c r="H298" s="5" t="str">
        <f t="shared" si="12"/>
        <v>det_670</v>
      </c>
      <c r="I298" s="5" t="str">
        <f t="shared" si="13"/>
        <v>W:\Performance Measurement\1. Freeway\1. raw data\2015\data files\det_670.txt</v>
      </c>
      <c r="J298" s="5" t="str">
        <f t="shared" si="14"/>
        <v>W:\Performance Measurement\1. Freeway\1. raw data\2015\data files\det_670.xlsx</v>
      </c>
      <c r="K298" s="5"/>
      <c r="M298" s="113" t="s">
        <v>78</v>
      </c>
      <c r="N298" s="112">
        <v>670</v>
      </c>
      <c r="O298" s="112">
        <v>4</v>
      </c>
      <c r="P298" s="112">
        <v>1</v>
      </c>
    </row>
    <row r="299" spans="4:16" x14ac:dyDescent="0.25">
      <c r="D299" s="109">
        <v>295</v>
      </c>
      <c r="E299" s="112">
        <v>671</v>
      </c>
      <c r="F299" s="112">
        <v>4</v>
      </c>
      <c r="G299" s="112">
        <v>1</v>
      </c>
      <c r="H299" s="5" t="str">
        <f t="shared" si="12"/>
        <v>det_671</v>
      </c>
      <c r="I299" s="5" t="str">
        <f t="shared" si="13"/>
        <v>W:\Performance Measurement\1. Freeway\1. raw data\2015\data files\det_671.txt</v>
      </c>
      <c r="J299" s="5" t="str">
        <f t="shared" si="14"/>
        <v>W:\Performance Measurement\1. Freeway\1. raw data\2015\data files\det_671.xlsx</v>
      </c>
      <c r="K299" s="5"/>
      <c r="M299" s="113" t="s">
        <v>78</v>
      </c>
      <c r="N299" s="112">
        <v>671</v>
      </c>
      <c r="O299" s="112">
        <v>4</v>
      </c>
      <c r="P299" s="112">
        <v>1</v>
      </c>
    </row>
    <row r="300" spans="4:16" x14ac:dyDescent="0.25">
      <c r="D300" s="109">
        <v>296</v>
      </c>
      <c r="E300" s="10">
        <v>672</v>
      </c>
      <c r="F300" s="10">
        <v>3</v>
      </c>
      <c r="G300" s="10">
        <v>1</v>
      </c>
      <c r="H300" s="5" t="str">
        <f t="shared" si="12"/>
        <v>det_672</v>
      </c>
      <c r="I300" s="5" t="str">
        <f t="shared" si="13"/>
        <v>W:\Performance Measurement\1. Freeway\1. raw data\2015\data files\det_672.txt</v>
      </c>
      <c r="J300" s="5" t="str">
        <f t="shared" si="14"/>
        <v>W:\Performance Measurement\1. Freeway\1. raw data\2015\data files\det_672.xlsx</v>
      </c>
      <c r="K300" s="5"/>
      <c r="M300" s="113" t="s">
        <v>78</v>
      </c>
      <c r="N300" s="10">
        <v>672</v>
      </c>
      <c r="O300" s="10">
        <v>3</v>
      </c>
      <c r="P300" s="10">
        <v>1</v>
      </c>
    </row>
    <row r="301" spans="4:16" x14ac:dyDescent="0.25">
      <c r="D301" s="109">
        <v>297</v>
      </c>
      <c r="E301" s="112">
        <v>673</v>
      </c>
      <c r="F301" s="112">
        <v>3</v>
      </c>
      <c r="G301" s="112">
        <v>0</v>
      </c>
      <c r="H301" s="5" t="str">
        <f t="shared" si="12"/>
        <v>det_673</v>
      </c>
      <c r="I301" s="5" t="str">
        <f t="shared" si="13"/>
        <v>W:\Performance Measurement\1. Freeway\1. raw data\2015\data files\det_673.txt</v>
      </c>
      <c r="J301" s="5" t="str">
        <f t="shared" si="14"/>
        <v>W:\Performance Measurement\1. Freeway\1. raw data\2015\data files\det_673.xlsx</v>
      </c>
      <c r="K301" s="5"/>
      <c r="M301" s="113" t="s">
        <v>78</v>
      </c>
      <c r="N301" s="112">
        <v>673</v>
      </c>
      <c r="O301" s="112">
        <v>3</v>
      </c>
      <c r="P301" s="112">
        <v>0</v>
      </c>
    </row>
    <row r="302" spans="4:16" x14ac:dyDescent="0.25">
      <c r="D302" s="109">
        <v>298</v>
      </c>
      <c r="E302" s="10">
        <v>674</v>
      </c>
      <c r="F302" s="10">
        <v>3</v>
      </c>
      <c r="G302" s="10">
        <v>1</v>
      </c>
      <c r="H302" s="5" t="str">
        <f t="shared" si="12"/>
        <v>det_674</v>
      </c>
      <c r="I302" s="5" t="str">
        <f t="shared" si="13"/>
        <v>W:\Performance Measurement\1. Freeway\1. raw data\2015\data files\det_674.txt</v>
      </c>
      <c r="J302" s="5" t="str">
        <f t="shared" si="14"/>
        <v>W:\Performance Measurement\1. Freeway\1. raw data\2015\data files\det_674.xlsx</v>
      </c>
      <c r="K302" s="5"/>
      <c r="M302" s="113" t="s">
        <v>78</v>
      </c>
      <c r="N302" s="10">
        <v>674</v>
      </c>
      <c r="O302" s="10">
        <v>3</v>
      </c>
      <c r="P302" s="10">
        <v>1</v>
      </c>
    </row>
    <row r="303" spans="4:16" x14ac:dyDescent="0.25">
      <c r="D303" s="109">
        <v>299</v>
      </c>
      <c r="E303" s="10">
        <v>675</v>
      </c>
      <c r="F303" s="10">
        <v>3</v>
      </c>
      <c r="G303" s="10">
        <v>1</v>
      </c>
      <c r="H303" s="5" t="str">
        <f t="shared" si="12"/>
        <v>det_675</v>
      </c>
      <c r="I303" s="5" t="str">
        <f t="shared" si="13"/>
        <v>W:\Performance Measurement\1. Freeway\1. raw data\2015\data files\det_675.txt</v>
      </c>
      <c r="J303" s="5" t="str">
        <f t="shared" si="14"/>
        <v>W:\Performance Measurement\1. Freeway\1. raw data\2015\data files\det_675.xlsx</v>
      </c>
      <c r="K303" s="5"/>
      <c r="M303" s="113" t="s">
        <v>78</v>
      </c>
      <c r="N303" s="10">
        <v>675</v>
      </c>
      <c r="O303" s="10">
        <v>3</v>
      </c>
      <c r="P303" s="10">
        <v>1</v>
      </c>
    </row>
    <row r="304" spans="4:16" x14ac:dyDescent="0.25">
      <c r="D304" s="109">
        <v>300</v>
      </c>
      <c r="E304" s="10">
        <v>676</v>
      </c>
      <c r="F304" s="10">
        <v>3</v>
      </c>
      <c r="G304" s="10">
        <v>1</v>
      </c>
      <c r="H304" s="5" t="str">
        <f t="shared" si="12"/>
        <v>det_676</v>
      </c>
      <c r="I304" s="5" t="str">
        <f t="shared" si="13"/>
        <v>W:\Performance Measurement\1. Freeway\1. raw data\2015\data files\det_676.txt</v>
      </c>
      <c r="J304" s="5" t="str">
        <f t="shared" si="14"/>
        <v>W:\Performance Measurement\1. Freeway\1. raw data\2015\data files\det_676.xlsx</v>
      </c>
      <c r="K304" s="5"/>
      <c r="M304" s="113" t="s">
        <v>78</v>
      </c>
      <c r="N304" s="10">
        <v>676</v>
      </c>
      <c r="O304" s="10">
        <v>3</v>
      </c>
      <c r="P304" s="10">
        <v>1</v>
      </c>
    </row>
    <row r="305" spans="4:16" x14ac:dyDescent="0.25">
      <c r="D305" s="109">
        <v>301</v>
      </c>
      <c r="E305" s="10">
        <v>677</v>
      </c>
      <c r="F305" s="10">
        <v>3</v>
      </c>
      <c r="G305" s="10">
        <v>1</v>
      </c>
      <c r="H305" s="5" t="str">
        <f t="shared" si="12"/>
        <v>det_677</v>
      </c>
      <c r="I305" s="5" t="str">
        <f t="shared" si="13"/>
        <v>W:\Performance Measurement\1. Freeway\1. raw data\2015\data files\det_677.txt</v>
      </c>
      <c r="J305" s="5" t="str">
        <f t="shared" si="14"/>
        <v>W:\Performance Measurement\1. Freeway\1. raw data\2015\data files\det_677.xlsx</v>
      </c>
      <c r="K305" s="5"/>
      <c r="M305" s="113" t="s">
        <v>78</v>
      </c>
      <c r="N305" s="10">
        <v>677</v>
      </c>
      <c r="O305" s="10">
        <v>4</v>
      </c>
      <c r="P305" s="10">
        <v>1</v>
      </c>
    </row>
    <row r="306" spans="4:16" x14ac:dyDescent="0.25">
      <c r="D306" s="109">
        <v>302</v>
      </c>
      <c r="E306" s="10">
        <v>678</v>
      </c>
      <c r="F306" s="10">
        <v>3</v>
      </c>
      <c r="G306" s="10">
        <v>1</v>
      </c>
      <c r="H306" s="5" t="str">
        <f t="shared" si="12"/>
        <v>det_678</v>
      </c>
      <c r="I306" s="5" t="str">
        <f t="shared" si="13"/>
        <v>W:\Performance Measurement\1. Freeway\1. raw data\2015\data files\det_678.txt</v>
      </c>
      <c r="J306" s="5" t="str">
        <f t="shared" si="14"/>
        <v>W:\Performance Measurement\1. Freeway\1. raw data\2015\data files\det_678.xlsx</v>
      </c>
      <c r="M306" s="113" t="s">
        <v>78</v>
      </c>
      <c r="N306" s="10">
        <v>678</v>
      </c>
      <c r="O306" s="10">
        <v>3</v>
      </c>
      <c r="P306" s="10">
        <v>1</v>
      </c>
    </row>
    <row r="307" spans="4:16" x14ac:dyDescent="0.25">
      <c r="D307" s="109">
        <v>303</v>
      </c>
      <c r="E307" s="10">
        <v>679</v>
      </c>
      <c r="F307" s="10">
        <v>3</v>
      </c>
      <c r="G307" s="10">
        <v>1</v>
      </c>
      <c r="H307" s="5" t="str">
        <f t="shared" si="12"/>
        <v>det_679</v>
      </c>
      <c r="I307" s="5" t="str">
        <f t="shared" si="13"/>
        <v>W:\Performance Measurement\1. Freeway\1. raw data\2015\data files\det_679.txt</v>
      </c>
      <c r="J307" s="5" t="str">
        <f t="shared" si="14"/>
        <v>W:\Performance Measurement\1. Freeway\1. raw data\2015\data files\det_679.xlsx</v>
      </c>
      <c r="M307" s="113" t="s">
        <v>78</v>
      </c>
      <c r="N307" s="10">
        <v>679</v>
      </c>
      <c r="O307" s="10">
        <v>3</v>
      </c>
      <c r="P307" s="10">
        <v>1</v>
      </c>
    </row>
    <row r="308" spans="4:16" x14ac:dyDescent="0.25">
      <c r="D308" s="109">
        <v>304</v>
      </c>
      <c r="E308" s="112">
        <v>680</v>
      </c>
      <c r="F308" s="112">
        <v>3</v>
      </c>
      <c r="G308" s="112">
        <v>0</v>
      </c>
      <c r="H308" s="5" t="str">
        <f t="shared" si="12"/>
        <v>det_680</v>
      </c>
      <c r="I308" s="5" t="str">
        <f t="shared" si="13"/>
        <v>W:\Performance Measurement\1. Freeway\1. raw data\2015\data files\det_680.txt</v>
      </c>
      <c r="J308" s="5" t="str">
        <f t="shared" si="14"/>
        <v>W:\Performance Measurement\1. Freeway\1. raw data\2015\data files\det_680.xlsx</v>
      </c>
      <c r="M308" s="113" t="s">
        <v>78</v>
      </c>
      <c r="N308" s="112">
        <v>680</v>
      </c>
      <c r="O308" s="112">
        <v>3</v>
      </c>
      <c r="P308" s="112">
        <v>0</v>
      </c>
    </row>
    <row r="309" spans="4:16" x14ac:dyDescent="0.25">
      <c r="D309" s="109">
        <v>305</v>
      </c>
      <c r="E309" s="10">
        <v>643</v>
      </c>
      <c r="F309" s="10">
        <v>2</v>
      </c>
      <c r="G309" s="10">
        <v>1</v>
      </c>
      <c r="H309" s="5" t="str">
        <f t="shared" si="12"/>
        <v>det_643</v>
      </c>
      <c r="I309" s="5" t="str">
        <f t="shared" si="13"/>
        <v>W:\Performance Measurement\1. Freeway\1. raw data\2015\data files\det_643.txt</v>
      </c>
      <c r="J309" s="5" t="str">
        <f t="shared" si="14"/>
        <v>W:\Performance Measurement\1. Freeway\1. raw data\2015\data files\det_643.xlsx</v>
      </c>
      <c r="M309" s="113" t="s">
        <v>282</v>
      </c>
      <c r="N309" s="10">
        <v>643</v>
      </c>
      <c r="O309" s="10">
        <v>2</v>
      </c>
      <c r="P309" s="10">
        <v>1</v>
      </c>
    </row>
    <row r="310" spans="4:16" x14ac:dyDescent="0.25">
      <c r="D310" s="109">
        <v>306</v>
      </c>
      <c r="E310" s="10">
        <v>644</v>
      </c>
      <c r="F310" s="10">
        <v>2</v>
      </c>
      <c r="G310" s="10">
        <v>1</v>
      </c>
      <c r="H310" s="5" t="str">
        <f t="shared" si="12"/>
        <v>det_644</v>
      </c>
      <c r="I310" s="5" t="str">
        <f t="shared" si="13"/>
        <v>W:\Performance Measurement\1. Freeway\1. raw data\2015\data files\det_644.txt</v>
      </c>
      <c r="J310" s="5" t="str">
        <f t="shared" si="14"/>
        <v>W:\Performance Measurement\1. Freeway\1. raw data\2015\data files\det_644.xlsx</v>
      </c>
      <c r="M310" s="113" t="s">
        <v>282</v>
      </c>
      <c r="N310" s="10">
        <v>644</v>
      </c>
      <c r="O310" s="10">
        <v>2</v>
      </c>
      <c r="P310" s="10">
        <v>1</v>
      </c>
    </row>
    <row r="311" spans="4:16" x14ac:dyDescent="0.25">
      <c r="D311" s="109">
        <v>307</v>
      </c>
      <c r="E311" s="10">
        <v>645</v>
      </c>
      <c r="F311" s="10">
        <v>2</v>
      </c>
      <c r="G311" s="10">
        <v>1</v>
      </c>
      <c r="H311" s="5" t="str">
        <f t="shared" si="12"/>
        <v>det_645</v>
      </c>
      <c r="I311" s="5" t="str">
        <f t="shared" si="13"/>
        <v>W:\Performance Measurement\1. Freeway\1. raw data\2015\data files\det_645.txt</v>
      </c>
      <c r="J311" s="5" t="str">
        <f t="shared" si="14"/>
        <v>W:\Performance Measurement\1. Freeway\1. raw data\2015\data files\det_645.xlsx</v>
      </c>
      <c r="M311" s="113" t="s">
        <v>282</v>
      </c>
      <c r="N311" s="10">
        <v>645</v>
      </c>
      <c r="O311" s="10">
        <v>2</v>
      </c>
      <c r="P311" s="10">
        <v>1</v>
      </c>
    </row>
    <row r="312" spans="4:16" x14ac:dyDescent="0.25">
      <c r="D312" s="109">
        <v>308</v>
      </c>
      <c r="E312" s="10">
        <v>646</v>
      </c>
      <c r="F312" s="10">
        <v>2</v>
      </c>
      <c r="G312" s="10">
        <v>1</v>
      </c>
      <c r="H312" s="5" t="str">
        <f t="shared" si="12"/>
        <v>det_646</v>
      </c>
      <c r="I312" s="5" t="str">
        <f t="shared" si="13"/>
        <v>W:\Performance Measurement\1. Freeway\1. raw data\2015\data files\det_646.txt</v>
      </c>
      <c r="J312" s="5" t="str">
        <f t="shared" si="14"/>
        <v>W:\Performance Measurement\1. Freeway\1. raw data\2015\data files\det_646.xlsx</v>
      </c>
      <c r="M312" s="113" t="s">
        <v>282</v>
      </c>
      <c r="N312" s="10">
        <v>646</v>
      </c>
      <c r="O312" s="10">
        <v>2</v>
      </c>
      <c r="P312" s="10">
        <v>1</v>
      </c>
    </row>
    <row r="313" spans="4:16" x14ac:dyDescent="0.25">
      <c r="D313" s="109">
        <v>309</v>
      </c>
      <c r="E313" s="10">
        <v>647</v>
      </c>
      <c r="F313" s="10">
        <v>2</v>
      </c>
      <c r="G313" s="10">
        <v>1</v>
      </c>
      <c r="H313" s="5" t="str">
        <f t="shared" si="12"/>
        <v>det_647</v>
      </c>
      <c r="I313" s="5" t="str">
        <f t="shared" si="13"/>
        <v>W:\Performance Measurement\1. Freeway\1. raw data\2015\data files\det_647.txt</v>
      </c>
      <c r="J313" s="5" t="str">
        <f t="shared" si="14"/>
        <v>W:\Performance Measurement\1. Freeway\1. raw data\2015\data files\det_647.xlsx</v>
      </c>
      <c r="M313" s="113" t="s">
        <v>282</v>
      </c>
      <c r="N313" s="10">
        <v>647</v>
      </c>
      <c r="O313" s="10">
        <v>2</v>
      </c>
      <c r="P313" s="10">
        <v>1</v>
      </c>
    </row>
    <row r="314" spans="4:16" x14ac:dyDescent="0.25">
      <c r="D314" s="109">
        <v>310</v>
      </c>
      <c r="E314" s="10">
        <v>648</v>
      </c>
      <c r="F314" s="10">
        <v>2</v>
      </c>
      <c r="G314" s="10">
        <v>1</v>
      </c>
      <c r="H314" s="5" t="str">
        <f t="shared" si="12"/>
        <v>det_648</v>
      </c>
      <c r="I314" s="5" t="str">
        <f t="shared" si="13"/>
        <v>W:\Performance Measurement\1. Freeway\1. raw data\2015\data files\det_648.txt</v>
      </c>
      <c r="J314" s="5" t="str">
        <f t="shared" si="14"/>
        <v>W:\Performance Measurement\1. Freeway\1. raw data\2015\data files\det_648.xlsx</v>
      </c>
      <c r="M314" s="113" t="s">
        <v>282</v>
      </c>
      <c r="N314" s="10">
        <v>648</v>
      </c>
      <c r="O314" s="10">
        <v>2</v>
      </c>
      <c r="P314" s="10">
        <v>1</v>
      </c>
    </row>
    <row r="315" spans="4:16" x14ac:dyDescent="0.25">
      <c r="D315" s="109">
        <v>311</v>
      </c>
      <c r="E315" s="10">
        <v>649</v>
      </c>
      <c r="F315" s="10">
        <v>2</v>
      </c>
      <c r="G315" s="10">
        <v>1</v>
      </c>
      <c r="H315" s="5" t="str">
        <f t="shared" si="12"/>
        <v>det_649</v>
      </c>
      <c r="I315" s="5" t="str">
        <f t="shared" si="13"/>
        <v>W:\Performance Measurement\1. Freeway\1. raw data\2015\data files\det_649.txt</v>
      </c>
      <c r="J315" s="5" t="str">
        <f t="shared" si="14"/>
        <v>W:\Performance Measurement\1. Freeway\1. raw data\2015\data files\det_649.xlsx</v>
      </c>
      <c r="M315" s="113" t="s">
        <v>282</v>
      </c>
      <c r="N315" s="10">
        <v>649</v>
      </c>
      <c r="O315" s="10">
        <v>2</v>
      </c>
      <c r="P315" s="10">
        <v>1</v>
      </c>
    </row>
    <row r="316" spans="4:16" x14ac:dyDescent="0.25">
      <c r="D316" s="109">
        <v>312</v>
      </c>
      <c r="E316" s="10">
        <v>659</v>
      </c>
      <c r="F316" s="10">
        <v>2</v>
      </c>
      <c r="G316" s="10">
        <v>1</v>
      </c>
      <c r="H316" s="5" t="str">
        <f t="shared" si="12"/>
        <v>det_659</v>
      </c>
      <c r="I316" s="5" t="str">
        <f t="shared" si="13"/>
        <v>W:\Performance Measurement\1. Freeway\1. raw data\2015\data files\det_659.txt</v>
      </c>
      <c r="J316" s="5" t="str">
        <f t="shared" si="14"/>
        <v>W:\Performance Measurement\1. Freeway\1. raw data\2015\data files\det_659.xlsx</v>
      </c>
      <c r="M316" s="113" t="s">
        <v>282</v>
      </c>
      <c r="N316" s="10">
        <v>659</v>
      </c>
      <c r="O316" s="10">
        <v>2</v>
      </c>
      <c r="P316" s="10">
        <v>1</v>
      </c>
    </row>
    <row r="317" spans="4:16" x14ac:dyDescent="0.25">
      <c r="D317" s="109">
        <v>313</v>
      </c>
      <c r="E317" s="10">
        <v>660</v>
      </c>
      <c r="F317" s="10">
        <v>2</v>
      </c>
      <c r="G317" s="10">
        <v>1</v>
      </c>
      <c r="H317" s="5" t="str">
        <f t="shared" si="12"/>
        <v>det_660</v>
      </c>
      <c r="I317" s="5" t="str">
        <f t="shared" si="13"/>
        <v>W:\Performance Measurement\1. Freeway\1. raw data\2015\data files\det_660.txt</v>
      </c>
      <c r="J317" s="5" t="str">
        <f t="shared" si="14"/>
        <v>W:\Performance Measurement\1. Freeway\1. raw data\2015\data files\det_660.xlsx</v>
      </c>
      <c r="M317" s="113" t="s">
        <v>282</v>
      </c>
      <c r="N317" s="10">
        <v>660</v>
      </c>
      <c r="O317" s="10">
        <v>2</v>
      </c>
      <c r="P317" s="10">
        <v>1</v>
      </c>
    </row>
    <row r="318" spans="4:16" x14ac:dyDescent="0.25">
      <c r="D318" s="109">
        <v>314</v>
      </c>
      <c r="E318" s="10">
        <v>661</v>
      </c>
      <c r="F318" s="10">
        <v>2</v>
      </c>
      <c r="G318" s="10">
        <v>1</v>
      </c>
      <c r="H318" s="5" t="str">
        <f t="shared" si="12"/>
        <v>det_661</v>
      </c>
      <c r="I318" s="5" t="str">
        <f t="shared" si="13"/>
        <v>W:\Performance Measurement\1. Freeway\1. raw data\2015\data files\det_661.txt</v>
      </c>
      <c r="J318" s="5" t="str">
        <f t="shared" si="14"/>
        <v>W:\Performance Measurement\1. Freeway\1. raw data\2015\data files\det_661.xlsx</v>
      </c>
      <c r="M318" s="113" t="s">
        <v>282</v>
      </c>
      <c r="N318" s="10">
        <v>661</v>
      </c>
      <c r="O318" s="10">
        <v>2</v>
      </c>
      <c r="P318" s="10">
        <v>1</v>
      </c>
    </row>
    <row r="319" spans="4:16" x14ac:dyDescent="0.25">
      <c r="D319" s="109">
        <v>315</v>
      </c>
      <c r="E319" s="10">
        <v>662</v>
      </c>
      <c r="F319" s="10">
        <v>2</v>
      </c>
      <c r="G319" s="10">
        <v>1</v>
      </c>
      <c r="H319" s="5" t="str">
        <f t="shared" si="12"/>
        <v>det_662</v>
      </c>
      <c r="I319" s="5" t="str">
        <f t="shared" si="13"/>
        <v>W:\Performance Measurement\1. Freeway\1. raw data\2015\data files\det_662.txt</v>
      </c>
      <c r="J319" s="5" t="str">
        <f t="shared" si="14"/>
        <v>W:\Performance Measurement\1. Freeway\1. raw data\2015\data files\det_662.xlsx</v>
      </c>
      <c r="M319" s="113" t="s">
        <v>282</v>
      </c>
      <c r="N319" s="10">
        <v>662</v>
      </c>
      <c r="O319" s="10">
        <v>2</v>
      </c>
      <c r="P319" s="10">
        <v>1</v>
      </c>
    </row>
    <row r="320" spans="4:16" x14ac:dyDescent="0.25">
      <c r="D320" s="109">
        <v>316</v>
      </c>
      <c r="E320" s="10">
        <v>663</v>
      </c>
      <c r="F320" s="10">
        <v>2</v>
      </c>
      <c r="G320" s="10">
        <v>1</v>
      </c>
      <c r="H320" s="5" t="str">
        <f t="shared" si="12"/>
        <v>det_663</v>
      </c>
      <c r="I320" s="5" t="str">
        <f t="shared" si="13"/>
        <v>W:\Performance Measurement\1. Freeway\1. raw data\2015\data files\det_663.txt</v>
      </c>
      <c r="J320" s="5" t="str">
        <f t="shared" si="14"/>
        <v>W:\Performance Measurement\1. Freeway\1. raw data\2015\data files\det_663.xlsx</v>
      </c>
      <c r="M320" s="113" t="s">
        <v>282</v>
      </c>
      <c r="N320" s="10">
        <v>663</v>
      </c>
      <c r="O320" s="10">
        <v>2</v>
      </c>
      <c r="P320" s="10">
        <v>1</v>
      </c>
    </row>
    <row r="321" spans="4:16" x14ac:dyDescent="0.25">
      <c r="D321" s="109">
        <v>317</v>
      </c>
      <c r="E321" s="10">
        <v>664</v>
      </c>
      <c r="F321" s="10">
        <v>2</v>
      </c>
      <c r="G321" s="10">
        <v>1</v>
      </c>
      <c r="H321" s="5" t="str">
        <f t="shared" si="12"/>
        <v>det_664</v>
      </c>
      <c r="I321" s="5" t="str">
        <f t="shared" si="13"/>
        <v>W:\Performance Measurement\1. Freeway\1. raw data\2015\data files\det_664.txt</v>
      </c>
      <c r="J321" s="5" t="str">
        <f t="shared" si="14"/>
        <v>W:\Performance Measurement\1. Freeway\1. raw data\2015\data files\det_664.xlsx</v>
      </c>
      <c r="M321" s="113" t="s">
        <v>282</v>
      </c>
      <c r="N321" s="10">
        <v>664</v>
      </c>
      <c r="O321" s="10">
        <v>2</v>
      </c>
      <c r="P321" s="10">
        <v>1</v>
      </c>
    </row>
    <row r="322" spans="4:16" x14ac:dyDescent="0.25">
      <c r="D322" s="109">
        <v>318</v>
      </c>
      <c r="E322" s="10">
        <v>665</v>
      </c>
      <c r="F322" s="10">
        <v>2</v>
      </c>
      <c r="G322" s="10">
        <v>1</v>
      </c>
      <c r="H322" s="5" t="str">
        <f t="shared" si="12"/>
        <v>det_665</v>
      </c>
      <c r="I322" s="5" t="str">
        <f t="shared" si="13"/>
        <v>W:\Performance Measurement\1. Freeway\1. raw data\2015\data files\det_665.txt</v>
      </c>
      <c r="J322" s="5" t="str">
        <f t="shared" si="14"/>
        <v>W:\Performance Measurement\1. Freeway\1. raw data\2015\data files\det_665.xlsx</v>
      </c>
      <c r="M322" s="113" t="s">
        <v>282</v>
      </c>
      <c r="N322" s="10">
        <v>665</v>
      </c>
      <c r="O322" s="10">
        <v>2</v>
      </c>
      <c r="P322" s="10">
        <v>1</v>
      </c>
    </row>
    <row r="323" spans="4:16" x14ac:dyDescent="0.25">
      <c r="D323" s="109">
        <v>319</v>
      </c>
      <c r="E323" s="10">
        <v>635</v>
      </c>
      <c r="F323" s="10">
        <v>2</v>
      </c>
      <c r="G323" s="10">
        <v>0</v>
      </c>
      <c r="H323" s="5" t="str">
        <f t="shared" si="12"/>
        <v>det_635</v>
      </c>
      <c r="I323" s="5" t="str">
        <f t="shared" si="13"/>
        <v>W:\Performance Measurement\1. Freeway\1. raw data\2015\data files\det_635.txt</v>
      </c>
      <c r="J323" s="5" t="str">
        <f t="shared" si="14"/>
        <v>W:\Performance Measurement\1. Freeway\1. raw data\2015\data files\det_635.xlsx</v>
      </c>
      <c r="M323" s="113" t="s">
        <v>283</v>
      </c>
      <c r="N323" s="10">
        <v>635</v>
      </c>
      <c r="O323" s="10">
        <v>2</v>
      </c>
      <c r="P323" s="10">
        <v>0</v>
      </c>
    </row>
    <row r="324" spans="4:16" x14ac:dyDescent="0.25">
      <c r="D324" s="109">
        <v>320</v>
      </c>
      <c r="E324" s="10">
        <v>636</v>
      </c>
      <c r="F324" s="10">
        <v>2</v>
      </c>
      <c r="G324" s="10">
        <v>1</v>
      </c>
      <c r="H324" s="5" t="str">
        <f t="shared" si="12"/>
        <v>det_636</v>
      </c>
      <c r="I324" s="5" t="str">
        <f t="shared" si="13"/>
        <v>W:\Performance Measurement\1. Freeway\1. raw data\2015\data files\det_636.txt</v>
      </c>
      <c r="J324" s="5" t="str">
        <f t="shared" si="14"/>
        <v>W:\Performance Measurement\1. Freeway\1. raw data\2015\data files\det_636.xlsx</v>
      </c>
      <c r="M324" s="113" t="s">
        <v>283</v>
      </c>
      <c r="N324" s="10">
        <v>636</v>
      </c>
      <c r="O324" s="10">
        <v>2</v>
      </c>
      <c r="P324" s="10">
        <v>1</v>
      </c>
    </row>
    <row r="325" spans="4:16" x14ac:dyDescent="0.25">
      <c r="D325" s="109">
        <v>321</v>
      </c>
      <c r="E325" s="10">
        <v>637</v>
      </c>
      <c r="F325" s="10">
        <v>2</v>
      </c>
      <c r="G325" s="10">
        <v>1</v>
      </c>
      <c r="H325" s="5" t="str">
        <f t="shared" ref="H325:H363" si="15">"det_"&amp;E325&amp;""</f>
        <v>det_637</v>
      </c>
      <c r="I325" s="5" t="str">
        <f t="shared" si="13"/>
        <v>W:\Performance Measurement\1. Freeway\1. raw data\2015\data files\det_637.txt</v>
      </c>
      <c r="J325" s="5" t="str">
        <f t="shared" si="14"/>
        <v>W:\Performance Measurement\1. Freeway\1. raw data\2015\data files\det_637.xlsx</v>
      </c>
      <c r="M325" s="113" t="s">
        <v>283</v>
      </c>
      <c r="N325" s="10">
        <v>637</v>
      </c>
      <c r="O325" s="10">
        <v>2</v>
      </c>
      <c r="P325" s="10">
        <v>1</v>
      </c>
    </row>
    <row r="326" spans="4:16" x14ac:dyDescent="0.25">
      <c r="D326" s="109">
        <v>322</v>
      </c>
      <c r="E326" s="10">
        <v>638</v>
      </c>
      <c r="F326" s="10">
        <v>2</v>
      </c>
      <c r="G326" s="10">
        <v>1</v>
      </c>
      <c r="H326" s="5" t="str">
        <f t="shared" si="15"/>
        <v>det_638</v>
      </c>
      <c r="I326" s="5" t="str">
        <f t="shared" si="13"/>
        <v>W:\Performance Measurement\1. Freeway\1. raw data\2015\data files\det_638.txt</v>
      </c>
      <c r="J326" s="5" t="str">
        <f t="shared" si="14"/>
        <v>W:\Performance Measurement\1. Freeway\1. raw data\2015\data files\det_638.xlsx</v>
      </c>
      <c r="M326" s="113" t="s">
        <v>283</v>
      </c>
      <c r="N326" s="10">
        <v>638</v>
      </c>
      <c r="O326" s="10">
        <v>2</v>
      </c>
      <c r="P326" s="10">
        <v>1</v>
      </c>
    </row>
    <row r="327" spans="4:16" x14ac:dyDescent="0.25">
      <c r="D327" s="109">
        <v>323</v>
      </c>
      <c r="E327" s="10">
        <v>639</v>
      </c>
      <c r="F327" s="10">
        <v>2</v>
      </c>
      <c r="G327" s="10">
        <v>1</v>
      </c>
      <c r="H327" s="5" t="str">
        <f t="shared" si="15"/>
        <v>det_639</v>
      </c>
      <c r="I327" s="5" t="str">
        <f t="shared" si="13"/>
        <v>W:\Performance Measurement\1. Freeway\1. raw data\2015\data files\det_639.txt</v>
      </c>
      <c r="J327" s="5" t="str">
        <f t="shared" si="14"/>
        <v>W:\Performance Measurement\1. Freeway\1. raw data\2015\data files\det_639.xlsx</v>
      </c>
      <c r="M327" s="113" t="s">
        <v>283</v>
      </c>
      <c r="N327" s="10">
        <v>639</v>
      </c>
      <c r="O327" s="10">
        <v>2</v>
      </c>
      <c r="P327" s="10">
        <v>1</v>
      </c>
    </row>
    <row r="328" spans="4:16" x14ac:dyDescent="0.25">
      <c r="D328" s="109">
        <v>324</v>
      </c>
      <c r="E328" s="10">
        <v>640</v>
      </c>
      <c r="F328" s="10">
        <v>2</v>
      </c>
      <c r="G328" s="10">
        <v>1</v>
      </c>
      <c r="H328" s="5" t="str">
        <f t="shared" si="15"/>
        <v>det_640</v>
      </c>
      <c r="I328" s="5" t="str">
        <f t="shared" si="13"/>
        <v>W:\Performance Measurement\1. Freeway\1. raw data\2015\data files\det_640.txt</v>
      </c>
      <c r="J328" s="5" t="str">
        <f t="shared" si="14"/>
        <v>W:\Performance Measurement\1. Freeway\1. raw data\2015\data files\det_640.xlsx</v>
      </c>
      <c r="M328" s="113" t="s">
        <v>283</v>
      </c>
      <c r="N328" s="10">
        <v>640</v>
      </c>
      <c r="O328" s="10">
        <v>2</v>
      </c>
      <c r="P328" s="10">
        <v>1</v>
      </c>
    </row>
    <row r="329" spans="4:16" x14ac:dyDescent="0.25">
      <c r="D329" s="109">
        <v>325</v>
      </c>
      <c r="E329" s="10">
        <v>641</v>
      </c>
      <c r="F329" s="10">
        <v>2</v>
      </c>
      <c r="G329" s="10">
        <v>1</v>
      </c>
      <c r="H329" s="5" t="str">
        <f t="shared" si="15"/>
        <v>det_641</v>
      </c>
      <c r="I329" s="5" t="str">
        <f t="shared" si="13"/>
        <v>W:\Performance Measurement\1. Freeway\1. raw data\2015\data files\det_641.txt</v>
      </c>
      <c r="J329" s="5" t="str">
        <f t="shared" si="14"/>
        <v>W:\Performance Measurement\1. Freeway\1. raw data\2015\data files\det_641.xlsx</v>
      </c>
      <c r="M329" s="113" t="s">
        <v>283</v>
      </c>
      <c r="N329" s="10">
        <v>641</v>
      </c>
      <c r="O329" s="10">
        <v>2</v>
      </c>
      <c r="P329" s="10">
        <v>1</v>
      </c>
    </row>
    <row r="330" spans="4:16" x14ac:dyDescent="0.25">
      <c r="D330" s="109">
        <v>326</v>
      </c>
      <c r="E330" s="10">
        <v>642</v>
      </c>
      <c r="F330" s="10">
        <v>2</v>
      </c>
      <c r="G330" s="10">
        <v>1</v>
      </c>
      <c r="H330" s="5" t="str">
        <f t="shared" si="15"/>
        <v>det_642</v>
      </c>
      <c r="I330" s="5" t="str">
        <f t="shared" ref="I330:I363" si="16">$B$5&amp;"\"&amp;H330&amp;".txt"</f>
        <v>W:\Performance Measurement\1. Freeway\1. raw data\2015\data files\det_642.txt</v>
      </c>
      <c r="J330" s="5" t="str">
        <f t="shared" ref="J330:J363" si="17">$B$5&amp;"\"&amp;H330&amp;".xlsx"</f>
        <v>W:\Performance Measurement\1. Freeway\1. raw data\2015\data files\det_642.xlsx</v>
      </c>
      <c r="M330" s="113" t="s">
        <v>283</v>
      </c>
      <c r="N330" s="10">
        <v>642</v>
      </c>
      <c r="O330" s="10">
        <v>2</v>
      </c>
      <c r="P330" s="10">
        <v>1</v>
      </c>
    </row>
    <row r="331" spans="4:16" x14ac:dyDescent="0.25">
      <c r="D331" s="109">
        <v>327</v>
      </c>
      <c r="E331" s="10">
        <v>651</v>
      </c>
      <c r="F331" s="10">
        <v>3</v>
      </c>
      <c r="G331" s="10">
        <v>0</v>
      </c>
      <c r="H331" s="5" t="str">
        <f t="shared" si="15"/>
        <v>det_651</v>
      </c>
      <c r="I331" s="5" t="str">
        <f t="shared" si="16"/>
        <v>W:\Performance Measurement\1. Freeway\1. raw data\2015\data files\det_651.txt</v>
      </c>
      <c r="J331" s="5" t="str">
        <f t="shared" si="17"/>
        <v>W:\Performance Measurement\1. Freeway\1. raw data\2015\data files\det_651.xlsx</v>
      </c>
      <c r="M331" s="113" t="s">
        <v>283</v>
      </c>
      <c r="N331" s="10">
        <v>651</v>
      </c>
      <c r="O331" s="10">
        <v>3</v>
      </c>
      <c r="P331" s="10">
        <v>0</v>
      </c>
    </row>
    <row r="332" spans="4:16" x14ac:dyDescent="0.25">
      <c r="D332" s="109">
        <v>328</v>
      </c>
      <c r="E332" s="10">
        <v>652</v>
      </c>
      <c r="F332" s="10">
        <v>3</v>
      </c>
      <c r="G332" s="10">
        <v>1</v>
      </c>
      <c r="H332" s="5" t="str">
        <f t="shared" si="15"/>
        <v>det_652</v>
      </c>
      <c r="I332" s="5" t="str">
        <f t="shared" si="16"/>
        <v>W:\Performance Measurement\1. Freeway\1. raw data\2015\data files\det_652.txt</v>
      </c>
      <c r="J332" s="5" t="str">
        <f t="shared" si="17"/>
        <v>W:\Performance Measurement\1. Freeway\1. raw data\2015\data files\det_652.xlsx</v>
      </c>
      <c r="M332" s="113" t="s">
        <v>283</v>
      </c>
      <c r="N332" s="10">
        <v>652</v>
      </c>
      <c r="O332" s="10">
        <v>3</v>
      </c>
      <c r="P332" s="10">
        <v>1</v>
      </c>
    </row>
    <row r="333" spans="4:16" x14ac:dyDescent="0.25">
      <c r="D333" s="109">
        <v>329</v>
      </c>
      <c r="E333" s="10">
        <v>653</v>
      </c>
      <c r="F333" s="10">
        <v>3</v>
      </c>
      <c r="G333" s="10">
        <v>1</v>
      </c>
      <c r="H333" s="5" t="str">
        <f t="shared" si="15"/>
        <v>det_653</v>
      </c>
      <c r="I333" s="5" t="str">
        <f t="shared" si="16"/>
        <v>W:\Performance Measurement\1. Freeway\1. raw data\2015\data files\det_653.txt</v>
      </c>
      <c r="J333" s="5" t="str">
        <f t="shared" si="17"/>
        <v>W:\Performance Measurement\1. Freeway\1. raw data\2015\data files\det_653.xlsx</v>
      </c>
      <c r="M333" s="113" t="s">
        <v>283</v>
      </c>
      <c r="N333" s="10">
        <v>653</v>
      </c>
      <c r="O333" s="10">
        <v>3</v>
      </c>
      <c r="P333" s="10">
        <v>1</v>
      </c>
    </row>
    <row r="334" spans="4:16" x14ac:dyDescent="0.25">
      <c r="D334" s="109">
        <v>330</v>
      </c>
      <c r="E334" s="10">
        <v>654</v>
      </c>
      <c r="F334" s="10">
        <v>3</v>
      </c>
      <c r="G334" s="10">
        <v>1</v>
      </c>
      <c r="H334" s="5" t="str">
        <f t="shared" si="15"/>
        <v>det_654</v>
      </c>
      <c r="I334" s="5" t="str">
        <f t="shared" si="16"/>
        <v>W:\Performance Measurement\1. Freeway\1. raw data\2015\data files\det_654.txt</v>
      </c>
      <c r="J334" s="5" t="str">
        <f t="shared" si="17"/>
        <v>W:\Performance Measurement\1. Freeway\1. raw data\2015\data files\det_654.xlsx</v>
      </c>
      <c r="M334" s="113" t="s">
        <v>283</v>
      </c>
      <c r="N334" s="10">
        <v>654</v>
      </c>
      <c r="O334" s="10">
        <v>3</v>
      </c>
      <c r="P334" s="10">
        <v>1</v>
      </c>
    </row>
    <row r="335" spans="4:16" x14ac:dyDescent="0.25">
      <c r="D335" s="109">
        <v>331</v>
      </c>
      <c r="E335" s="10">
        <v>655</v>
      </c>
      <c r="F335" s="10">
        <v>3</v>
      </c>
      <c r="G335" s="10">
        <v>1</v>
      </c>
      <c r="H335" s="5" t="str">
        <f t="shared" si="15"/>
        <v>det_655</v>
      </c>
      <c r="I335" s="5" t="str">
        <f t="shared" si="16"/>
        <v>W:\Performance Measurement\1. Freeway\1. raw data\2015\data files\det_655.txt</v>
      </c>
      <c r="J335" s="5" t="str">
        <f t="shared" si="17"/>
        <v>W:\Performance Measurement\1. Freeway\1. raw data\2015\data files\det_655.xlsx</v>
      </c>
      <c r="M335" s="113" t="s">
        <v>283</v>
      </c>
      <c r="N335" s="10">
        <v>655</v>
      </c>
      <c r="O335" s="10">
        <v>3</v>
      </c>
      <c r="P335" s="10">
        <v>1</v>
      </c>
    </row>
    <row r="336" spans="4:16" x14ac:dyDescent="0.25">
      <c r="D336" s="109">
        <v>332</v>
      </c>
      <c r="E336" s="10">
        <v>656</v>
      </c>
      <c r="F336" s="10">
        <v>3</v>
      </c>
      <c r="G336" s="10">
        <v>1</v>
      </c>
      <c r="H336" s="5" t="str">
        <f t="shared" si="15"/>
        <v>det_656</v>
      </c>
      <c r="I336" s="5" t="str">
        <f t="shared" si="16"/>
        <v>W:\Performance Measurement\1. Freeway\1. raw data\2015\data files\det_656.txt</v>
      </c>
      <c r="J336" s="5" t="str">
        <f t="shared" si="17"/>
        <v>W:\Performance Measurement\1. Freeway\1. raw data\2015\data files\det_656.xlsx</v>
      </c>
      <c r="M336" s="113" t="s">
        <v>283</v>
      </c>
      <c r="N336" s="10">
        <v>656</v>
      </c>
      <c r="O336" s="10">
        <v>3</v>
      </c>
      <c r="P336" s="10">
        <v>1</v>
      </c>
    </row>
    <row r="337" spans="4:16" x14ac:dyDescent="0.25">
      <c r="D337" s="109">
        <v>333</v>
      </c>
      <c r="E337" s="10">
        <v>657</v>
      </c>
      <c r="F337" s="10">
        <v>3</v>
      </c>
      <c r="G337" s="10">
        <v>1</v>
      </c>
      <c r="H337" s="5" t="str">
        <f t="shared" si="15"/>
        <v>det_657</v>
      </c>
      <c r="I337" s="5" t="str">
        <f t="shared" si="16"/>
        <v>W:\Performance Measurement\1. Freeway\1. raw data\2015\data files\det_657.txt</v>
      </c>
      <c r="J337" s="5" t="str">
        <f t="shared" si="17"/>
        <v>W:\Performance Measurement\1. Freeway\1. raw data\2015\data files\det_657.xlsx</v>
      </c>
      <c r="M337" s="113" t="s">
        <v>283</v>
      </c>
      <c r="N337" s="10">
        <v>657</v>
      </c>
      <c r="O337" s="10">
        <v>3</v>
      </c>
      <c r="P337" s="10">
        <v>1</v>
      </c>
    </row>
    <row r="338" spans="4:16" x14ac:dyDescent="0.25">
      <c r="D338" s="109">
        <v>334</v>
      </c>
      <c r="E338" s="10">
        <v>658</v>
      </c>
      <c r="F338" s="10">
        <v>2</v>
      </c>
      <c r="G338" s="10">
        <v>1</v>
      </c>
      <c r="H338" s="5" t="str">
        <f t="shared" si="15"/>
        <v>det_658</v>
      </c>
      <c r="I338" s="5" t="str">
        <f t="shared" si="16"/>
        <v>W:\Performance Measurement\1. Freeway\1. raw data\2015\data files\det_658.txt</v>
      </c>
      <c r="J338" s="5" t="str">
        <f t="shared" si="17"/>
        <v>W:\Performance Measurement\1. Freeway\1. raw data\2015\data files\det_658.xlsx</v>
      </c>
      <c r="M338" s="113" t="s">
        <v>283</v>
      </c>
      <c r="N338" s="10">
        <v>658</v>
      </c>
      <c r="O338" s="10">
        <v>2</v>
      </c>
      <c r="P338" s="10">
        <v>1</v>
      </c>
    </row>
    <row r="339" spans="4:16" x14ac:dyDescent="0.25">
      <c r="D339" s="109">
        <v>335</v>
      </c>
      <c r="E339" s="10">
        <v>624</v>
      </c>
      <c r="F339" s="10">
        <v>3</v>
      </c>
      <c r="G339" s="10">
        <v>1</v>
      </c>
      <c r="H339" s="5" t="str">
        <f t="shared" si="15"/>
        <v>det_624</v>
      </c>
      <c r="I339" s="5" t="str">
        <f t="shared" si="16"/>
        <v>W:\Performance Measurement\1. Freeway\1. raw data\2015\data files\det_624.txt</v>
      </c>
      <c r="J339" s="5" t="str">
        <f t="shared" si="17"/>
        <v>W:\Performance Measurement\1. Freeway\1. raw data\2015\data files\det_624.xlsx</v>
      </c>
      <c r="M339" s="113" t="s">
        <v>284</v>
      </c>
      <c r="N339" s="10">
        <v>624</v>
      </c>
      <c r="O339" s="10">
        <v>3</v>
      </c>
      <c r="P339" s="10">
        <v>1</v>
      </c>
    </row>
    <row r="340" spans="4:16" x14ac:dyDescent="0.25">
      <c r="D340" s="109">
        <v>336</v>
      </c>
      <c r="E340" s="10">
        <v>625</v>
      </c>
      <c r="F340" s="10">
        <v>3</v>
      </c>
      <c r="G340" s="10">
        <v>1</v>
      </c>
      <c r="H340" s="5" t="str">
        <f t="shared" si="15"/>
        <v>det_625</v>
      </c>
      <c r="I340" s="5" t="str">
        <f t="shared" si="16"/>
        <v>W:\Performance Measurement\1. Freeway\1. raw data\2015\data files\det_625.txt</v>
      </c>
      <c r="J340" s="5" t="str">
        <f t="shared" si="17"/>
        <v>W:\Performance Measurement\1. Freeway\1. raw data\2015\data files\det_625.xlsx</v>
      </c>
      <c r="M340" s="113" t="s">
        <v>284</v>
      </c>
      <c r="N340" s="10">
        <v>625</v>
      </c>
      <c r="O340" s="10">
        <v>3</v>
      </c>
      <c r="P340" s="10">
        <v>1</v>
      </c>
    </row>
    <row r="341" spans="4:16" x14ac:dyDescent="0.25">
      <c r="D341" s="109">
        <v>337</v>
      </c>
      <c r="E341" s="10">
        <v>626</v>
      </c>
      <c r="F341" s="10">
        <v>3</v>
      </c>
      <c r="G341" s="10">
        <v>1</v>
      </c>
      <c r="H341" s="5" t="str">
        <f t="shared" si="15"/>
        <v>det_626</v>
      </c>
      <c r="I341" s="5" t="str">
        <f t="shared" si="16"/>
        <v>W:\Performance Measurement\1. Freeway\1. raw data\2015\data files\det_626.txt</v>
      </c>
      <c r="J341" s="5" t="str">
        <f t="shared" si="17"/>
        <v>W:\Performance Measurement\1. Freeway\1. raw data\2015\data files\det_626.xlsx</v>
      </c>
      <c r="M341" s="113" t="s">
        <v>284</v>
      </c>
      <c r="N341" s="10">
        <v>626</v>
      </c>
      <c r="O341" s="10">
        <v>3</v>
      </c>
      <c r="P341" s="10">
        <v>1</v>
      </c>
    </row>
    <row r="342" spans="4:16" x14ac:dyDescent="0.25">
      <c r="D342" s="109">
        <v>338</v>
      </c>
      <c r="E342" s="10">
        <v>627</v>
      </c>
      <c r="F342" s="10">
        <v>3</v>
      </c>
      <c r="G342" s="10">
        <v>1</v>
      </c>
      <c r="H342" s="5" t="str">
        <f t="shared" si="15"/>
        <v>det_627</v>
      </c>
      <c r="I342" s="5" t="str">
        <f t="shared" si="16"/>
        <v>W:\Performance Measurement\1. Freeway\1. raw data\2015\data files\det_627.txt</v>
      </c>
      <c r="J342" s="5" t="str">
        <f t="shared" si="17"/>
        <v>W:\Performance Measurement\1. Freeway\1. raw data\2015\data files\det_627.xlsx</v>
      </c>
      <c r="M342" s="113" t="s">
        <v>284</v>
      </c>
      <c r="N342" s="10">
        <v>627</v>
      </c>
      <c r="O342" s="10">
        <v>3</v>
      </c>
      <c r="P342" s="10">
        <v>1</v>
      </c>
    </row>
    <row r="343" spans="4:16" x14ac:dyDescent="0.25">
      <c r="D343" s="109">
        <v>339</v>
      </c>
      <c r="E343" s="10">
        <v>628</v>
      </c>
      <c r="F343" s="10">
        <v>3</v>
      </c>
      <c r="G343" s="10">
        <v>1</v>
      </c>
      <c r="H343" s="5" t="str">
        <f t="shared" si="15"/>
        <v>det_628</v>
      </c>
      <c r="I343" s="5" t="str">
        <f t="shared" si="16"/>
        <v>W:\Performance Measurement\1. Freeway\1. raw data\2015\data files\det_628.txt</v>
      </c>
      <c r="J343" s="5" t="str">
        <f t="shared" si="17"/>
        <v>W:\Performance Measurement\1. Freeway\1. raw data\2015\data files\det_628.xlsx</v>
      </c>
      <c r="M343" s="113" t="s">
        <v>284</v>
      </c>
      <c r="N343" s="10">
        <v>628</v>
      </c>
      <c r="O343" s="10">
        <v>3</v>
      </c>
      <c r="P343" s="10">
        <v>1</v>
      </c>
    </row>
    <row r="344" spans="4:16" x14ac:dyDescent="0.25">
      <c r="D344" s="109">
        <v>340</v>
      </c>
      <c r="E344" s="10">
        <v>629</v>
      </c>
      <c r="F344" s="10">
        <v>3</v>
      </c>
      <c r="G344" s="10">
        <v>1</v>
      </c>
      <c r="H344" s="5" t="str">
        <f t="shared" si="15"/>
        <v>det_629</v>
      </c>
      <c r="I344" s="5" t="str">
        <f t="shared" si="16"/>
        <v>W:\Performance Measurement\1. Freeway\1. raw data\2015\data files\det_629.txt</v>
      </c>
      <c r="J344" s="5" t="str">
        <f t="shared" si="17"/>
        <v>W:\Performance Measurement\1. Freeway\1. raw data\2015\data files\det_629.xlsx</v>
      </c>
      <c r="M344" s="113" t="s">
        <v>284</v>
      </c>
      <c r="N344" s="10">
        <v>629</v>
      </c>
      <c r="O344" s="10">
        <v>3</v>
      </c>
      <c r="P344" s="10">
        <v>1</v>
      </c>
    </row>
    <row r="345" spans="4:16" x14ac:dyDescent="0.25">
      <c r="D345" s="109">
        <v>341</v>
      </c>
      <c r="E345" s="10">
        <v>630</v>
      </c>
      <c r="F345" s="10">
        <v>3</v>
      </c>
      <c r="G345" s="10">
        <v>1</v>
      </c>
      <c r="H345" s="5" t="str">
        <f t="shared" si="15"/>
        <v>det_630</v>
      </c>
      <c r="I345" s="5" t="str">
        <f t="shared" si="16"/>
        <v>W:\Performance Measurement\1. Freeway\1. raw data\2015\data files\det_630.txt</v>
      </c>
      <c r="J345" s="5" t="str">
        <f t="shared" si="17"/>
        <v>W:\Performance Measurement\1. Freeway\1. raw data\2015\data files\det_630.xlsx</v>
      </c>
      <c r="M345" s="113" t="s">
        <v>284</v>
      </c>
      <c r="N345" s="10">
        <v>630</v>
      </c>
      <c r="O345" s="10">
        <v>3</v>
      </c>
      <c r="P345" s="10">
        <v>1</v>
      </c>
    </row>
    <row r="346" spans="4:16" x14ac:dyDescent="0.25">
      <c r="D346" s="109">
        <v>342</v>
      </c>
      <c r="E346" s="10">
        <v>631</v>
      </c>
      <c r="F346" s="10">
        <v>3</v>
      </c>
      <c r="G346" s="10">
        <v>1</v>
      </c>
      <c r="H346" s="5" t="str">
        <f t="shared" si="15"/>
        <v>det_631</v>
      </c>
      <c r="I346" s="5" t="str">
        <f t="shared" si="16"/>
        <v>W:\Performance Measurement\1. Freeway\1. raw data\2015\data files\det_631.txt</v>
      </c>
      <c r="J346" s="5" t="str">
        <f t="shared" si="17"/>
        <v>W:\Performance Measurement\1. Freeway\1. raw data\2015\data files\det_631.xlsx</v>
      </c>
      <c r="M346" s="113" t="s">
        <v>284</v>
      </c>
      <c r="N346" s="10">
        <v>631</v>
      </c>
      <c r="O346" s="10">
        <v>3</v>
      </c>
      <c r="P346" s="10">
        <v>1</v>
      </c>
    </row>
    <row r="347" spans="4:16" x14ac:dyDescent="0.25">
      <c r="D347" s="109">
        <v>343</v>
      </c>
      <c r="E347" s="10">
        <v>632</v>
      </c>
      <c r="F347" s="10">
        <v>3</v>
      </c>
      <c r="G347" s="10">
        <v>1</v>
      </c>
      <c r="H347" s="5" t="str">
        <f t="shared" si="15"/>
        <v>det_632</v>
      </c>
      <c r="I347" s="5" t="str">
        <f t="shared" si="16"/>
        <v>W:\Performance Measurement\1. Freeway\1. raw data\2015\data files\det_632.txt</v>
      </c>
      <c r="J347" s="5" t="str">
        <f t="shared" si="17"/>
        <v>W:\Performance Measurement\1. Freeway\1. raw data\2015\data files\det_632.xlsx</v>
      </c>
      <c r="M347" s="113" t="s">
        <v>284</v>
      </c>
      <c r="N347" s="10">
        <v>632</v>
      </c>
      <c r="O347" s="10">
        <v>3</v>
      </c>
      <c r="P347" s="10">
        <v>1</v>
      </c>
    </row>
    <row r="348" spans="4:16" x14ac:dyDescent="0.25">
      <c r="D348" s="109">
        <v>344</v>
      </c>
      <c r="E348" s="10">
        <v>633</v>
      </c>
      <c r="F348" s="10">
        <v>4</v>
      </c>
      <c r="G348" s="10">
        <v>1</v>
      </c>
      <c r="H348" s="5" t="str">
        <f t="shared" si="15"/>
        <v>det_633</v>
      </c>
      <c r="I348" s="5" t="str">
        <f t="shared" si="16"/>
        <v>W:\Performance Measurement\1. Freeway\1. raw data\2015\data files\det_633.txt</v>
      </c>
      <c r="J348" s="5" t="str">
        <f t="shared" si="17"/>
        <v>W:\Performance Measurement\1. Freeway\1. raw data\2015\data files\det_633.xlsx</v>
      </c>
      <c r="M348" s="113" t="s">
        <v>284</v>
      </c>
      <c r="N348" s="10">
        <v>633</v>
      </c>
      <c r="O348" s="10">
        <v>4</v>
      </c>
      <c r="P348" s="10">
        <v>1</v>
      </c>
    </row>
    <row r="349" spans="4:16" x14ac:dyDescent="0.25">
      <c r="D349" s="109">
        <v>345</v>
      </c>
      <c r="E349" s="10">
        <v>634</v>
      </c>
      <c r="F349" s="10">
        <v>3</v>
      </c>
      <c r="G349" s="10">
        <v>1</v>
      </c>
      <c r="H349" s="5" t="str">
        <f t="shared" si="15"/>
        <v>det_634</v>
      </c>
      <c r="I349" s="5" t="str">
        <f t="shared" si="16"/>
        <v>W:\Performance Measurement\1. Freeway\1. raw data\2015\data files\det_634.txt</v>
      </c>
      <c r="J349" s="5" t="str">
        <f t="shared" si="17"/>
        <v>W:\Performance Measurement\1. Freeway\1. raw data\2015\data files\det_634.xlsx</v>
      </c>
      <c r="M349" s="113" t="s">
        <v>284</v>
      </c>
      <c r="N349" s="10">
        <v>634</v>
      </c>
      <c r="O349" s="10">
        <v>3</v>
      </c>
      <c r="P349" s="10">
        <v>1</v>
      </c>
    </row>
    <row r="350" spans="4:16" x14ac:dyDescent="0.25">
      <c r="D350" s="109">
        <v>346</v>
      </c>
      <c r="E350" s="10">
        <v>607</v>
      </c>
      <c r="F350" s="10">
        <v>4</v>
      </c>
      <c r="G350" s="10">
        <v>0</v>
      </c>
      <c r="H350" s="5" t="str">
        <f t="shared" si="15"/>
        <v>det_607</v>
      </c>
      <c r="I350" s="5" t="str">
        <f t="shared" si="16"/>
        <v>W:\Performance Measurement\1. Freeway\1. raw data\2015\data files\det_607.txt</v>
      </c>
      <c r="J350" s="5" t="str">
        <f t="shared" si="17"/>
        <v>W:\Performance Measurement\1. Freeway\1. raw data\2015\data files\det_607.xlsx</v>
      </c>
      <c r="M350" s="113" t="s">
        <v>79</v>
      </c>
      <c r="N350" s="10">
        <v>607</v>
      </c>
      <c r="O350" s="10">
        <v>4</v>
      </c>
      <c r="P350" s="10">
        <v>0</v>
      </c>
    </row>
    <row r="351" spans="4:16" x14ac:dyDescent="0.25">
      <c r="D351" s="109">
        <v>347</v>
      </c>
      <c r="E351" s="10">
        <v>608</v>
      </c>
      <c r="F351" s="10">
        <v>4</v>
      </c>
      <c r="G351" s="10">
        <v>0</v>
      </c>
      <c r="H351" s="5" t="str">
        <f t="shared" si="15"/>
        <v>det_608</v>
      </c>
      <c r="I351" s="5" t="str">
        <f t="shared" si="16"/>
        <v>W:\Performance Measurement\1. Freeway\1. raw data\2015\data files\det_608.txt</v>
      </c>
      <c r="J351" s="5" t="str">
        <f t="shared" si="17"/>
        <v>W:\Performance Measurement\1. Freeway\1. raw data\2015\data files\det_608.xlsx</v>
      </c>
      <c r="M351" s="113" t="s">
        <v>79</v>
      </c>
      <c r="N351" s="10">
        <v>608</v>
      </c>
      <c r="O351" s="10">
        <v>4</v>
      </c>
      <c r="P351" s="10">
        <v>0</v>
      </c>
    </row>
    <row r="352" spans="4:16" x14ac:dyDescent="0.25">
      <c r="D352" s="109">
        <v>348</v>
      </c>
      <c r="E352" s="10">
        <v>609</v>
      </c>
      <c r="F352" s="10">
        <v>4</v>
      </c>
      <c r="G352" s="10">
        <v>0</v>
      </c>
      <c r="H352" s="5" t="str">
        <f t="shared" si="15"/>
        <v>det_609</v>
      </c>
      <c r="I352" s="5" t="str">
        <f t="shared" si="16"/>
        <v>W:\Performance Measurement\1. Freeway\1. raw data\2015\data files\det_609.txt</v>
      </c>
      <c r="J352" s="5" t="str">
        <f t="shared" si="17"/>
        <v>W:\Performance Measurement\1. Freeway\1. raw data\2015\data files\det_609.xlsx</v>
      </c>
      <c r="M352" s="113" t="s">
        <v>79</v>
      </c>
      <c r="N352" s="10">
        <v>609</v>
      </c>
      <c r="O352" s="10">
        <v>4</v>
      </c>
      <c r="P352" s="10">
        <v>0</v>
      </c>
    </row>
    <row r="353" spans="4:16" x14ac:dyDescent="0.25">
      <c r="D353" s="109">
        <v>349</v>
      </c>
      <c r="E353" s="10">
        <v>610</v>
      </c>
      <c r="F353" s="10">
        <v>4</v>
      </c>
      <c r="G353" s="10">
        <v>0</v>
      </c>
      <c r="H353" s="5" t="str">
        <f t="shared" si="15"/>
        <v>det_610</v>
      </c>
      <c r="I353" s="5" t="str">
        <f t="shared" si="16"/>
        <v>W:\Performance Measurement\1. Freeway\1. raw data\2015\data files\det_610.txt</v>
      </c>
      <c r="J353" s="5" t="str">
        <f t="shared" si="17"/>
        <v>W:\Performance Measurement\1. Freeway\1. raw data\2015\data files\det_610.xlsx</v>
      </c>
      <c r="M353" s="113" t="s">
        <v>79</v>
      </c>
      <c r="N353" s="10">
        <v>610</v>
      </c>
      <c r="O353" s="10">
        <v>4</v>
      </c>
      <c r="P353" s="10">
        <v>0</v>
      </c>
    </row>
    <row r="354" spans="4:16" x14ac:dyDescent="0.25">
      <c r="D354" s="109">
        <v>350</v>
      </c>
      <c r="E354" s="10">
        <v>611</v>
      </c>
      <c r="F354" s="10">
        <v>4</v>
      </c>
      <c r="G354" s="10">
        <v>0</v>
      </c>
      <c r="H354" s="5" t="str">
        <f t="shared" si="15"/>
        <v>det_611</v>
      </c>
      <c r="I354" s="5" t="str">
        <f t="shared" si="16"/>
        <v>W:\Performance Measurement\1. Freeway\1. raw data\2015\data files\det_611.txt</v>
      </c>
      <c r="J354" s="5" t="str">
        <f t="shared" si="17"/>
        <v>W:\Performance Measurement\1. Freeway\1. raw data\2015\data files\det_611.xlsx</v>
      </c>
      <c r="M354" s="113" t="s">
        <v>79</v>
      </c>
      <c r="N354" s="10">
        <v>611</v>
      </c>
      <c r="O354" s="10">
        <v>4</v>
      </c>
      <c r="P354" s="10">
        <v>0</v>
      </c>
    </row>
    <row r="355" spans="4:16" x14ac:dyDescent="0.25">
      <c r="D355" s="109">
        <v>351</v>
      </c>
      <c r="E355" s="10">
        <v>612</v>
      </c>
      <c r="F355" s="10">
        <v>4</v>
      </c>
      <c r="G355" s="10">
        <v>0</v>
      </c>
      <c r="H355" s="5" t="str">
        <f t="shared" si="15"/>
        <v>det_612</v>
      </c>
      <c r="I355" s="5" t="str">
        <f t="shared" si="16"/>
        <v>W:\Performance Measurement\1. Freeway\1. raw data\2015\data files\det_612.txt</v>
      </c>
      <c r="J355" s="5" t="str">
        <f t="shared" si="17"/>
        <v>W:\Performance Measurement\1. Freeway\1. raw data\2015\data files\det_612.xlsx</v>
      </c>
      <c r="M355" s="113" t="s">
        <v>79</v>
      </c>
      <c r="N355" s="10">
        <v>612</v>
      </c>
      <c r="O355" s="10">
        <v>4</v>
      </c>
      <c r="P355" s="10">
        <v>0</v>
      </c>
    </row>
    <row r="356" spans="4:16" x14ac:dyDescent="0.25">
      <c r="D356" s="109">
        <v>352</v>
      </c>
      <c r="E356" s="10">
        <v>613</v>
      </c>
      <c r="F356" s="10">
        <v>4</v>
      </c>
      <c r="G356" s="10">
        <v>0</v>
      </c>
      <c r="H356" s="5" t="str">
        <f t="shared" si="15"/>
        <v>det_613</v>
      </c>
      <c r="I356" s="5" t="str">
        <f t="shared" si="16"/>
        <v>W:\Performance Measurement\1. Freeway\1. raw data\2015\data files\det_613.txt</v>
      </c>
      <c r="J356" s="5" t="str">
        <f t="shared" si="17"/>
        <v>W:\Performance Measurement\1. Freeway\1. raw data\2015\data files\det_613.xlsx</v>
      </c>
      <c r="M356" s="113" t="s">
        <v>79</v>
      </c>
      <c r="N356" s="10">
        <v>613</v>
      </c>
      <c r="O356" s="10">
        <v>4</v>
      </c>
      <c r="P356" s="10">
        <v>0</v>
      </c>
    </row>
    <row r="357" spans="4:16" x14ac:dyDescent="0.25">
      <c r="D357" s="109">
        <v>353</v>
      </c>
      <c r="E357" s="10">
        <v>614</v>
      </c>
      <c r="F357" s="10">
        <v>4</v>
      </c>
      <c r="G357" s="10">
        <v>0</v>
      </c>
      <c r="H357" s="5" t="str">
        <f t="shared" si="15"/>
        <v>det_614</v>
      </c>
      <c r="I357" s="5" t="str">
        <f t="shared" si="16"/>
        <v>W:\Performance Measurement\1. Freeway\1. raw data\2015\data files\det_614.txt</v>
      </c>
      <c r="J357" s="5" t="str">
        <f t="shared" si="17"/>
        <v>W:\Performance Measurement\1. Freeway\1. raw data\2015\data files\det_614.xlsx</v>
      </c>
      <c r="M357" s="113" t="s">
        <v>79</v>
      </c>
      <c r="N357" s="10">
        <v>614</v>
      </c>
      <c r="O357" s="10">
        <v>4</v>
      </c>
      <c r="P357" s="10">
        <v>0</v>
      </c>
    </row>
    <row r="358" spans="4:16" x14ac:dyDescent="0.25">
      <c r="D358" s="109">
        <v>354</v>
      </c>
      <c r="E358" s="10">
        <v>615</v>
      </c>
      <c r="F358" s="10">
        <v>4</v>
      </c>
      <c r="G358" s="10">
        <v>0</v>
      </c>
      <c r="H358" s="5" t="str">
        <f t="shared" si="15"/>
        <v>det_615</v>
      </c>
      <c r="I358" s="5" t="str">
        <f t="shared" si="16"/>
        <v>W:\Performance Measurement\1. Freeway\1. raw data\2015\data files\det_615.txt</v>
      </c>
      <c r="J358" s="5" t="str">
        <f t="shared" si="17"/>
        <v>W:\Performance Measurement\1. Freeway\1. raw data\2015\data files\det_615.xlsx</v>
      </c>
      <c r="M358" s="113" t="s">
        <v>79</v>
      </c>
      <c r="N358" s="10">
        <v>615</v>
      </c>
      <c r="O358" s="10">
        <v>4</v>
      </c>
      <c r="P358" s="10">
        <v>0</v>
      </c>
    </row>
    <row r="359" spans="4:16" x14ac:dyDescent="0.25">
      <c r="D359" s="109">
        <v>355</v>
      </c>
      <c r="E359" s="10">
        <v>616</v>
      </c>
      <c r="F359" s="10">
        <v>4</v>
      </c>
      <c r="G359" s="10">
        <v>0</v>
      </c>
      <c r="H359" s="5" t="str">
        <f t="shared" si="15"/>
        <v>det_616</v>
      </c>
      <c r="I359" s="5" t="str">
        <f t="shared" si="16"/>
        <v>W:\Performance Measurement\1. Freeway\1. raw data\2015\data files\det_616.txt</v>
      </c>
      <c r="J359" s="5" t="str">
        <f t="shared" si="17"/>
        <v>W:\Performance Measurement\1. Freeway\1. raw data\2015\data files\det_616.xlsx</v>
      </c>
      <c r="M359" s="113" t="s">
        <v>79</v>
      </c>
      <c r="N359" s="10">
        <v>616</v>
      </c>
      <c r="O359" s="10">
        <v>4</v>
      </c>
      <c r="P359" s="10">
        <v>0</v>
      </c>
    </row>
    <row r="360" spans="4:16" x14ac:dyDescent="0.25">
      <c r="D360" s="109">
        <v>356</v>
      </c>
      <c r="E360" s="10">
        <v>617</v>
      </c>
      <c r="F360" s="10">
        <v>4</v>
      </c>
      <c r="G360" s="10">
        <v>0</v>
      </c>
      <c r="H360" s="5" t="str">
        <f t="shared" si="15"/>
        <v>det_617</v>
      </c>
      <c r="I360" s="5" t="str">
        <f t="shared" si="16"/>
        <v>W:\Performance Measurement\1. Freeway\1. raw data\2015\data files\det_617.txt</v>
      </c>
      <c r="J360" s="5" t="str">
        <f t="shared" si="17"/>
        <v>W:\Performance Measurement\1. Freeway\1. raw data\2015\data files\det_617.xlsx</v>
      </c>
      <c r="M360" s="113" t="s">
        <v>79</v>
      </c>
      <c r="N360" s="10">
        <v>617</v>
      </c>
      <c r="O360" s="10">
        <v>4</v>
      </c>
      <c r="P360" s="10">
        <v>0</v>
      </c>
    </row>
    <row r="361" spans="4:16" x14ac:dyDescent="0.25">
      <c r="D361" s="109">
        <v>357</v>
      </c>
      <c r="E361" s="10">
        <v>618</v>
      </c>
      <c r="F361" s="10">
        <v>4</v>
      </c>
      <c r="G361" s="10">
        <v>0</v>
      </c>
      <c r="H361" s="5" t="str">
        <f t="shared" si="15"/>
        <v>det_618</v>
      </c>
      <c r="I361" s="5" t="str">
        <f t="shared" si="16"/>
        <v>W:\Performance Measurement\1. Freeway\1. raw data\2015\data files\det_618.txt</v>
      </c>
      <c r="J361" s="5" t="str">
        <f t="shared" si="17"/>
        <v>W:\Performance Measurement\1. Freeway\1. raw data\2015\data files\det_618.xlsx</v>
      </c>
      <c r="M361" s="113" t="s">
        <v>79</v>
      </c>
      <c r="N361" s="10">
        <v>618</v>
      </c>
      <c r="O361" s="10">
        <v>4</v>
      </c>
      <c r="P361" s="10">
        <v>0</v>
      </c>
    </row>
    <row r="362" spans="4:16" x14ac:dyDescent="0.25">
      <c r="D362" s="109">
        <v>358</v>
      </c>
      <c r="E362" s="10">
        <v>619</v>
      </c>
      <c r="F362" s="10">
        <v>4</v>
      </c>
      <c r="G362" s="10">
        <v>0</v>
      </c>
      <c r="H362" s="5" t="str">
        <f t="shared" si="15"/>
        <v>det_619</v>
      </c>
      <c r="I362" s="5" t="str">
        <f t="shared" si="16"/>
        <v>W:\Performance Measurement\1. Freeway\1. raw data\2015\data files\det_619.txt</v>
      </c>
      <c r="J362" s="5" t="str">
        <f t="shared" si="17"/>
        <v>W:\Performance Measurement\1. Freeway\1. raw data\2015\data files\det_619.xlsx</v>
      </c>
      <c r="M362" s="113" t="s">
        <v>79</v>
      </c>
      <c r="N362" s="10">
        <v>619</v>
      </c>
      <c r="O362" s="10">
        <v>4</v>
      </c>
      <c r="P362" s="10">
        <v>0</v>
      </c>
    </row>
    <row r="363" spans="4:16" x14ac:dyDescent="0.25">
      <c r="D363" s="109">
        <v>359</v>
      </c>
      <c r="E363" s="10">
        <v>620</v>
      </c>
      <c r="F363" s="10">
        <v>4</v>
      </c>
      <c r="G363" s="10">
        <v>0</v>
      </c>
      <c r="H363" s="5" t="str">
        <f t="shared" si="15"/>
        <v>det_620</v>
      </c>
      <c r="I363" s="5" t="str">
        <f t="shared" si="16"/>
        <v>W:\Performance Measurement\1. Freeway\1. raw data\2015\data files\det_620.txt</v>
      </c>
      <c r="J363" s="5" t="str">
        <f t="shared" si="17"/>
        <v>W:\Performance Measurement\1. Freeway\1. raw data\2015\data files\det_620.xlsx</v>
      </c>
      <c r="M363" s="113" t="s">
        <v>79</v>
      </c>
      <c r="N363" s="10">
        <v>620</v>
      </c>
      <c r="O363" s="10">
        <v>4</v>
      </c>
      <c r="P363" s="10">
        <v>0</v>
      </c>
    </row>
    <row r="364" spans="4:16" x14ac:dyDescent="0.25">
      <c r="D364" s="109">
        <v>360</v>
      </c>
      <c r="N364" s="10"/>
      <c r="O364" s="10"/>
      <c r="P364" s="10"/>
    </row>
    <row r="365" spans="4:16" x14ac:dyDescent="0.25">
      <c r="N365" s="10"/>
      <c r="O365" s="10"/>
      <c r="P365" s="10"/>
    </row>
    <row r="366" spans="4:16" x14ac:dyDescent="0.25">
      <c r="N366" s="10"/>
      <c r="O366" s="10"/>
      <c r="P366" s="10"/>
    </row>
    <row r="367" spans="4:16" x14ac:dyDescent="0.25">
      <c r="N367" s="10"/>
      <c r="O367" s="10"/>
      <c r="P367" s="10"/>
    </row>
    <row r="368" spans="4:16" x14ac:dyDescent="0.25">
      <c r="N368" s="10"/>
      <c r="O368" s="10"/>
      <c r="P368" s="10"/>
    </row>
    <row r="369" spans="14:16" x14ac:dyDescent="0.25">
      <c r="N369" s="10"/>
      <c r="O369" s="10"/>
      <c r="P369" s="10"/>
    </row>
    <row r="370" spans="14:16" x14ac:dyDescent="0.25">
      <c r="N370" s="10"/>
      <c r="O370" s="10"/>
      <c r="P370" s="10"/>
    </row>
    <row r="371" spans="14:16" x14ac:dyDescent="0.25">
      <c r="N371" s="10"/>
      <c r="O371" s="10"/>
      <c r="P371" s="10"/>
    </row>
    <row r="372" spans="14:16" x14ac:dyDescent="0.25">
      <c r="N372" s="10"/>
      <c r="O372" s="10"/>
      <c r="P372" s="10"/>
    </row>
    <row r="373" spans="14:16" x14ac:dyDescent="0.25">
      <c r="N373" s="10"/>
      <c r="O373" s="10"/>
      <c r="P373" s="10"/>
    </row>
    <row r="374" spans="14:16" x14ac:dyDescent="0.25">
      <c r="N374" s="10"/>
      <c r="O374" s="10"/>
      <c r="P374" s="10"/>
    </row>
    <row r="375" spans="14:16" x14ac:dyDescent="0.25">
      <c r="N375" s="10"/>
      <c r="O375" s="10"/>
      <c r="P375" s="10"/>
    </row>
    <row r="376" spans="14:16" x14ac:dyDescent="0.25">
      <c r="N376" s="10"/>
      <c r="O376" s="10"/>
      <c r="P376" s="10"/>
    </row>
    <row r="377" spans="14:16" x14ac:dyDescent="0.25">
      <c r="N377" s="10"/>
      <c r="O377" s="10"/>
      <c r="P377" s="10"/>
    </row>
    <row r="378" spans="14:16" x14ac:dyDescent="0.25">
      <c r="N378" s="10"/>
      <c r="O378" s="10"/>
      <c r="P378" s="10"/>
    </row>
    <row r="379" spans="14:16" x14ac:dyDescent="0.25">
      <c r="N379" s="10"/>
      <c r="O379" s="10"/>
      <c r="P379" s="10"/>
    </row>
    <row r="380" spans="14:16" x14ac:dyDescent="0.25">
      <c r="N380" s="10"/>
      <c r="O380" s="10"/>
      <c r="P380" s="10"/>
    </row>
    <row r="381" spans="14:16" x14ac:dyDescent="0.25">
      <c r="N381" s="10"/>
      <c r="O381" s="10"/>
      <c r="P381" s="10"/>
    </row>
    <row r="382" spans="14:16" x14ac:dyDescent="0.25">
      <c r="N382" s="10"/>
      <c r="O382" s="10"/>
      <c r="P382" s="10"/>
    </row>
    <row r="383" spans="14:16" x14ac:dyDescent="0.25">
      <c r="N383" s="10"/>
      <c r="O383" s="10"/>
      <c r="P383" s="10"/>
    </row>
    <row r="384" spans="14:16" x14ac:dyDescent="0.25">
      <c r="N384" s="10"/>
      <c r="O384" s="10"/>
      <c r="P384" s="10"/>
    </row>
    <row r="385" spans="14:16" x14ac:dyDescent="0.25">
      <c r="N385" s="10"/>
      <c r="O385" s="10"/>
      <c r="P385" s="10"/>
    </row>
    <row r="386" spans="14:16" x14ac:dyDescent="0.25">
      <c r="N386" s="10"/>
      <c r="O386" s="10"/>
      <c r="P386" s="10"/>
    </row>
    <row r="387" spans="14:16" x14ac:dyDescent="0.25">
      <c r="N387" s="10"/>
      <c r="O387" s="10"/>
      <c r="P387" s="10"/>
    </row>
    <row r="388" spans="14:16" x14ac:dyDescent="0.25">
      <c r="N388" s="10"/>
      <c r="O388" s="10"/>
      <c r="P388" s="10"/>
    </row>
    <row r="389" spans="14:16" x14ac:dyDescent="0.25">
      <c r="N389" s="10"/>
      <c r="O389" s="10"/>
      <c r="P389" s="10"/>
    </row>
    <row r="390" spans="14:16" x14ac:dyDescent="0.25">
      <c r="N390" s="10"/>
      <c r="O390" s="10"/>
      <c r="P390" s="10"/>
    </row>
    <row r="391" spans="14:16" x14ac:dyDescent="0.25">
      <c r="N391" s="10"/>
      <c r="O391" s="10"/>
      <c r="P391" s="10"/>
    </row>
    <row r="392" spans="14:16" x14ac:dyDescent="0.25">
      <c r="N392" s="10"/>
      <c r="O392" s="10"/>
      <c r="P392" s="10"/>
    </row>
    <row r="393" spans="14:16" x14ac:dyDescent="0.25">
      <c r="N393" s="10"/>
      <c r="O393" s="10"/>
      <c r="P393" s="10"/>
    </row>
    <row r="394" spans="14:16" x14ac:dyDescent="0.25">
      <c r="N394" s="10"/>
      <c r="O394" s="10"/>
      <c r="P394" s="10"/>
    </row>
    <row r="395" spans="14:16" x14ac:dyDescent="0.25">
      <c r="N395" s="10"/>
      <c r="O395" s="10"/>
      <c r="P395" s="10"/>
    </row>
    <row r="396" spans="14:16" x14ac:dyDescent="0.25">
      <c r="N396" s="10"/>
      <c r="O396" s="10"/>
      <c r="P396" s="10"/>
    </row>
    <row r="397" spans="14:16" x14ac:dyDescent="0.25">
      <c r="N397" s="10"/>
      <c r="O397" s="10"/>
      <c r="P397" s="10"/>
    </row>
    <row r="398" spans="14:16" x14ac:dyDescent="0.25">
      <c r="N398" s="10"/>
      <c r="O398" s="10"/>
      <c r="P398" s="10"/>
    </row>
    <row r="399" spans="14:16" x14ac:dyDescent="0.25">
      <c r="N399" s="10"/>
      <c r="O399" s="10"/>
      <c r="P399" s="10"/>
    </row>
    <row r="400" spans="14:16" x14ac:dyDescent="0.25">
      <c r="N400" s="10"/>
      <c r="O400" s="10"/>
      <c r="P400" s="10"/>
    </row>
    <row r="401" spans="14:16" x14ac:dyDescent="0.25">
      <c r="N401" s="10"/>
      <c r="O401" s="10"/>
      <c r="P401" s="10"/>
    </row>
    <row r="402" spans="14:16" x14ac:dyDescent="0.25">
      <c r="N402" s="10"/>
      <c r="O402" s="10"/>
      <c r="P402" s="10"/>
    </row>
    <row r="403" spans="14:16" x14ac:dyDescent="0.25">
      <c r="N403" s="10"/>
      <c r="O403" s="10"/>
      <c r="P403" s="10"/>
    </row>
    <row r="404" spans="14:16" x14ac:dyDescent="0.25">
      <c r="N404" s="10"/>
      <c r="O404" s="10"/>
      <c r="P404" s="10"/>
    </row>
    <row r="405" spans="14:16" x14ac:dyDescent="0.25">
      <c r="N405" s="10"/>
      <c r="O405" s="10"/>
      <c r="P405" s="10"/>
    </row>
    <row r="406" spans="14:16" x14ac:dyDescent="0.25">
      <c r="N406" s="10"/>
      <c r="O406" s="10"/>
      <c r="P406" s="10"/>
    </row>
    <row r="407" spans="14:16" x14ac:dyDescent="0.25">
      <c r="N407" s="10"/>
      <c r="O407" s="10"/>
      <c r="P407" s="10"/>
    </row>
    <row r="408" spans="14:16" x14ac:dyDescent="0.25">
      <c r="N408" s="10"/>
      <c r="O408" s="10"/>
      <c r="P408" s="10"/>
    </row>
    <row r="409" spans="14:16" x14ac:dyDescent="0.25">
      <c r="N409" s="10"/>
      <c r="O409" s="10"/>
      <c r="P409" s="10"/>
    </row>
    <row r="410" spans="14:16" x14ac:dyDescent="0.25">
      <c r="N410" s="10"/>
      <c r="O410" s="10"/>
      <c r="P410" s="10"/>
    </row>
    <row r="411" spans="14:16" x14ac:dyDescent="0.25">
      <c r="N411" s="10"/>
      <c r="O411" s="10"/>
      <c r="P411" s="10"/>
    </row>
    <row r="412" spans="14:16" x14ac:dyDescent="0.25">
      <c r="N412" s="10"/>
      <c r="O412" s="10"/>
      <c r="P412" s="10"/>
    </row>
    <row r="413" spans="14:16" x14ac:dyDescent="0.25">
      <c r="N413" s="10"/>
      <c r="O413" s="10"/>
      <c r="P413" s="10"/>
    </row>
    <row r="414" spans="14:16" x14ac:dyDescent="0.25">
      <c r="N414" s="10"/>
      <c r="O414" s="10"/>
      <c r="P414" s="10"/>
    </row>
    <row r="415" spans="14:16" x14ac:dyDescent="0.25">
      <c r="N415" s="10"/>
      <c r="O415" s="10"/>
      <c r="P415" s="10"/>
    </row>
    <row r="416" spans="14:16" x14ac:dyDescent="0.25">
      <c r="N416" s="10"/>
      <c r="O416" s="10"/>
      <c r="P416" s="10"/>
    </row>
    <row r="417" spans="14:16" x14ac:dyDescent="0.25">
      <c r="N417" s="10"/>
      <c r="O417" s="10"/>
      <c r="P417" s="10"/>
    </row>
    <row r="418" spans="14:16" x14ac:dyDescent="0.25">
      <c r="N418" s="10"/>
      <c r="O418" s="10"/>
      <c r="P418" s="10"/>
    </row>
    <row r="419" spans="14:16" x14ac:dyDescent="0.25">
      <c r="N419" s="10"/>
      <c r="O419" s="10"/>
      <c r="P419" s="10"/>
    </row>
    <row r="420" spans="14:16" x14ac:dyDescent="0.25">
      <c r="N420" s="10"/>
      <c r="O420" s="10"/>
      <c r="P420" s="10"/>
    </row>
    <row r="421" spans="14:16" x14ac:dyDescent="0.25">
      <c r="N421" s="10"/>
      <c r="O421" s="10"/>
      <c r="P421" s="10"/>
    </row>
    <row r="422" spans="14:16" x14ac:dyDescent="0.25">
      <c r="N422" s="10"/>
      <c r="O422" s="10"/>
      <c r="P422" s="10"/>
    </row>
    <row r="423" spans="14:16" x14ac:dyDescent="0.25">
      <c r="N423" s="10"/>
      <c r="O423" s="10"/>
      <c r="P423" s="10"/>
    </row>
    <row r="424" spans="14:16" x14ac:dyDescent="0.25">
      <c r="N424" s="10"/>
      <c r="O424" s="10"/>
      <c r="P424" s="10"/>
    </row>
    <row r="425" spans="14:16" x14ac:dyDescent="0.25">
      <c r="N425" s="10"/>
      <c r="O425" s="10"/>
      <c r="P425" s="10"/>
    </row>
    <row r="426" spans="14:16" x14ac:dyDescent="0.25">
      <c r="N426" s="10"/>
      <c r="O426" s="10"/>
      <c r="P426" s="10"/>
    </row>
    <row r="427" spans="14:16" x14ac:dyDescent="0.25">
      <c r="N427" s="10"/>
      <c r="O427" s="10"/>
      <c r="P427" s="10"/>
    </row>
    <row r="428" spans="14:16" x14ac:dyDescent="0.25">
      <c r="N428" s="10"/>
      <c r="O428" s="10"/>
      <c r="P428" s="10"/>
    </row>
    <row r="429" spans="14:16" x14ac:dyDescent="0.25">
      <c r="N429" s="10"/>
      <c r="O429" s="10"/>
      <c r="P429" s="10"/>
    </row>
    <row r="430" spans="14:16" x14ac:dyDescent="0.25">
      <c r="N430" s="10"/>
      <c r="O430" s="10"/>
      <c r="P430" s="10"/>
    </row>
    <row r="431" spans="14:16" x14ac:dyDescent="0.25">
      <c r="N431" s="10"/>
      <c r="O431" s="10"/>
      <c r="P431" s="10"/>
    </row>
    <row r="432" spans="14:16" x14ac:dyDescent="0.25">
      <c r="N432" s="10"/>
      <c r="O432" s="10"/>
      <c r="P432" s="10"/>
    </row>
    <row r="433" spans="14:16" x14ac:dyDescent="0.25">
      <c r="N433" s="10"/>
      <c r="O433" s="10"/>
      <c r="P433" s="10"/>
    </row>
    <row r="434" spans="14:16" x14ac:dyDescent="0.25">
      <c r="N434" s="10"/>
      <c r="O434" s="10"/>
      <c r="P434" s="10"/>
    </row>
    <row r="435" spans="14:16" x14ac:dyDescent="0.25">
      <c r="N435" s="10"/>
      <c r="O435" s="10"/>
      <c r="P435" s="10"/>
    </row>
    <row r="436" spans="14:16" x14ac:dyDescent="0.25">
      <c r="N436" s="10"/>
      <c r="O436" s="10"/>
      <c r="P436" s="10"/>
    </row>
    <row r="437" spans="14:16" x14ac:dyDescent="0.25">
      <c r="N437" s="10"/>
      <c r="O437" s="10"/>
      <c r="P437" s="10"/>
    </row>
    <row r="438" spans="14:16" x14ac:dyDescent="0.25">
      <c r="N438" s="10"/>
      <c r="O438" s="10"/>
      <c r="P438" s="10"/>
    </row>
    <row r="439" spans="14:16" x14ac:dyDescent="0.25">
      <c r="N439" s="10"/>
      <c r="O439" s="10"/>
      <c r="P439" s="10"/>
    </row>
    <row r="440" spans="14:16" x14ac:dyDescent="0.25">
      <c r="N440" s="10"/>
      <c r="O440" s="10"/>
      <c r="P440" s="10"/>
    </row>
    <row r="441" spans="14:16" x14ac:dyDescent="0.25">
      <c r="N441" s="10"/>
      <c r="O441" s="10"/>
      <c r="P441" s="10"/>
    </row>
    <row r="442" spans="14:16" x14ac:dyDescent="0.25">
      <c r="N442" s="10"/>
      <c r="O442" s="10"/>
      <c r="P442" s="10"/>
    </row>
    <row r="443" spans="14:16" x14ac:dyDescent="0.25">
      <c r="N443" s="10"/>
      <c r="O443" s="10"/>
      <c r="P443" s="10"/>
    </row>
    <row r="444" spans="14:16" x14ac:dyDescent="0.25">
      <c r="N444" s="10"/>
      <c r="O444" s="10"/>
      <c r="P444" s="10"/>
    </row>
    <row r="445" spans="14:16" x14ac:dyDescent="0.25">
      <c r="N445" s="10"/>
      <c r="O445" s="10"/>
      <c r="P445" s="10"/>
    </row>
    <row r="446" spans="14:16" x14ac:dyDescent="0.25">
      <c r="N446" s="10"/>
      <c r="O446" s="10"/>
      <c r="P446" s="10"/>
    </row>
    <row r="447" spans="14:16" x14ac:dyDescent="0.25">
      <c r="N447" s="10"/>
      <c r="O447" s="10"/>
      <c r="P447" s="10"/>
    </row>
    <row r="448" spans="14:16" x14ac:dyDescent="0.25">
      <c r="N448" s="10"/>
      <c r="O448" s="10"/>
      <c r="P448" s="10"/>
    </row>
    <row r="449" spans="14:16" x14ac:dyDescent="0.25">
      <c r="N449" s="10"/>
      <c r="O449" s="10"/>
      <c r="P449" s="10"/>
    </row>
    <row r="450" spans="14:16" x14ac:dyDescent="0.25">
      <c r="N450" s="10"/>
      <c r="O450" s="10"/>
      <c r="P450" s="10"/>
    </row>
    <row r="451" spans="14:16" x14ac:dyDescent="0.25">
      <c r="N451" s="10"/>
      <c r="O451" s="10"/>
      <c r="P451" s="10"/>
    </row>
    <row r="452" spans="14:16" x14ac:dyDescent="0.25">
      <c r="N452" s="10"/>
      <c r="O452" s="10"/>
      <c r="P452" s="10"/>
    </row>
    <row r="453" spans="14:16" x14ac:dyDescent="0.25">
      <c r="N453" s="10"/>
      <c r="O453" s="10"/>
      <c r="P453" s="10"/>
    </row>
    <row r="454" spans="14:16" x14ac:dyDescent="0.25">
      <c r="N454" s="10"/>
      <c r="O454" s="10"/>
      <c r="P454" s="10"/>
    </row>
    <row r="455" spans="14:16" x14ac:dyDescent="0.25">
      <c r="N455" s="10"/>
      <c r="O455" s="10"/>
      <c r="P455" s="10"/>
    </row>
    <row r="456" spans="14:16" x14ac:dyDescent="0.25">
      <c r="N456" s="10"/>
      <c r="O456" s="10"/>
      <c r="P456" s="10"/>
    </row>
    <row r="457" spans="14:16" x14ac:dyDescent="0.25">
      <c r="N457" s="10"/>
      <c r="O457" s="10"/>
      <c r="P457" s="10"/>
    </row>
    <row r="458" spans="14:16" x14ac:dyDescent="0.25">
      <c r="N458" s="10"/>
      <c r="O458" s="10"/>
      <c r="P458" s="10"/>
    </row>
    <row r="459" spans="14:16" x14ac:dyDescent="0.25">
      <c r="N459" s="10"/>
      <c r="O459" s="10"/>
      <c r="P459" s="10"/>
    </row>
    <row r="460" spans="14:16" x14ac:dyDescent="0.25">
      <c r="N460" s="10"/>
      <c r="O460" s="10"/>
      <c r="P460" s="10"/>
    </row>
    <row r="461" spans="14:16" x14ac:dyDescent="0.25">
      <c r="N461" s="10"/>
      <c r="O461" s="10"/>
      <c r="P461" s="10"/>
    </row>
    <row r="462" spans="14:16" x14ac:dyDescent="0.25">
      <c r="N462" s="10"/>
      <c r="O462" s="10"/>
      <c r="P462" s="10"/>
    </row>
    <row r="463" spans="14:16" x14ac:dyDescent="0.25">
      <c r="N463" s="10"/>
      <c r="O463" s="10"/>
      <c r="P463" s="10"/>
    </row>
    <row r="464" spans="14:16" x14ac:dyDescent="0.25">
      <c r="N464" s="10"/>
      <c r="O464" s="10"/>
      <c r="P464" s="10"/>
    </row>
    <row r="465" spans="14:16" x14ac:dyDescent="0.25">
      <c r="N465" s="10"/>
      <c r="O465" s="10"/>
      <c r="P465" s="10"/>
    </row>
    <row r="466" spans="14:16" x14ac:dyDescent="0.25">
      <c r="N466" s="10"/>
      <c r="O466" s="10"/>
      <c r="P466" s="10"/>
    </row>
    <row r="467" spans="14:16" x14ac:dyDescent="0.25">
      <c r="N467" s="10"/>
      <c r="O467" s="10"/>
      <c r="P467" s="10"/>
    </row>
    <row r="468" spans="14:16" x14ac:dyDescent="0.25">
      <c r="N468" s="10"/>
      <c r="O468" s="10"/>
      <c r="P468" s="10"/>
    </row>
    <row r="469" spans="14:16" x14ac:dyDescent="0.25">
      <c r="N469" s="10"/>
      <c r="O469" s="10"/>
      <c r="P469" s="10"/>
    </row>
    <row r="470" spans="14:16" x14ac:dyDescent="0.25">
      <c r="N470" s="10"/>
      <c r="O470" s="10"/>
      <c r="P470" s="10"/>
    </row>
    <row r="471" spans="14:16" x14ac:dyDescent="0.25">
      <c r="N471" s="10"/>
      <c r="O471" s="10"/>
      <c r="P471" s="10"/>
    </row>
    <row r="472" spans="14:16" x14ac:dyDescent="0.25">
      <c r="N472" s="10"/>
      <c r="O472" s="10"/>
      <c r="P472" s="10"/>
    </row>
    <row r="473" spans="14:16" x14ac:dyDescent="0.25">
      <c r="N473" s="10"/>
      <c r="O473" s="10"/>
      <c r="P473" s="10"/>
    </row>
    <row r="474" spans="14:16" x14ac:dyDescent="0.25">
      <c r="N474" s="10"/>
      <c r="O474" s="10"/>
      <c r="P474" s="10"/>
    </row>
    <row r="475" spans="14:16" x14ac:dyDescent="0.25">
      <c r="N475" s="10"/>
      <c r="O475" s="10"/>
      <c r="P475" s="10"/>
    </row>
    <row r="476" spans="14:16" x14ac:dyDescent="0.25">
      <c r="N476" s="10"/>
      <c r="O476" s="10"/>
      <c r="P476" s="10"/>
    </row>
    <row r="477" spans="14:16" x14ac:dyDescent="0.25">
      <c r="N477" s="10"/>
      <c r="O477" s="10"/>
      <c r="P477" s="10"/>
    </row>
    <row r="478" spans="14:16" x14ac:dyDescent="0.25">
      <c r="N478" s="10"/>
      <c r="O478" s="10"/>
      <c r="P478" s="10"/>
    </row>
    <row r="479" spans="14:16" x14ac:dyDescent="0.25">
      <c r="N479" s="10"/>
      <c r="O479" s="10"/>
      <c r="P479" s="10"/>
    </row>
    <row r="480" spans="14:16" x14ac:dyDescent="0.25">
      <c r="N480" s="10"/>
      <c r="O480" s="10"/>
      <c r="P480" s="10"/>
    </row>
    <row r="481" spans="14:16" x14ac:dyDescent="0.25">
      <c r="N481" s="10"/>
      <c r="O481" s="10"/>
      <c r="P481" s="10"/>
    </row>
    <row r="482" spans="14:16" x14ac:dyDescent="0.25">
      <c r="N482" s="10"/>
      <c r="O482" s="10"/>
      <c r="P482" s="10"/>
    </row>
    <row r="483" spans="14:16" x14ac:dyDescent="0.25">
      <c r="N483" s="10"/>
      <c r="O483" s="10"/>
      <c r="P483" s="10"/>
    </row>
    <row r="484" spans="14:16" x14ac:dyDescent="0.25">
      <c r="N484" s="10"/>
      <c r="O484" s="10"/>
      <c r="P484" s="10"/>
    </row>
    <row r="485" spans="14:16" x14ac:dyDescent="0.25">
      <c r="N485" s="10"/>
      <c r="O485" s="10"/>
      <c r="P485" s="10"/>
    </row>
    <row r="486" spans="14:16" x14ac:dyDescent="0.25">
      <c r="N486" s="10"/>
      <c r="O486" s="10"/>
      <c r="P486" s="10"/>
    </row>
    <row r="487" spans="14:16" x14ac:dyDescent="0.25">
      <c r="N487" s="10"/>
      <c r="O487" s="10"/>
      <c r="P487" s="10"/>
    </row>
    <row r="488" spans="14:16" x14ac:dyDescent="0.25">
      <c r="N488" s="10"/>
      <c r="O488" s="10"/>
      <c r="P488" s="10"/>
    </row>
    <row r="489" spans="14:16" x14ac:dyDescent="0.25">
      <c r="N489" s="10"/>
      <c r="O489" s="10"/>
      <c r="P489" s="10"/>
    </row>
    <row r="490" spans="14:16" x14ac:dyDescent="0.25">
      <c r="N490" s="10"/>
      <c r="O490" s="10"/>
      <c r="P490" s="10"/>
    </row>
    <row r="491" spans="14:16" x14ac:dyDescent="0.25">
      <c r="N491" s="10"/>
      <c r="O491" s="10"/>
      <c r="P491" s="10"/>
    </row>
    <row r="492" spans="14:16" x14ac:dyDescent="0.25">
      <c r="N492" s="10"/>
      <c r="O492" s="10"/>
      <c r="P492" s="10"/>
    </row>
    <row r="493" spans="14:16" x14ac:dyDescent="0.25">
      <c r="N493" s="10"/>
      <c r="O493" s="10"/>
      <c r="P493" s="10"/>
    </row>
    <row r="494" spans="14:16" x14ac:dyDescent="0.25">
      <c r="N494" s="10"/>
      <c r="O494" s="10"/>
      <c r="P494" s="10"/>
    </row>
    <row r="495" spans="14:16" x14ac:dyDescent="0.25">
      <c r="N495" s="10"/>
      <c r="O495" s="10"/>
      <c r="P495" s="10"/>
    </row>
    <row r="496" spans="14:16" x14ac:dyDescent="0.25">
      <c r="N496" s="10"/>
      <c r="O496" s="10"/>
      <c r="P496" s="10"/>
    </row>
    <row r="497" spans="14:16" x14ac:dyDescent="0.25">
      <c r="N497" s="10"/>
      <c r="O497" s="10"/>
      <c r="P497" s="10"/>
    </row>
    <row r="498" spans="14:16" x14ac:dyDescent="0.25">
      <c r="N498" s="10"/>
      <c r="O498" s="10"/>
      <c r="P498" s="10"/>
    </row>
    <row r="499" spans="14:16" x14ac:dyDescent="0.25">
      <c r="N499" s="10"/>
      <c r="O499" s="10"/>
      <c r="P499" s="10"/>
    </row>
    <row r="500" spans="14:16" x14ac:dyDescent="0.25">
      <c r="N500" s="10"/>
      <c r="O500" s="10"/>
      <c r="P500" s="10"/>
    </row>
    <row r="501" spans="14:16" x14ac:dyDescent="0.25">
      <c r="N501" s="10"/>
      <c r="O501" s="10"/>
      <c r="P501" s="10"/>
    </row>
    <row r="502" spans="14:16" x14ac:dyDescent="0.25">
      <c r="N502" s="10"/>
      <c r="O502" s="10"/>
      <c r="P502" s="10"/>
    </row>
    <row r="503" spans="14:16" x14ac:dyDescent="0.25">
      <c r="N503" s="10"/>
      <c r="O503" s="10"/>
      <c r="P503" s="10"/>
    </row>
    <row r="504" spans="14:16" x14ac:dyDescent="0.25">
      <c r="N504" s="10"/>
      <c r="O504" s="10"/>
      <c r="P504" s="10"/>
    </row>
    <row r="505" spans="14:16" x14ac:dyDescent="0.25">
      <c r="N505" s="10"/>
      <c r="O505" s="10"/>
      <c r="P505" s="10"/>
    </row>
    <row r="506" spans="14:16" x14ac:dyDescent="0.25">
      <c r="N506" s="10"/>
      <c r="O506" s="10"/>
      <c r="P506" s="10"/>
    </row>
    <row r="507" spans="14:16" x14ac:dyDescent="0.25">
      <c r="N507" s="10"/>
      <c r="O507" s="10"/>
      <c r="P507" s="10"/>
    </row>
    <row r="508" spans="14:16" x14ac:dyDescent="0.25">
      <c r="N508" s="10"/>
      <c r="O508" s="10"/>
      <c r="P508" s="10"/>
    </row>
    <row r="509" spans="14:16" x14ac:dyDescent="0.25">
      <c r="N509" s="10"/>
      <c r="O509" s="10"/>
      <c r="P509"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locked="0" defaultSize="0" print="0" autoFill="0" autoPict="0" macro="[0]!Step3">
                <anchor moveWithCells="1" sizeWithCells="1">
                  <from>
                    <xdr:col>1</xdr:col>
                    <xdr:colOff>0</xdr:colOff>
                    <xdr:row>2</xdr:row>
                    <xdr:rowOff>0</xdr:rowOff>
                  </from>
                  <to>
                    <xdr:col>2</xdr:col>
                    <xdr:colOff>638175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509"/>
  <sheetViews>
    <sheetView zoomScaleNormal="100" workbookViewId="0">
      <pane ySplit="6975" topLeftCell="A351"/>
      <selection activeCell="B18" sqref="B18"/>
      <selection pane="bottomLeft" activeCell="E356" sqref="E356"/>
    </sheetView>
  </sheetViews>
  <sheetFormatPr defaultRowHeight="15" x14ac:dyDescent="0.25"/>
  <cols>
    <col min="1" max="1" width="4.140625" style="95" customWidth="1"/>
    <col min="2" max="2" width="10.7109375" style="95" customWidth="1"/>
    <col min="3" max="3" width="21.7109375" style="95" customWidth="1"/>
    <col min="4" max="4" width="8.7109375" style="95" customWidth="1"/>
    <col min="5" max="8" width="10.7109375" style="95" customWidth="1"/>
    <col min="9" max="9" width="76" style="95" customWidth="1"/>
    <col min="10" max="10" width="24" style="95" customWidth="1"/>
    <col min="11" max="11" width="10.5703125" style="95" customWidth="1"/>
    <col min="12" max="12" width="41" style="95" customWidth="1"/>
    <col min="13" max="16384" width="9.140625" style="95"/>
  </cols>
  <sheetData>
    <row r="1" spans="2:16" ht="18.75" x14ac:dyDescent="0.3">
      <c r="B1" s="13" t="s">
        <v>21</v>
      </c>
      <c r="C1" s="13"/>
      <c r="D1" s="13"/>
      <c r="E1" s="13"/>
      <c r="H1" s="13"/>
      <c r="I1" s="12" t="s">
        <v>20</v>
      </c>
    </row>
    <row r="2" spans="2:16" x14ac:dyDescent="0.25">
      <c r="E2" s="6"/>
      <c r="F2" s="6"/>
      <c r="G2" s="6"/>
      <c r="H2" s="6"/>
      <c r="I2" s="6"/>
      <c r="J2" s="6"/>
      <c r="K2" s="6"/>
    </row>
    <row r="3" spans="2:16" x14ac:dyDescent="0.25">
      <c r="E3" s="6"/>
      <c r="F3" s="6"/>
      <c r="G3" s="6"/>
      <c r="M3" s="95" t="s">
        <v>279</v>
      </c>
    </row>
    <row r="4" spans="2:16" x14ac:dyDescent="0.25">
      <c r="D4" s="95" t="s">
        <v>19</v>
      </c>
      <c r="E4" s="95" t="s">
        <v>18</v>
      </c>
      <c r="F4" s="95" t="s">
        <v>38</v>
      </c>
      <c r="G4" s="95" t="s">
        <v>39</v>
      </c>
      <c r="H4" s="95" t="s">
        <v>17</v>
      </c>
      <c r="I4" s="95" t="s">
        <v>16</v>
      </c>
      <c r="J4" s="95" t="s">
        <v>15</v>
      </c>
      <c r="M4" s="95" t="s">
        <v>275</v>
      </c>
      <c r="N4" s="95" t="s">
        <v>18</v>
      </c>
      <c r="O4" s="95" t="s">
        <v>38</v>
      </c>
      <c r="P4" s="95" t="s">
        <v>39</v>
      </c>
    </row>
    <row r="5" spans="2:16" x14ac:dyDescent="0.25">
      <c r="B5" s="2" t="s">
        <v>287</v>
      </c>
      <c r="C5" s="95" t="s">
        <v>14</v>
      </c>
      <c r="D5" s="95">
        <v>1</v>
      </c>
      <c r="E5" s="10">
        <v>2</v>
      </c>
      <c r="F5" s="10">
        <v>5</v>
      </c>
      <c r="G5" s="10">
        <v>1</v>
      </c>
      <c r="H5" s="5" t="str">
        <f t="shared" ref="H5:H68" si="0">"det_"&amp;E5&amp;""</f>
        <v>det_2</v>
      </c>
      <c r="I5" s="5" t="str">
        <f t="shared" ref="I5:I68" si="1">$B$5&amp;"\"&amp;H5&amp;".txt"</f>
        <v>W:\Performance Measurement\1. Freeway\1. raw data\2016\data files\det_2.txt</v>
      </c>
      <c r="J5" s="5" t="str">
        <f t="shared" ref="J5:J68" si="2">$B$5&amp;"\"&amp;H5&amp;".xlsx"</f>
        <v>W:\Performance Measurement\1. Freeway\1. raw data\2016\data files\det_2.xlsx</v>
      </c>
      <c r="K5" s="5"/>
      <c r="M5" s="98" t="s">
        <v>58</v>
      </c>
      <c r="N5" s="10">
        <v>2</v>
      </c>
      <c r="O5" s="10">
        <v>5</v>
      </c>
      <c r="P5" s="10">
        <v>1</v>
      </c>
    </row>
    <row r="6" spans="2:16" x14ac:dyDescent="0.25">
      <c r="B6" s="2" t="s">
        <v>47</v>
      </c>
      <c r="C6" s="95" t="s">
        <v>13</v>
      </c>
      <c r="D6" s="95">
        <v>2</v>
      </c>
      <c r="E6" s="10">
        <v>8</v>
      </c>
      <c r="F6" s="10">
        <v>4</v>
      </c>
      <c r="G6" s="10">
        <v>1</v>
      </c>
      <c r="H6" s="5" t="str">
        <f t="shared" si="0"/>
        <v>det_8</v>
      </c>
      <c r="I6" s="5" t="str">
        <f t="shared" si="1"/>
        <v>W:\Performance Measurement\1. Freeway\1. raw data\2016\data files\det_8.txt</v>
      </c>
      <c r="J6" s="5" t="str">
        <f t="shared" si="2"/>
        <v>W:\Performance Measurement\1. Freeway\1. raw data\2016\data files\det_8.xlsx</v>
      </c>
      <c r="K6" s="5"/>
      <c r="M6" s="98" t="s">
        <v>58</v>
      </c>
      <c r="N6" s="10">
        <v>8</v>
      </c>
      <c r="O6" s="10">
        <v>4</v>
      </c>
      <c r="P6" s="10">
        <v>1</v>
      </c>
    </row>
    <row r="7" spans="2:16" x14ac:dyDescent="0.25">
      <c r="B7" s="2" t="s">
        <v>288</v>
      </c>
      <c r="C7" s="95" t="s">
        <v>11</v>
      </c>
      <c r="D7" s="95">
        <v>3</v>
      </c>
      <c r="E7" s="10">
        <v>14</v>
      </c>
      <c r="F7" s="10">
        <v>4</v>
      </c>
      <c r="G7" s="10">
        <v>1</v>
      </c>
      <c r="H7" s="5" t="str">
        <f t="shared" si="0"/>
        <v>det_14</v>
      </c>
      <c r="I7" s="5" t="str">
        <f t="shared" si="1"/>
        <v>W:\Performance Measurement\1. Freeway\1. raw data\2016\data files\det_14.txt</v>
      </c>
      <c r="J7" s="5" t="str">
        <f t="shared" si="2"/>
        <v>W:\Performance Measurement\1. Freeway\1. raw data\2016\data files\det_14.xlsx</v>
      </c>
      <c r="K7" s="5"/>
      <c r="M7" s="98" t="s">
        <v>58</v>
      </c>
      <c r="N7" s="10">
        <v>14</v>
      </c>
      <c r="O7" s="10">
        <v>4</v>
      </c>
      <c r="P7" s="10">
        <v>1</v>
      </c>
    </row>
    <row r="8" spans="2:16" x14ac:dyDescent="0.25">
      <c r="B8" s="2" t="s">
        <v>260</v>
      </c>
      <c r="C8" s="1" t="s">
        <v>10</v>
      </c>
      <c r="D8" s="109">
        <v>4</v>
      </c>
      <c r="E8" s="10">
        <v>20</v>
      </c>
      <c r="F8" s="10">
        <v>4</v>
      </c>
      <c r="G8" s="10">
        <v>1</v>
      </c>
      <c r="H8" s="5" t="str">
        <f t="shared" si="0"/>
        <v>det_20</v>
      </c>
      <c r="I8" s="5" t="str">
        <f t="shared" si="1"/>
        <v>W:\Performance Measurement\1. Freeway\1. raw data\2016\data files\det_20.txt</v>
      </c>
      <c r="J8" s="5" t="str">
        <f t="shared" si="2"/>
        <v>W:\Performance Measurement\1. Freeway\1. raw data\2016\data files\det_20.xlsx</v>
      </c>
      <c r="K8" s="5"/>
      <c r="M8" s="98" t="s">
        <v>58</v>
      </c>
      <c r="N8" s="10">
        <v>20</v>
      </c>
      <c r="O8" s="10">
        <v>4</v>
      </c>
      <c r="P8" s="10">
        <v>1</v>
      </c>
    </row>
    <row r="9" spans="2:16" x14ac:dyDescent="0.25">
      <c r="D9" s="109">
        <v>5</v>
      </c>
      <c r="E9" s="10">
        <v>25</v>
      </c>
      <c r="F9" s="10">
        <v>4</v>
      </c>
      <c r="G9" s="10">
        <v>1</v>
      </c>
      <c r="H9" s="5" t="str">
        <f t="shared" si="0"/>
        <v>det_25</v>
      </c>
      <c r="I9" s="5" t="str">
        <f t="shared" si="1"/>
        <v>W:\Performance Measurement\1. Freeway\1. raw data\2016\data files\det_25.txt</v>
      </c>
      <c r="J9" s="5" t="str">
        <f t="shared" si="2"/>
        <v>W:\Performance Measurement\1. Freeway\1. raw data\2016\data files\det_25.xlsx</v>
      </c>
      <c r="K9" s="5"/>
      <c r="M9" s="98" t="s">
        <v>58</v>
      </c>
      <c r="N9" s="10">
        <v>25</v>
      </c>
      <c r="O9" s="10">
        <v>4</v>
      </c>
      <c r="P9" s="10">
        <v>1</v>
      </c>
    </row>
    <row r="10" spans="2:16" x14ac:dyDescent="0.25">
      <c r="B10" s="3">
        <v>2016</v>
      </c>
      <c r="C10" s="95" t="s">
        <v>9</v>
      </c>
      <c r="D10" s="109">
        <v>6</v>
      </c>
      <c r="E10" s="10">
        <v>30</v>
      </c>
      <c r="F10" s="10">
        <v>4</v>
      </c>
      <c r="G10" s="10">
        <v>1</v>
      </c>
      <c r="H10" s="5" t="str">
        <f t="shared" si="0"/>
        <v>det_30</v>
      </c>
      <c r="I10" s="5" t="str">
        <f t="shared" si="1"/>
        <v>W:\Performance Measurement\1. Freeway\1. raw data\2016\data files\det_30.txt</v>
      </c>
      <c r="J10" s="5" t="str">
        <f t="shared" si="2"/>
        <v>W:\Performance Measurement\1. Freeway\1. raw data\2016\data files\det_30.xlsx</v>
      </c>
      <c r="K10" s="5"/>
      <c r="M10" s="98" t="s">
        <v>58</v>
      </c>
      <c r="N10" s="10">
        <v>30</v>
      </c>
      <c r="O10" s="10">
        <v>4</v>
      </c>
      <c r="P10" s="10">
        <v>1</v>
      </c>
    </row>
    <row r="11" spans="2:16" x14ac:dyDescent="0.25">
      <c r="B11" s="3">
        <v>366</v>
      </c>
      <c r="C11" s="95" t="s">
        <v>0</v>
      </c>
      <c r="D11" s="109">
        <v>7</v>
      </c>
      <c r="E11" s="10">
        <v>68</v>
      </c>
      <c r="F11" s="10">
        <v>4</v>
      </c>
      <c r="G11" s="10">
        <v>1</v>
      </c>
      <c r="H11" s="5" t="str">
        <f t="shared" si="0"/>
        <v>det_68</v>
      </c>
      <c r="I11" s="5" t="str">
        <f t="shared" si="1"/>
        <v>W:\Performance Measurement\1. Freeway\1. raw data\2016\data files\det_68.txt</v>
      </c>
      <c r="J11" s="5" t="str">
        <f t="shared" si="2"/>
        <v>W:\Performance Measurement\1. Freeway\1. raw data\2016\data files\det_68.xlsx</v>
      </c>
      <c r="K11" s="5"/>
      <c r="M11" s="98" t="s">
        <v>58</v>
      </c>
      <c r="N11" s="10">
        <v>68</v>
      </c>
      <c r="O11" s="10">
        <v>4</v>
      </c>
      <c r="P11" s="10">
        <v>1</v>
      </c>
    </row>
    <row r="12" spans="2:16" x14ac:dyDescent="0.25">
      <c r="B12" s="3">
        <v>251</v>
      </c>
      <c r="C12" s="95" t="s">
        <v>1</v>
      </c>
      <c r="D12" s="109">
        <v>8</v>
      </c>
      <c r="E12" s="10">
        <v>133</v>
      </c>
      <c r="F12" s="10">
        <v>5</v>
      </c>
      <c r="G12" s="10">
        <v>1</v>
      </c>
      <c r="H12" s="5" t="str">
        <f t="shared" si="0"/>
        <v>det_133</v>
      </c>
      <c r="I12" s="5" t="str">
        <f t="shared" si="1"/>
        <v>W:\Performance Measurement\1. Freeway\1. raw data\2016\data files\det_133.txt</v>
      </c>
      <c r="J12" s="5" t="str">
        <f t="shared" si="2"/>
        <v>W:\Performance Measurement\1. Freeway\1. raw data\2016\data files\det_133.xlsx</v>
      </c>
      <c r="K12" s="5"/>
      <c r="M12" s="98" t="s">
        <v>58</v>
      </c>
      <c r="N12" s="10">
        <v>133</v>
      </c>
      <c r="O12" s="10">
        <v>5</v>
      </c>
      <c r="P12" s="10">
        <v>1</v>
      </c>
    </row>
    <row r="13" spans="2:16" x14ac:dyDescent="0.25">
      <c r="D13" s="109">
        <v>9</v>
      </c>
      <c r="E13" s="10">
        <v>73</v>
      </c>
      <c r="F13" s="10">
        <v>5</v>
      </c>
      <c r="G13" s="10">
        <v>1</v>
      </c>
      <c r="H13" s="5" t="str">
        <f t="shared" si="0"/>
        <v>det_73</v>
      </c>
      <c r="I13" s="5" t="str">
        <f t="shared" si="1"/>
        <v>W:\Performance Measurement\1. Freeway\1. raw data\2016\data files\det_73.txt</v>
      </c>
      <c r="J13" s="5" t="str">
        <f t="shared" si="2"/>
        <v>W:\Performance Measurement\1. Freeway\1. raw data\2016\data files\det_73.xlsx</v>
      </c>
      <c r="K13" s="5"/>
      <c r="M13" s="98" t="s">
        <v>58</v>
      </c>
      <c r="N13" s="10">
        <v>73</v>
      </c>
      <c r="O13" s="10">
        <v>5</v>
      </c>
      <c r="P13" s="10">
        <v>1</v>
      </c>
    </row>
    <row r="14" spans="2:16" x14ac:dyDescent="0.25">
      <c r="B14" s="3">
        <v>1</v>
      </c>
      <c r="C14" s="1" t="s">
        <v>8</v>
      </c>
      <c r="D14" s="109">
        <v>10</v>
      </c>
      <c r="E14" s="10">
        <v>35</v>
      </c>
      <c r="F14" s="10">
        <v>4</v>
      </c>
      <c r="G14" s="10">
        <v>1</v>
      </c>
      <c r="H14" s="5" t="str">
        <f t="shared" si="0"/>
        <v>det_35</v>
      </c>
      <c r="I14" s="5" t="str">
        <f t="shared" si="1"/>
        <v>W:\Performance Measurement\1. Freeway\1. raw data\2016\data files\det_35.txt</v>
      </c>
      <c r="J14" s="5" t="str">
        <f t="shared" si="2"/>
        <v>W:\Performance Measurement\1. Freeway\1. raw data\2016\data files\det_35.xlsx</v>
      </c>
      <c r="K14" s="5"/>
      <c r="M14" s="98" t="s">
        <v>58</v>
      </c>
      <c r="N14" s="10">
        <v>35</v>
      </c>
      <c r="O14" s="10">
        <v>4</v>
      </c>
      <c r="P14" s="10">
        <v>1</v>
      </c>
    </row>
    <row r="15" spans="2:16" x14ac:dyDescent="0.25">
      <c r="D15" s="109">
        <v>11</v>
      </c>
      <c r="E15" s="10">
        <v>29</v>
      </c>
      <c r="F15" s="10">
        <v>4</v>
      </c>
      <c r="G15" s="10">
        <v>1</v>
      </c>
      <c r="H15" s="5" t="str">
        <f t="shared" si="0"/>
        <v>det_29</v>
      </c>
      <c r="I15" s="5" t="str">
        <f t="shared" si="1"/>
        <v>W:\Performance Measurement\1. Freeway\1. raw data\2016\data files\det_29.txt</v>
      </c>
      <c r="J15" s="5" t="str">
        <f t="shared" si="2"/>
        <v>W:\Performance Measurement\1. Freeway\1. raw data\2016\data files\det_29.xlsx</v>
      </c>
      <c r="K15" s="5"/>
      <c r="M15" s="98" t="s">
        <v>58</v>
      </c>
      <c r="N15" s="10">
        <v>29</v>
      </c>
      <c r="O15" s="10">
        <v>4</v>
      </c>
      <c r="P15" s="10">
        <v>1</v>
      </c>
    </row>
    <row r="16" spans="2:16" x14ac:dyDescent="0.25">
      <c r="B16" s="3">
        <v>353</v>
      </c>
      <c r="C16" s="95" t="s">
        <v>7</v>
      </c>
      <c r="D16" s="109">
        <v>12</v>
      </c>
      <c r="E16" s="10">
        <v>24</v>
      </c>
      <c r="F16" s="10">
        <v>4</v>
      </c>
      <c r="G16" s="10">
        <v>1</v>
      </c>
      <c r="H16" s="5" t="str">
        <f t="shared" si="0"/>
        <v>det_24</v>
      </c>
      <c r="I16" s="5" t="str">
        <f t="shared" si="1"/>
        <v>W:\Performance Measurement\1. Freeway\1. raw data\2016\data files\det_24.txt</v>
      </c>
      <c r="J16" s="5" t="str">
        <f t="shared" si="2"/>
        <v>W:\Performance Measurement\1. Freeway\1. raw data\2016\data files\det_24.xlsx</v>
      </c>
      <c r="K16" s="5"/>
      <c r="M16" s="98" t="s">
        <v>58</v>
      </c>
      <c r="N16" s="10">
        <v>24</v>
      </c>
      <c r="O16" s="10">
        <v>4</v>
      </c>
      <c r="P16" s="10">
        <v>1</v>
      </c>
    </row>
    <row r="17" spans="1:16" x14ac:dyDescent="0.25">
      <c r="B17" s="3">
        <v>359</v>
      </c>
      <c r="C17" s="95" t="s">
        <v>6</v>
      </c>
      <c r="D17" s="109">
        <v>13</v>
      </c>
      <c r="E17" s="10">
        <v>17</v>
      </c>
      <c r="F17" s="10">
        <v>4</v>
      </c>
      <c r="G17" s="10">
        <v>1</v>
      </c>
      <c r="H17" s="5" t="str">
        <f t="shared" si="0"/>
        <v>det_17</v>
      </c>
      <c r="I17" s="5" t="str">
        <f t="shared" si="1"/>
        <v>W:\Performance Measurement\1. Freeway\1. raw data\2016\data files\det_17.txt</v>
      </c>
      <c r="J17" s="5" t="str">
        <f t="shared" si="2"/>
        <v>W:\Performance Measurement\1. Freeway\1. raw data\2016\data files\det_17.xlsx</v>
      </c>
      <c r="K17" s="5"/>
      <c r="M17" s="98" t="s">
        <v>58</v>
      </c>
      <c r="N17" s="10">
        <v>17</v>
      </c>
      <c r="O17" s="10">
        <v>4</v>
      </c>
      <c r="P17" s="10">
        <v>1</v>
      </c>
    </row>
    <row r="18" spans="1:16" x14ac:dyDescent="0.25">
      <c r="C18" s="1"/>
      <c r="D18" s="109">
        <v>14</v>
      </c>
      <c r="E18" s="10">
        <v>11</v>
      </c>
      <c r="F18" s="10">
        <v>4</v>
      </c>
      <c r="G18" s="10">
        <v>1</v>
      </c>
      <c r="H18" s="5" t="str">
        <f t="shared" si="0"/>
        <v>det_11</v>
      </c>
      <c r="I18" s="5" t="str">
        <f t="shared" si="1"/>
        <v>W:\Performance Measurement\1. Freeway\1. raw data\2016\data files\det_11.txt</v>
      </c>
      <c r="J18" s="5" t="str">
        <f t="shared" si="2"/>
        <v>W:\Performance Measurement\1. Freeway\1. raw data\2016\data files\det_11.xlsx</v>
      </c>
      <c r="K18" s="5"/>
      <c r="M18" s="98" t="s">
        <v>58</v>
      </c>
      <c r="N18" s="10">
        <v>11</v>
      </c>
      <c r="O18" s="10">
        <v>4</v>
      </c>
      <c r="P18" s="10">
        <v>1</v>
      </c>
    </row>
    <row r="19" spans="1:16" x14ac:dyDescent="0.25">
      <c r="B19" s="7" t="str">
        <f>"E1:X"&amp;B$11*36/B14+1</f>
        <v>E1:X13177</v>
      </c>
      <c r="C19" s="1" t="s">
        <v>5</v>
      </c>
      <c r="D19" s="109">
        <v>15</v>
      </c>
      <c r="E19" s="10">
        <v>4</v>
      </c>
      <c r="F19" s="10">
        <v>4</v>
      </c>
      <c r="G19" s="10">
        <v>1</v>
      </c>
      <c r="H19" s="5" t="str">
        <f t="shared" si="0"/>
        <v>det_4</v>
      </c>
      <c r="I19" s="5" t="str">
        <f t="shared" si="1"/>
        <v>W:\Performance Measurement\1. Freeway\1. raw data\2016\data files\det_4.txt</v>
      </c>
      <c r="J19" s="5" t="str">
        <f t="shared" si="2"/>
        <v>W:\Performance Measurement\1. Freeway\1. raw data\2016\data files\det_4.xlsx</v>
      </c>
      <c r="K19" s="5"/>
      <c r="M19" s="98" t="s">
        <v>58</v>
      </c>
      <c r="N19" s="10">
        <v>4</v>
      </c>
      <c r="O19" s="10">
        <v>4</v>
      </c>
      <c r="P19" s="10">
        <v>1</v>
      </c>
    </row>
    <row r="20" spans="1:16" x14ac:dyDescent="0.25">
      <c r="B20" s="7" t="str">
        <f>"E1:X"&amp;B$11*72/B14+1</f>
        <v>E1:X26353</v>
      </c>
      <c r="C20" s="1" t="s">
        <v>4</v>
      </c>
      <c r="D20" s="109">
        <v>16</v>
      </c>
      <c r="E20" s="10">
        <v>1</v>
      </c>
      <c r="F20" s="10">
        <v>4</v>
      </c>
      <c r="G20" s="10">
        <v>1</v>
      </c>
      <c r="H20" s="5" t="str">
        <f t="shared" si="0"/>
        <v>det_1</v>
      </c>
      <c r="I20" s="5" t="str">
        <f t="shared" si="1"/>
        <v>W:\Performance Measurement\1. Freeway\1. raw data\2016\data files\det_1.txt</v>
      </c>
      <c r="J20" s="5" t="str">
        <f t="shared" si="2"/>
        <v>W:\Performance Measurement\1. Freeway\1. raw data\2016\data files\det_1.xlsx</v>
      </c>
      <c r="K20" s="5"/>
      <c r="M20" s="108" t="s">
        <v>58</v>
      </c>
      <c r="N20" s="10">
        <v>1</v>
      </c>
      <c r="O20" s="10">
        <v>4</v>
      </c>
      <c r="P20" s="10">
        <v>1</v>
      </c>
    </row>
    <row r="21" spans="1:16" x14ac:dyDescent="0.25">
      <c r="B21" s="7" t="str">
        <f>"E1:X"&amp;B$11*48/B14+1</f>
        <v>E1:X17569</v>
      </c>
      <c r="C21" s="1" t="s">
        <v>3</v>
      </c>
      <c r="D21" s="109">
        <v>17</v>
      </c>
      <c r="E21" s="10">
        <v>75</v>
      </c>
      <c r="F21" s="10">
        <v>5</v>
      </c>
      <c r="G21" s="10">
        <v>1</v>
      </c>
      <c r="H21" s="5" t="str">
        <f t="shared" si="0"/>
        <v>det_75</v>
      </c>
      <c r="I21" s="5" t="str">
        <f t="shared" si="1"/>
        <v>W:\Performance Measurement\1. Freeway\1. raw data\2016\data files\det_75.txt</v>
      </c>
      <c r="J21" s="5" t="str">
        <f t="shared" si="2"/>
        <v>W:\Performance Measurement\1. Freeway\1. raw data\2016\data files\det_75.xlsx</v>
      </c>
      <c r="K21" s="5"/>
      <c r="M21" s="108" t="s">
        <v>59</v>
      </c>
      <c r="N21" s="10">
        <v>75</v>
      </c>
      <c r="O21" s="10">
        <v>5</v>
      </c>
      <c r="P21" s="10">
        <v>1</v>
      </c>
    </row>
    <row r="22" spans="1:16" x14ac:dyDescent="0.25">
      <c r="B22" s="7" t="str">
        <f>"E1:X"&amp;B$11*132/B14+1</f>
        <v>E1:X48313</v>
      </c>
      <c r="C22" s="1" t="s">
        <v>2</v>
      </c>
      <c r="D22" s="109">
        <v>18</v>
      </c>
      <c r="E22" s="10">
        <v>80</v>
      </c>
      <c r="F22" s="10">
        <v>4</v>
      </c>
      <c r="G22" s="10">
        <v>1</v>
      </c>
      <c r="H22" s="5" t="str">
        <f t="shared" si="0"/>
        <v>det_80</v>
      </c>
      <c r="I22" s="5" t="str">
        <f t="shared" si="1"/>
        <v>W:\Performance Measurement\1. Freeway\1. raw data\2016\data files\det_80.txt</v>
      </c>
      <c r="J22" s="5" t="str">
        <f t="shared" si="2"/>
        <v>W:\Performance Measurement\1. Freeway\1. raw data\2016\data files\det_80.xlsx</v>
      </c>
      <c r="K22" s="5"/>
      <c r="M22" s="108" t="s">
        <v>59</v>
      </c>
      <c r="N22" s="10">
        <v>80</v>
      </c>
      <c r="O22" s="10">
        <v>4</v>
      </c>
      <c r="P22" s="10">
        <v>1</v>
      </c>
    </row>
    <row r="23" spans="1:16" x14ac:dyDescent="0.25">
      <c r="D23" s="109">
        <v>19</v>
      </c>
      <c r="E23" s="10">
        <v>85</v>
      </c>
      <c r="F23" s="10">
        <v>4</v>
      </c>
      <c r="G23" s="10">
        <v>1</v>
      </c>
      <c r="H23" s="5" t="str">
        <f t="shared" si="0"/>
        <v>det_85</v>
      </c>
      <c r="I23" s="5" t="str">
        <f t="shared" si="1"/>
        <v>W:\Performance Measurement\1. Freeway\1. raw data\2016\data files\det_85.txt</v>
      </c>
      <c r="J23" s="5" t="str">
        <f t="shared" si="2"/>
        <v>W:\Performance Measurement\1. Freeway\1. raw data\2016\data files\det_85.xlsx</v>
      </c>
      <c r="K23" s="5"/>
      <c r="M23" s="108" t="s">
        <v>59</v>
      </c>
      <c r="N23" s="10">
        <v>85</v>
      </c>
      <c r="O23" s="10">
        <v>4</v>
      </c>
      <c r="P23" s="10">
        <v>1</v>
      </c>
    </row>
    <row r="24" spans="1:16" x14ac:dyDescent="0.25">
      <c r="B24" s="4" t="str">
        <f>B6&amp;"\"&amp;B7</f>
        <v>W:\Performance Measurement\1. Freeway\2. processed data_quality control\a. template files\blank2016.xlsx</v>
      </c>
      <c r="D24" s="109">
        <v>20</v>
      </c>
      <c r="E24" s="112">
        <v>87</v>
      </c>
      <c r="F24" s="112">
        <v>3</v>
      </c>
      <c r="G24" s="112">
        <v>1</v>
      </c>
      <c r="H24" s="5" t="str">
        <f t="shared" si="0"/>
        <v>det_87</v>
      </c>
      <c r="I24" s="5" t="str">
        <f t="shared" si="1"/>
        <v>W:\Performance Measurement\1. Freeway\1. raw data\2016\data files\det_87.txt</v>
      </c>
      <c r="J24" s="5" t="str">
        <f t="shared" si="2"/>
        <v>W:\Performance Measurement\1. Freeway\1. raw data\2016\data files\det_87.xlsx</v>
      </c>
      <c r="K24" s="5"/>
      <c r="M24" s="108" t="s">
        <v>59</v>
      </c>
      <c r="N24" s="112">
        <v>87</v>
      </c>
      <c r="O24" s="112">
        <v>3</v>
      </c>
      <c r="P24" s="112">
        <v>1</v>
      </c>
    </row>
    <row r="25" spans="1:16" x14ac:dyDescent="0.25">
      <c r="B25" s="4" t="str">
        <f>B6&amp;"\"&amp;B8</f>
        <v>W:\Performance Measurement\1. Freeway\2. processed data_quality control\a. template files\Template.xlsx</v>
      </c>
      <c r="C25" s="1"/>
      <c r="D25" s="109">
        <v>21</v>
      </c>
      <c r="E25" s="10">
        <v>139</v>
      </c>
      <c r="F25" s="10">
        <v>5</v>
      </c>
      <c r="G25" s="10">
        <v>1</v>
      </c>
      <c r="H25" s="5" t="str">
        <f t="shared" si="0"/>
        <v>det_139</v>
      </c>
      <c r="I25" s="5" t="str">
        <f t="shared" si="1"/>
        <v>W:\Performance Measurement\1. Freeway\1. raw data\2016\data files\det_139.txt</v>
      </c>
      <c r="J25" s="5" t="str">
        <f t="shared" si="2"/>
        <v>W:\Performance Measurement\1. Freeway\1. raw data\2016\data files\det_139.xlsx</v>
      </c>
      <c r="K25" s="5"/>
      <c r="M25" s="108" t="s">
        <v>59</v>
      </c>
      <c r="N25" s="10">
        <v>139</v>
      </c>
      <c r="O25" s="10">
        <v>5</v>
      </c>
      <c r="P25" s="10">
        <v>1</v>
      </c>
    </row>
    <row r="26" spans="1:16" x14ac:dyDescent="0.25">
      <c r="B26" s="4"/>
      <c r="D26" s="109">
        <v>22</v>
      </c>
      <c r="E26" s="10">
        <v>84</v>
      </c>
      <c r="F26" s="10">
        <v>4</v>
      </c>
      <c r="G26" s="10">
        <v>1</v>
      </c>
      <c r="H26" s="5" t="str">
        <f t="shared" si="0"/>
        <v>det_84</v>
      </c>
      <c r="I26" s="5" t="str">
        <f t="shared" si="1"/>
        <v>W:\Performance Measurement\1. Freeway\1. raw data\2016\data files\det_84.txt</v>
      </c>
      <c r="J26" s="5" t="str">
        <f t="shared" si="2"/>
        <v>W:\Performance Measurement\1. Freeway\1. raw data\2016\data files\det_84.xlsx</v>
      </c>
      <c r="K26" s="5"/>
      <c r="M26" s="108" t="s">
        <v>59</v>
      </c>
      <c r="N26" s="10">
        <v>84</v>
      </c>
      <c r="O26" s="10">
        <v>4</v>
      </c>
      <c r="P26" s="10">
        <v>1</v>
      </c>
    </row>
    <row r="27" spans="1:16" x14ac:dyDescent="0.25">
      <c r="D27" s="109">
        <v>23</v>
      </c>
      <c r="E27" s="10">
        <v>78</v>
      </c>
      <c r="F27" s="10">
        <v>4</v>
      </c>
      <c r="G27" s="10">
        <v>1</v>
      </c>
      <c r="H27" s="5" t="str">
        <f t="shared" si="0"/>
        <v>det_78</v>
      </c>
      <c r="I27" s="5" t="str">
        <f t="shared" si="1"/>
        <v>W:\Performance Measurement\1. Freeway\1. raw data\2016\data files\det_78.txt</v>
      </c>
      <c r="J27" s="5" t="str">
        <f t="shared" si="2"/>
        <v>W:\Performance Measurement\1. Freeway\1. raw data\2016\data files\det_78.xlsx</v>
      </c>
      <c r="K27" s="5"/>
      <c r="M27" s="108" t="s">
        <v>59</v>
      </c>
      <c r="N27" s="10">
        <v>78</v>
      </c>
      <c r="O27" s="10">
        <v>4</v>
      </c>
      <c r="P27" s="10">
        <v>1</v>
      </c>
    </row>
    <row r="28" spans="1:16" x14ac:dyDescent="0.25">
      <c r="D28" s="109">
        <v>24</v>
      </c>
      <c r="E28" s="10">
        <v>137</v>
      </c>
      <c r="F28" s="10">
        <v>3</v>
      </c>
      <c r="G28" s="10">
        <v>1</v>
      </c>
      <c r="H28" s="5" t="str">
        <f t="shared" si="0"/>
        <v>det_137</v>
      </c>
      <c r="I28" s="5" t="str">
        <f t="shared" si="1"/>
        <v>W:\Performance Measurement\1. Freeway\1. raw data\2016\data files\det_137.txt</v>
      </c>
      <c r="J28" s="5" t="str">
        <f t="shared" si="2"/>
        <v>W:\Performance Measurement\1. Freeway\1. raw data\2016\data files\det_137.xlsx</v>
      </c>
      <c r="K28" s="5"/>
      <c r="M28" s="108" t="s">
        <v>59</v>
      </c>
      <c r="N28" s="10">
        <v>137</v>
      </c>
      <c r="O28" s="10">
        <v>3</v>
      </c>
      <c r="P28" s="10">
        <v>1</v>
      </c>
    </row>
    <row r="29" spans="1:16" x14ac:dyDescent="0.25">
      <c r="A29" s="1"/>
      <c r="C29" s="1"/>
      <c r="D29" s="109">
        <v>25</v>
      </c>
      <c r="E29" s="10">
        <v>89</v>
      </c>
      <c r="F29" s="10">
        <v>4</v>
      </c>
      <c r="G29" s="10">
        <v>1</v>
      </c>
      <c r="H29" s="5" t="str">
        <f t="shared" si="0"/>
        <v>det_89</v>
      </c>
      <c r="I29" s="5" t="str">
        <f t="shared" si="1"/>
        <v>W:\Performance Measurement\1. Freeway\1. raw data\2016\data files\det_89.txt</v>
      </c>
      <c r="J29" s="5" t="str">
        <f t="shared" si="2"/>
        <v>W:\Performance Measurement\1. Freeway\1. raw data\2016\data files\det_89.xlsx</v>
      </c>
      <c r="K29" s="5"/>
      <c r="M29" s="108" t="s">
        <v>60</v>
      </c>
      <c r="N29" s="10">
        <v>89</v>
      </c>
      <c r="O29" s="10">
        <v>4</v>
      </c>
      <c r="P29" s="10">
        <v>1</v>
      </c>
    </row>
    <row r="30" spans="1:16" x14ac:dyDescent="0.25">
      <c r="A30" s="1"/>
      <c r="C30" s="1"/>
      <c r="D30" s="109">
        <v>26</v>
      </c>
      <c r="E30" s="10">
        <v>149</v>
      </c>
      <c r="F30" s="10">
        <v>3</v>
      </c>
      <c r="G30" s="10">
        <v>1</v>
      </c>
      <c r="H30" s="5" t="str">
        <f t="shared" si="0"/>
        <v>det_149</v>
      </c>
      <c r="I30" s="5" t="str">
        <f t="shared" si="1"/>
        <v>W:\Performance Measurement\1. Freeway\1. raw data\2016\data files\det_149.txt</v>
      </c>
      <c r="J30" s="5" t="str">
        <f t="shared" si="2"/>
        <v>W:\Performance Measurement\1. Freeway\1. raw data\2016\data files\det_149.xlsx</v>
      </c>
      <c r="K30" s="5"/>
      <c r="M30" s="108" t="s">
        <v>60</v>
      </c>
      <c r="N30" s="10">
        <v>149</v>
      </c>
      <c r="O30" s="10">
        <v>3</v>
      </c>
      <c r="P30" s="10">
        <v>1</v>
      </c>
    </row>
    <row r="31" spans="1:16" x14ac:dyDescent="0.25">
      <c r="A31" s="1"/>
      <c r="C31" s="1"/>
      <c r="D31" s="109">
        <v>27</v>
      </c>
      <c r="E31" s="10">
        <v>93</v>
      </c>
      <c r="F31" s="10">
        <v>3</v>
      </c>
      <c r="G31" s="10">
        <v>1</v>
      </c>
      <c r="H31" s="5" t="str">
        <f t="shared" si="0"/>
        <v>det_93</v>
      </c>
      <c r="I31" s="5" t="str">
        <f t="shared" si="1"/>
        <v>W:\Performance Measurement\1. Freeway\1. raw data\2016\data files\det_93.txt</v>
      </c>
      <c r="J31" s="5" t="str">
        <f t="shared" si="2"/>
        <v>W:\Performance Measurement\1. Freeway\1. raw data\2016\data files\det_93.xlsx</v>
      </c>
      <c r="K31" s="5"/>
      <c r="M31" s="108" t="s">
        <v>60</v>
      </c>
      <c r="N31" s="10">
        <v>93</v>
      </c>
      <c r="O31" s="10">
        <v>3</v>
      </c>
      <c r="P31" s="10">
        <v>1</v>
      </c>
    </row>
    <row r="32" spans="1:16" x14ac:dyDescent="0.25">
      <c r="A32" s="1"/>
      <c r="C32" s="1"/>
      <c r="D32" s="109">
        <v>28</v>
      </c>
      <c r="E32" s="10">
        <v>40</v>
      </c>
      <c r="F32" s="10">
        <v>5</v>
      </c>
      <c r="G32" s="10">
        <v>1</v>
      </c>
      <c r="H32" s="5" t="str">
        <f t="shared" si="0"/>
        <v>det_40</v>
      </c>
      <c r="I32" s="5" t="str">
        <f t="shared" si="1"/>
        <v>W:\Performance Measurement\1. Freeway\1. raw data\2016\data files\det_40.txt</v>
      </c>
      <c r="J32" s="5" t="str">
        <f t="shared" si="2"/>
        <v>W:\Performance Measurement\1. Freeway\1. raw data\2016\data files\det_40.xlsx</v>
      </c>
      <c r="K32" s="5"/>
      <c r="M32" s="108" t="s">
        <v>60</v>
      </c>
      <c r="N32" s="10">
        <v>40</v>
      </c>
      <c r="O32" s="10">
        <v>5</v>
      </c>
      <c r="P32" s="10">
        <v>1</v>
      </c>
    </row>
    <row r="33" spans="1:16" x14ac:dyDescent="0.25">
      <c r="A33" s="1"/>
      <c r="C33" s="1"/>
      <c r="D33" s="109">
        <v>29</v>
      </c>
      <c r="E33" s="10">
        <v>46</v>
      </c>
      <c r="F33" s="10">
        <v>5</v>
      </c>
      <c r="G33" s="10">
        <v>1</v>
      </c>
      <c r="H33" s="5" t="str">
        <f t="shared" si="0"/>
        <v>det_46</v>
      </c>
      <c r="I33" s="5" t="str">
        <f t="shared" si="1"/>
        <v>W:\Performance Measurement\1. Freeway\1. raw data\2016\data files\det_46.txt</v>
      </c>
      <c r="J33" s="5" t="str">
        <f t="shared" si="2"/>
        <v>W:\Performance Measurement\1. Freeway\1. raw data\2016\data files\det_46.xlsx</v>
      </c>
      <c r="K33" s="5"/>
      <c r="M33" s="108" t="s">
        <v>60</v>
      </c>
      <c r="N33" s="10">
        <v>46</v>
      </c>
      <c r="O33" s="10">
        <v>5</v>
      </c>
      <c r="P33" s="10">
        <v>1</v>
      </c>
    </row>
    <row r="34" spans="1:16" x14ac:dyDescent="0.25">
      <c r="A34" s="1"/>
      <c r="C34" s="1"/>
      <c r="D34" s="109">
        <v>30</v>
      </c>
      <c r="E34" s="10">
        <v>50</v>
      </c>
      <c r="F34" s="10">
        <v>4</v>
      </c>
      <c r="G34" s="10">
        <v>1</v>
      </c>
      <c r="H34" s="5" t="str">
        <f t="shared" si="0"/>
        <v>det_50</v>
      </c>
      <c r="I34" s="5" t="str">
        <f t="shared" si="1"/>
        <v>W:\Performance Measurement\1. Freeway\1. raw data\2016\data files\det_50.txt</v>
      </c>
      <c r="J34" s="5" t="str">
        <f t="shared" si="2"/>
        <v>W:\Performance Measurement\1. Freeway\1. raw data\2016\data files\det_50.xlsx</v>
      </c>
      <c r="K34" s="5"/>
      <c r="M34" s="108" t="s">
        <v>60</v>
      </c>
      <c r="N34" s="10">
        <v>50</v>
      </c>
      <c r="O34" s="10">
        <v>4</v>
      </c>
      <c r="P34" s="10">
        <v>1</v>
      </c>
    </row>
    <row r="35" spans="1:16" x14ac:dyDescent="0.25">
      <c r="A35" s="1"/>
      <c r="C35" s="1"/>
      <c r="D35" s="109">
        <v>31</v>
      </c>
      <c r="E35" s="10">
        <v>55</v>
      </c>
      <c r="F35" s="10">
        <v>5</v>
      </c>
      <c r="G35" s="10">
        <v>1</v>
      </c>
      <c r="H35" s="5" t="str">
        <f t="shared" si="0"/>
        <v>det_55</v>
      </c>
      <c r="I35" s="5" t="str">
        <f t="shared" si="1"/>
        <v>W:\Performance Measurement\1. Freeway\1. raw data\2016\data files\det_55.txt</v>
      </c>
      <c r="J35" s="5" t="str">
        <f t="shared" si="2"/>
        <v>W:\Performance Measurement\1. Freeway\1. raw data\2016\data files\det_55.xlsx</v>
      </c>
      <c r="K35" s="5"/>
      <c r="M35" s="108" t="s">
        <v>60</v>
      </c>
      <c r="N35" s="10">
        <v>55</v>
      </c>
      <c r="O35" s="10">
        <v>5</v>
      </c>
      <c r="P35" s="10">
        <v>1</v>
      </c>
    </row>
    <row r="36" spans="1:16" x14ac:dyDescent="0.25">
      <c r="A36" s="1"/>
      <c r="D36" s="109">
        <v>32</v>
      </c>
      <c r="E36" s="10">
        <v>59</v>
      </c>
      <c r="F36" s="10">
        <v>4</v>
      </c>
      <c r="G36" s="10">
        <v>1</v>
      </c>
      <c r="H36" s="5" t="str">
        <f t="shared" si="0"/>
        <v>det_59</v>
      </c>
      <c r="I36" s="5" t="str">
        <f t="shared" si="1"/>
        <v>W:\Performance Measurement\1. Freeway\1. raw data\2016\data files\det_59.txt</v>
      </c>
      <c r="J36" s="5" t="str">
        <f t="shared" si="2"/>
        <v>W:\Performance Measurement\1. Freeway\1. raw data\2016\data files\det_59.xlsx</v>
      </c>
      <c r="K36" s="5"/>
      <c r="M36" s="108" t="s">
        <v>60</v>
      </c>
      <c r="N36" s="10">
        <v>59</v>
      </c>
      <c r="O36" s="10">
        <v>4</v>
      </c>
      <c r="P36" s="10">
        <v>1</v>
      </c>
    </row>
    <row r="37" spans="1:16" x14ac:dyDescent="0.25">
      <c r="D37" s="109">
        <v>33</v>
      </c>
      <c r="E37" s="10">
        <v>64</v>
      </c>
      <c r="F37" s="10">
        <v>5</v>
      </c>
      <c r="G37" s="10">
        <v>1</v>
      </c>
      <c r="H37" s="5" t="str">
        <f t="shared" si="0"/>
        <v>det_64</v>
      </c>
      <c r="I37" s="5" t="str">
        <f t="shared" si="1"/>
        <v>W:\Performance Measurement\1. Freeway\1. raw data\2016\data files\det_64.txt</v>
      </c>
      <c r="J37" s="5" t="str">
        <f t="shared" si="2"/>
        <v>W:\Performance Measurement\1. Freeway\1. raw data\2016\data files\det_64.xlsx</v>
      </c>
      <c r="K37" s="5"/>
      <c r="M37" s="108" t="s">
        <v>60</v>
      </c>
      <c r="N37" s="10">
        <v>64</v>
      </c>
      <c r="O37" s="10">
        <v>5</v>
      </c>
      <c r="P37" s="10">
        <v>1</v>
      </c>
    </row>
    <row r="38" spans="1:16" x14ac:dyDescent="0.25">
      <c r="D38" s="109">
        <v>34</v>
      </c>
      <c r="E38" s="10">
        <v>393</v>
      </c>
      <c r="F38" s="10">
        <v>3</v>
      </c>
      <c r="G38" s="10">
        <v>1</v>
      </c>
      <c r="H38" s="5" t="str">
        <f t="shared" si="0"/>
        <v>det_393</v>
      </c>
      <c r="I38" s="5" t="str">
        <f t="shared" si="1"/>
        <v>W:\Performance Measurement\1. Freeway\1. raw data\2016\data files\det_393.txt</v>
      </c>
      <c r="J38" s="5" t="str">
        <f t="shared" si="2"/>
        <v>W:\Performance Measurement\1. Freeway\1. raw data\2016\data files\det_393.xlsx</v>
      </c>
      <c r="K38" s="5"/>
      <c r="M38" s="108" t="s">
        <v>60</v>
      </c>
      <c r="N38" s="10">
        <v>393</v>
      </c>
      <c r="O38" s="10">
        <v>3</v>
      </c>
      <c r="P38" s="10">
        <v>1</v>
      </c>
    </row>
    <row r="39" spans="1:16" x14ac:dyDescent="0.25">
      <c r="D39" s="109">
        <v>35</v>
      </c>
      <c r="E39" s="10">
        <v>425</v>
      </c>
      <c r="F39" s="10">
        <v>3</v>
      </c>
      <c r="G39" s="10">
        <v>1</v>
      </c>
      <c r="H39" s="5" t="str">
        <f t="shared" si="0"/>
        <v>det_425</v>
      </c>
      <c r="I39" s="5" t="str">
        <f t="shared" si="1"/>
        <v>W:\Performance Measurement\1. Freeway\1. raw data\2016\data files\det_425.txt</v>
      </c>
      <c r="J39" s="5" t="str">
        <f t="shared" si="2"/>
        <v>W:\Performance Measurement\1. Freeway\1. raw data\2016\data files\det_425.xlsx</v>
      </c>
      <c r="K39" s="5"/>
      <c r="M39" s="108" t="s">
        <v>60</v>
      </c>
      <c r="N39" s="10">
        <v>425</v>
      </c>
      <c r="O39" s="10">
        <v>3</v>
      </c>
      <c r="P39" s="10">
        <v>1</v>
      </c>
    </row>
    <row r="40" spans="1:16" x14ac:dyDescent="0.25">
      <c r="D40" s="109">
        <v>36</v>
      </c>
      <c r="E40" s="10">
        <v>66</v>
      </c>
      <c r="F40" s="10">
        <v>6</v>
      </c>
      <c r="G40" s="10">
        <v>1</v>
      </c>
      <c r="H40" s="5" t="str">
        <f t="shared" si="0"/>
        <v>det_66</v>
      </c>
      <c r="I40" s="5" t="str">
        <f t="shared" si="1"/>
        <v>W:\Performance Measurement\1. Freeway\1. raw data\2016\data files\det_66.txt</v>
      </c>
      <c r="J40" s="5" t="str">
        <f t="shared" si="2"/>
        <v>W:\Performance Measurement\1. Freeway\1. raw data\2016\data files\det_66.xlsx</v>
      </c>
      <c r="K40" s="5"/>
      <c r="M40" s="108" t="s">
        <v>60</v>
      </c>
      <c r="N40" s="10">
        <v>66</v>
      </c>
      <c r="O40" s="10">
        <v>6</v>
      </c>
      <c r="P40" s="10">
        <v>1</v>
      </c>
    </row>
    <row r="41" spans="1:16" x14ac:dyDescent="0.25">
      <c r="D41" s="109">
        <v>37</v>
      </c>
      <c r="E41" s="10">
        <v>63</v>
      </c>
      <c r="F41" s="10">
        <v>4</v>
      </c>
      <c r="G41" s="10">
        <v>1</v>
      </c>
      <c r="H41" s="5" t="str">
        <f t="shared" si="0"/>
        <v>det_63</v>
      </c>
      <c r="I41" s="5" t="str">
        <f t="shared" si="1"/>
        <v>W:\Performance Measurement\1. Freeway\1. raw data\2016\data files\det_63.txt</v>
      </c>
      <c r="J41" s="5" t="str">
        <f t="shared" si="2"/>
        <v>W:\Performance Measurement\1. Freeway\1. raw data\2016\data files\det_63.xlsx</v>
      </c>
      <c r="K41" s="5"/>
      <c r="M41" s="108" t="s">
        <v>60</v>
      </c>
      <c r="N41" s="10">
        <v>63</v>
      </c>
      <c r="O41" s="10">
        <v>4</v>
      </c>
      <c r="P41" s="10">
        <v>1</v>
      </c>
    </row>
    <row r="42" spans="1:16" x14ac:dyDescent="0.25">
      <c r="D42" s="109">
        <v>38</v>
      </c>
      <c r="E42" s="10">
        <v>60</v>
      </c>
      <c r="F42" s="10">
        <v>5</v>
      </c>
      <c r="G42" s="10">
        <v>1</v>
      </c>
      <c r="H42" s="5" t="str">
        <f t="shared" si="0"/>
        <v>det_60</v>
      </c>
      <c r="I42" s="5" t="str">
        <f t="shared" si="1"/>
        <v>W:\Performance Measurement\1. Freeway\1. raw data\2016\data files\det_60.txt</v>
      </c>
      <c r="J42" s="5" t="str">
        <f t="shared" si="2"/>
        <v>W:\Performance Measurement\1. Freeway\1. raw data\2016\data files\det_60.xlsx</v>
      </c>
      <c r="K42" s="5"/>
      <c r="M42" s="108" t="s">
        <v>60</v>
      </c>
      <c r="N42" s="10">
        <v>60</v>
      </c>
      <c r="O42" s="10">
        <v>5</v>
      </c>
      <c r="P42" s="10">
        <v>1</v>
      </c>
    </row>
    <row r="43" spans="1:16" x14ac:dyDescent="0.25">
      <c r="D43" s="109">
        <v>39</v>
      </c>
      <c r="E43" s="10">
        <v>53</v>
      </c>
      <c r="F43" s="10">
        <v>4</v>
      </c>
      <c r="G43" s="10">
        <v>1</v>
      </c>
      <c r="H43" s="5" t="str">
        <f t="shared" si="0"/>
        <v>det_53</v>
      </c>
      <c r="I43" s="5" t="str">
        <f t="shared" si="1"/>
        <v>W:\Performance Measurement\1. Freeway\1. raw data\2016\data files\det_53.txt</v>
      </c>
      <c r="J43" s="5" t="str">
        <f t="shared" si="2"/>
        <v>W:\Performance Measurement\1. Freeway\1. raw data\2016\data files\det_53.xlsx</v>
      </c>
      <c r="K43" s="5"/>
      <c r="M43" s="108" t="s">
        <v>60</v>
      </c>
      <c r="N43" s="10">
        <v>53</v>
      </c>
      <c r="O43" s="10">
        <v>4</v>
      </c>
      <c r="P43" s="10">
        <v>1</v>
      </c>
    </row>
    <row r="44" spans="1:16" x14ac:dyDescent="0.25">
      <c r="D44" s="109">
        <v>40</v>
      </c>
      <c r="E44" s="10">
        <v>47</v>
      </c>
      <c r="F44" s="10">
        <v>5</v>
      </c>
      <c r="G44" s="10">
        <v>1</v>
      </c>
      <c r="H44" s="5" t="str">
        <f t="shared" si="0"/>
        <v>det_47</v>
      </c>
      <c r="I44" s="5" t="str">
        <f t="shared" si="1"/>
        <v>W:\Performance Measurement\1. Freeway\1. raw data\2016\data files\det_47.txt</v>
      </c>
      <c r="J44" s="5" t="str">
        <f t="shared" si="2"/>
        <v>W:\Performance Measurement\1. Freeway\1. raw data\2016\data files\det_47.xlsx</v>
      </c>
      <c r="K44" s="5"/>
      <c r="M44" s="108" t="s">
        <v>60</v>
      </c>
      <c r="N44" s="10">
        <v>47</v>
      </c>
      <c r="O44" s="10">
        <v>5</v>
      </c>
      <c r="P44" s="10">
        <v>1</v>
      </c>
    </row>
    <row r="45" spans="1:16" x14ac:dyDescent="0.25">
      <c r="D45" s="109">
        <v>41</v>
      </c>
      <c r="E45" s="10">
        <v>41</v>
      </c>
      <c r="F45" s="10">
        <v>5</v>
      </c>
      <c r="G45" s="10">
        <v>1</v>
      </c>
      <c r="H45" s="5" t="str">
        <f t="shared" si="0"/>
        <v>det_41</v>
      </c>
      <c r="I45" s="5" t="str">
        <f t="shared" si="1"/>
        <v>W:\Performance Measurement\1. Freeway\1. raw data\2016\data files\det_41.txt</v>
      </c>
      <c r="J45" s="5" t="str">
        <f t="shared" si="2"/>
        <v>W:\Performance Measurement\1. Freeway\1. raw data\2016\data files\det_41.xlsx</v>
      </c>
      <c r="K45" s="5"/>
      <c r="M45" s="108" t="s">
        <v>60</v>
      </c>
      <c r="N45" s="10">
        <v>41</v>
      </c>
      <c r="O45" s="10">
        <v>5</v>
      </c>
      <c r="P45" s="10">
        <v>1</v>
      </c>
    </row>
    <row r="46" spans="1:16" x14ac:dyDescent="0.25">
      <c r="D46" s="109">
        <v>42</v>
      </c>
      <c r="E46" s="10">
        <v>144</v>
      </c>
      <c r="F46" s="10">
        <v>3</v>
      </c>
      <c r="G46" s="10">
        <v>1</v>
      </c>
      <c r="H46" s="5" t="str">
        <f t="shared" si="0"/>
        <v>det_144</v>
      </c>
      <c r="I46" s="5" t="str">
        <f t="shared" si="1"/>
        <v>W:\Performance Measurement\1. Freeway\1. raw data\2016\data files\det_144.txt</v>
      </c>
      <c r="J46" s="5" t="str">
        <f t="shared" si="2"/>
        <v>W:\Performance Measurement\1. Freeway\1. raw data\2016\data files\det_144.xlsx</v>
      </c>
      <c r="K46" s="5"/>
      <c r="M46" s="108" t="s">
        <v>60</v>
      </c>
      <c r="N46" s="10">
        <v>144</v>
      </c>
      <c r="O46" s="10">
        <v>3</v>
      </c>
      <c r="P46" s="10">
        <v>1</v>
      </c>
    </row>
    <row r="47" spans="1:16" x14ac:dyDescent="0.25">
      <c r="D47" s="109">
        <v>43</v>
      </c>
      <c r="E47" s="10">
        <v>92</v>
      </c>
      <c r="F47" s="10">
        <v>3</v>
      </c>
      <c r="G47" s="10">
        <v>1</v>
      </c>
      <c r="H47" s="5" t="str">
        <f t="shared" si="0"/>
        <v>det_92</v>
      </c>
      <c r="I47" s="5" t="str">
        <f t="shared" si="1"/>
        <v>W:\Performance Measurement\1. Freeway\1. raw data\2016\data files\det_92.txt</v>
      </c>
      <c r="J47" s="5" t="str">
        <f t="shared" si="2"/>
        <v>W:\Performance Measurement\1. Freeway\1. raw data\2016\data files\det_92.xlsx</v>
      </c>
      <c r="K47" s="5"/>
      <c r="M47" s="108" t="s">
        <v>60</v>
      </c>
      <c r="N47" s="10">
        <v>92</v>
      </c>
      <c r="O47" s="10">
        <v>3</v>
      </c>
      <c r="P47" s="10">
        <v>1</v>
      </c>
    </row>
    <row r="48" spans="1:16" x14ac:dyDescent="0.25">
      <c r="D48" s="109">
        <v>44</v>
      </c>
      <c r="E48" s="10">
        <v>141</v>
      </c>
      <c r="F48" s="10">
        <v>4</v>
      </c>
      <c r="G48" s="10">
        <v>1</v>
      </c>
      <c r="H48" s="5" t="str">
        <f t="shared" si="0"/>
        <v>det_141</v>
      </c>
      <c r="I48" s="5" t="str">
        <f t="shared" si="1"/>
        <v>W:\Performance Measurement\1. Freeway\1. raw data\2016\data files\det_141.txt</v>
      </c>
      <c r="J48" s="5" t="str">
        <f t="shared" si="2"/>
        <v>W:\Performance Measurement\1. Freeway\1. raw data\2016\data files\det_141.xlsx</v>
      </c>
      <c r="K48" s="5"/>
      <c r="M48" s="108" t="s">
        <v>60</v>
      </c>
      <c r="N48" s="10">
        <v>141</v>
      </c>
      <c r="O48" s="10">
        <v>4</v>
      </c>
      <c r="P48" s="10">
        <v>1</v>
      </c>
    </row>
    <row r="49" spans="4:16" x14ac:dyDescent="0.25">
      <c r="D49" s="109">
        <v>45</v>
      </c>
      <c r="E49" s="10">
        <v>396</v>
      </c>
      <c r="F49" s="10">
        <v>3</v>
      </c>
      <c r="G49" s="10">
        <v>1</v>
      </c>
      <c r="H49" s="5" t="str">
        <f t="shared" si="0"/>
        <v>det_396</v>
      </c>
      <c r="I49" s="5" t="str">
        <f t="shared" si="1"/>
        <v>W:\Performance Measurement\1. Freeway\1. raw data\2016\data files\det_396.txt</v>
      </c>
      <c r="J49" s="5" t="str">
        <f t="shared" si="2"/>
        <v>W:\Performance Measurement\1. Freeway\1. raw data\2016\data files\det_396.xlsx</v>
      </c>
      <c r="K49" s="5"/>
      <c r="M49" s="108" t="s">
        <v>61</v>
      </c>
      <c r="N49" s="10">
        <v>396</v>
      </c>
      <c r="O49" s="10">
        <v>3</v>
      </c>
      <c r="P49" s="10">
        <v>1</v>
      </c>
    </row>
    <row r="50" spans="4:16" x14ac:dyDescent="0.25">
      <c r="D50" s="109">
        <v>46</v>
      </c>
      <c r="E50" s="10">
        <v>397</v>
      </c>
      <c r="F50" s="10">
        <v>4</v>
      </c>
      <c r="G50" s="10">
        <v>1</v>
      </c>
      <c r="H50" s="5" t="str">
        <f t="shared" si="0"/>
        <v>det_397</v>
      </c>
      <c r="I50" s="5" t="str">
        <f t="shared" si="1"/>
        <v>W:\Performance Measurement\1. Freeway\1. raw data\2016\data files\det_397.txt</v>
      </c>
      <c r="J50" s="5" t="str">
        <f t="shared" si="2"/>
        <v>W:\Performance Measurement\1. Freeway\1. raw data\2016\data files\det_397.xlsx</v>
      </c>
      <c r="K50" s="5"/>
      <c r="M50" s="108" t="s">
        <v>61</v>
      </c>
      <c r="N50" s="10">
        <v>397</v>
      </c>
      <c r="O50" s="10">
        <v>4</v>
      </c>
      <c r="P50" s="10">
        <v>1</v>
      </c>
    </row>
    <row r="51" spans="4:16" x14ac:dyDescent="0.25">
      <c r="D51" s="109">
        <v>47</v>
      </c>
      <c r="E51" s="10">
        <v>399</v>
      </c>
      <c r="F51" s="10">
        <v>4</v>
      </c>
      <c r="G51" s="10">
        <v>1</v>
      </c>
      <c r="H51" s="5" t="str">
        <f t="shared" si="0"/>
        <v>det_399</v>
      </c>
      <c r="I51" s="5" t="str">
        <f t="shared" si="1"/>
        <v>W:\Performance Measurement\1. Freeway\1. raw data\2016\data files\det_399.txt</v>
      </c>
      <c r="J51" s="5" t="str">
        <f t="shared" si="2"/>
        <v>W:\Performance Measurement\1. Freeway\1. raw data\2016\data files\det_399.xlsx</v>
      </c>
      <c r="K51" s="5"/>
      <c r="M51" s="108" t="s">
        <v>61</v>
      </c>
      <c r="N51" s="10">
        <v>399</v>
      </c>
      <c r="O51" s="10">
        <v>4</v>
      </c>
      <c r="P51" s="10">
        <v>1</v>
      </c>
    </row>
    <row r="52" spans="4:16" x14ac:dyDescent="0.25">
      <c r="D52" s="109">
        <v>48</v>
      </c>
      <c r="E52" s="10">
        <v>401</v>
      </c>
      <c r="F52" s="10">
        <v>4</v>
      </c>
      <c r="G52" s="10">
        <v>1</v>
      </c>
      <c r="H52" s="5" t="str">
        <f t="shared" si="0"/>
        <v>det_401</v>
      </c>
      <c r="I52" s="5" t="str">
        <f t="shared" si="1"/>
        <v>W:\Performance Measurement\1. Freeway\1. raw data\2016\data files\det_401.txt</v>
      </c>
      <c r="J52" s="5" t="str">
        <f t="shared" si="2"/>
        <v>W:\Performance Measurement\1. Freeway\1. raw data\2016\data files\det_401.xlsx</v>
      </c>
      <c r="K52" s="5"/>
      <c r="M52" s="108" t="s">
        <v>61</v>
      </c>
      <c r="N52" s="10">
        <v>401</v>
      </c>
      <c r="O52" s="10">
        <v>4</v>
      </c>
      <c r="P52" s="10">
        <v>1</v>
      </c>
    </row>
    <row r="53" spans="4:16" x14ac:dyDescent="0.25">
      <c r="D53" s="109">
        <v>49</v>
      </c>
      <c r="E53" s="10">
        <v>403</v>
      </c>
      <c r="F53" s="10">
        <v>3</v>
      </c>
      <c r="G53" s="10">
        <v>1</v>
      </c>
      <c r="H53" s="5" t="str">
        <f t="shared" si="0"/>
        <v>det_403</v>
      </c>
      <c r="I53" s="5" t="str">
        <f t="shared" si="1"/>
        <v>W:\Performance Measurement\1. Freeway\1. raw data\2016\data files\det_403.txt</v>
      </c>
      <c r="J53" s="5" t="str">
        <f t="shared" si="2"/>
        <v>W:\Performance Measurement\1. Freeway\1. raw data\2016\data files\det_403.xlsx</v>
      </c>
      <c r="K53" s="5"/>
      <c r="M53" s="108" t="s">
        <v>61</v>
      </c>
      <c r="N53" s="10">
        <v>403</v>
      </c>
      <c r="O53" s="10">
        <v>3</v>
      </c>
      <c r="P53" s="10">
        <v>1</v>
      </c>
    </row>
    <row r="54" spans="4:16" x14ac:dyDescent="0.25">
      <c r="D54" s="109">
        <v>50</v>
      </c>
      <c r="E54" s="10">
        <v>406</v>
      </c>
      <c r="F54" s="10">
        <v>3</v>
      </c>
      <c r="G54" s="10">
        <v>1</v>
      </c>
      <c r="H54" s="5" t="str">
        <f t="shared" si="0"/>
        <v>det_406</v>
      </c>
      <c r="I54" s="5" t="str">
        <f t="shared" si="1"/>
        <v>W:\Performance Measurement\1. Freeway\1. raw data\2016\data files\det_406.txt</v>
      </c>
      <c r="J54" s="5" t="str">
        <f t="shared" si="2"/>
        <v>W:\Performance Measurement\1. Freeway\1. raw data\2016\data files\det_406.xlsx</v>
      </c>
      <c r="K54" s="5"/>
      <c r="M54" s="108" t="s">
        <v>61</v>
      </c>
      <c r="N54" s="10">
        <v>406</v>
      </c>
      <c r="O54" s="10">
        <v>3</v>
      </c>
      <c r="P54" s="10">
        <v>1</v>
      </c>
    </row>
    <row r="55" spans="4:16" x14ac:dyDescent="0.25">
      <c r="D55" s="109">
        <v>51</v>
      </c>
      <c r="E55" s="10">
        <v>409</v>
      </c>
      <c r="F55" s="10">
        <v>5</v>
      </c>
      <c r="G55" s="10">
        <v>1</v>
      </c>
      <c r="H55" s="5" t="str">
        <f t="shared" si="0"/>
        <v>det_409</v>
      </c>
      <c r="I55" s="5" t="str">
        <f t="shared" si="1"/>
        <v>W:\Performance Measurement\1. Freeway\1. raw data\2016\data files\det_409.txt</v>
      </c>
      <c r="J55" s="5" t="str">
        <f t="shared" si="2"/>
        <v>W:\Performance Measurement\1. Freeway\1. raw data\2016\data files\det_409.xlsx</v>
      </c>
      <c r="K55" s="5"/>
      <c r="M55" s="108" t="s">
        <v>61</v>
      </c>
      <c r="N55" s="10">
        <v>409</v>
      </c>
      <c r="O55" s="10">
        <v>5</v>
      </c>
      <c r="P55" s="10">
        <v>1</v>
      </c>
    </row>
    <row r="56" spans="4:16" x14ac:dyDescent="0.25">
      <c r="D56" s="109">
        <v>52</v>
      </c>
      <c r="E56" s="10">
        <v>410</v>
      </c>
      <c r="F56" s="10">
        <v>2</v>
      </c>
      <c r="G56" s="10">
        <v>0</v>
      </c>
      <c r="H56" s="5" t="str">
        <f t="shared" si="0"/>
        <v>det_410</v>
      </c>
      <c r="I56" s="5" t="str">
        <f t="shared" si="1"/>
        <v>W:\Performance Measurement\1. Freeway\1. raw data\2016\data files\det_410.txt</v>
      </c>
      <c r="J56" s="5" t="str">
        <f t="shared" si="2"/>
        <v>W:\Performance Measurement\1. Freeway\1. raw data\2016\data files\det_410.xlsx</v>
      </c>
      <c r="K56" s="5"/>
      <c r="M56" s="108" t="s">
        <v>61</v>
      </c>
      <c r="N56" s="10">
        <v>410</v>
      </c>
      <c r="O56" s="10">
        <v>2</v>
      </c>
      <c r="P56" s="10">
        <v>0</v>
      </c>
    </row>
    <row r="57" spans="4:16" x14ac:dyDescent="0.25">
      <c r="D57" s="109">
        <v>53</v>
      </c>
      <c r="E57" s="10">
        <v>411</v>
      </c>
      <c r="F57" s="10">
        <v>3</v>
      </c>
      <c r="G57" s="10">
        <v>1</v>
      </c>
      <c r="H57" s="5" t="str">
        <f t="shared" si="0"/>
        <v>det_411</v>
      </c>
      <c r="I57" s="5" t="str">
        <f t="shared" si="1"/>
        <v>W:\Performance Measurement\1. Freeway\1. raw data\2016\data files\det_411.txt</v>
      </c>
      <c r="J57" s="5" t="str">
        <f t="shared" si="2"/>
        <v>W:\Performance Measurement\1. Freeway\1. raw data\2016\data files\det_411.xlsx</v>
      </c>
      <c r="K57" s="5"/>
      <c r="M57" s="108" t="s">
        <v>61</v>
      </c>
      <c r="N57" s="10">
        <v>411</v>
      </c>
      <c r="O57" s="10">
        <v>3</v>
      </c>
      <c r="P57" s="10">
        <v>1</v>
      </c>
    </row>
    <row r="58" spans="4:16" x14ac:dyDescent="0.25">
      <c r="D58" s="109">
        <v>54</v>
      </c>
      <c r="E58" s="10">
        <v>414</v>
      </c>
      <c r="F58" s="10">
        <v>3</v>
      </c>
      <c r="G58" s="10">
        <v>1</v>
      </c>
      <c r="H58" s="5" t="str">
        <f t="shared" si="0"/>
        <v>det_414</v>
      </c>
      <c r="I58" s="5" t="str">
        <f t="shared" si="1"/>
        <v>W:\Performance Measurement\1. Freeway\1. raw data\2016\data files\det_414.txt</v>
      </c>
      <c r="J58" s="5" t="str">
        <f t="shared" si="2"/>
        <v>W:\Performance Measurement\1. Freeway\1. raw data\2016\data files\det_414.xlsx</v>
      </c>
      <c r="K58" s="5"/>
      <c r="M58" s="108" t="s">
        <v>61</v>
      </c>
      <c r="N58" s="10">
        <v>414</v>
      </c>
      <c r="O58" s="10">
        <v>3</v>
      </c>
      <c r="P58" s="10">
        <v>1</v>
      </c>
    </row>
    <row r="59" spans="4:16" x14ac:dyDescent="0.25">
      <c r="D59" s="109">
        <v>55</v>
      </c>
      <c r="E59" s="10">
        <v>417</v>
      </c>
      <c r="F59" s="10">
        <v>3</v>
      </c>
      <c r="G59" s="10">
        <v>1</v>
      </c>
      <c r="H59" s="5" t="str">
        <f t="shared" si="0"/>
        <v>det_417</v>
      </c>
      <c r="I59" s="5" t="str">
        <f t="shared" si="1"/>
        <v>W:\Performance Measurement\1. Freeway\1. raw data\2016\data files\det_417.txt</v>
      </c>
      <c r="J59" s="5" t="str">
        <f t="shared" si="2"/>
        <v>W:\Performance Measurement\1. Freeway\1. raw data\2016\data files\det_417.xlsx</v>
      </c>
      <c r="K59" s="5"/>
      <c r="M59" s="108" t="s">
        <v>61</v>
      </c>
      <c r="N59" s="10">
        <v>417</v>
      </c>
      <c r="O59" s="10">
        <v>3</v>
      </c>
      <c r="P59" s="10">
        <v>1</v>
      </c>
    </row>
    <row r="60" spans="4:16" x14ac:dyDescent="0.25">
      <c r="D60" s="109">
        <v>56</v>
      </c>
      <c r="E60" s="10">
        <v>420</v>
      </c>
      <c r="F60" s="10">
        <v>4</v>
      </c>
      <c r="G60" s="10">
        <v>1</v>
      </c>
      <c r="H60" s="5" t="str">
        <f t="shared" si="0"/>
        <v>det_420</v>
      </c>
      <c r="I60" s="5" t="str">
        <f t="shared" si="1"/>
        <v>W:\Performance Measurement\1. Freeway\1. raw data\2016\data files\det_420.txt</v>
      </c>
      <c r="J60" s="5" t="str">
        <f t="shared" si="2"/>
        <v>W:\Performance Measurement\1. Freeway\1. raw data\2016\data files\det_420.xlsx</v>
      </c>
      <c r="K60" s="5"/>
      <c r="M60" s="108" t="s">
        <v>61</v>
      </c>
      <c r="N60" s="10">
        <v>420</v>
      </c>
      <c r="O60" s="10">
        <v>4</v>
      </c>
      <c r="P60" s="10">
        <v>1</v>
      </c>
    </row>
    <row r="61" spans="4:16" x14ac:dyDescent="0.25">
      <c r="D61" s="109">
        <v>57</v>
      </c>
      <c r="E61" s="112">
        <v>423</v>
      </c>
      <c r="F61" s="112">
        <v>1</v>
      </c>
      <c r="G61" s="112">
        <v>1</v>
      </c>
      <c r="H61" s="5" t="str">
        <f t="shared" si="0"/>
        <v>det_423</v>
      </c>
      <c r="I61" s="5" t="str">
        <f t="shared" si="1"/>
        <v>W:\Performance Measurement\1. Freeway\1. raw data\2016\data files\det_423.txt</v>
      </c>
      <c r="J61" s="5" t="str">
        <f t="shared" si="2"/>
        <v>W:\Performance Measurement\1. Freeway\1. raw data\2016\data files\det_423.xlsx</v>
      </c>
      <c r="K61" s="5"/>
      <c r="M61" s="108" t="s">
        <v>61</v>
      </c>
      <c r="N61" s="10">
        <v>423</v>
      </c>
      <c r="O61" s="10">
        <v>3</v>
      </c>
      <c r="P61" s="10">
        <v>1</v>
      </c>
    </row>
    <row r="62" spans="4:16" x14ac:dyDescent="0.25">
      <c r="D62" s="109">
        <v>58</v>
      </c>
      <c r="E62" s="10">
        <v>39</v>
      </c>
      <c r="F62" s="10">
        <v>3</v>
      </c>
      <c r="G62" s="10">
        <v>0</v>
      </c>
      <c r="H62" s="5" t="str">
        <f t="shared" si="0"/>
        <v>det_39</v>
      </c>
      <c r="I62" s="5" t="str">
        <f t="shared" si="1"/>
        <v>W:\Performance Measurement\1. Freeway\1. raw data\2016\data files\det_39.txt</v>
      </c>
      <c r="J62" s="5" t="str">
        <f t="shared" si="2"/>
        <v>W:\Performance Measurement\1. Freeway\1. raw data\2016\data files\det_39.xlsx</v>
      </c>
      <c r="K62" s="5"/>
      <c r="M62" s="108" t="s">
        <v>62</v>
      </c>
      <c r="N62" s="10">
        <v>39</v>
      </c>
      <c r="O62" s="10">
        <v>3</v>
      </c>
      <c r="P62" s="10">
        <v>0</v>
      </c>
    </row>
    <row r="63" spans="4:16" x14ac:dyDescent="0.25">
      <c r="D63" s="109">
        <v>59</v>
      </c>
      <c r="E63" s="10">
        <v>153</v>
      </c>
      <c r="F63" s="10">
        <v>3</v>
      </c>
      <c r="G63" s="10">
        <v>0</v>
      </c>
      <c r="H63" s="5" t="str">
        <f t="shared" si="0"/>
        <v>det_153</v>
      </c>
      <c r="I63" s="5" t="str">
        <f t="shared" si="1"/>
        <v>W:\Performance Measurement\1. Freeway\1. raw data\2016\data files\det_153.txt</v>
      </c>
      <c r="J63" s="5" t="str">
        <f t="shared" si="2"/>
        <v>W:\Performance Measurement\1. Freeway\1. raw data\2016\data files\det_153.xlsx</v>
      </c>
      <c r="K63" s="5"/>
      <c r="M63" s="108" t="s">
        <v>62</v>
      </c>
      <c r="N63" s="10">
        <v>153</v>
      </c>
      <c r="O63" s="10">
        <v>3</v>
      </c>
      <c r="P63" s="10">
        <v>0</v>
      </c>
    </row>
    <row r="64" spans="4:16" x14ac:dyDescent="0.25">
      <c r="D64" s="109">
        <v>60</v>
      </c>
      <c r="E64" s="10">
        <v>98</v>
      </c>
      <c r="F64" s="10">
        <v>3</v>
      </c>
      <c r="G64" s="10">
        <v>0</v>
      </c>
      <c r="H64" s="5" t="str">
        <f t="shared" si="0"/>
        <v>det_98</v>
      </c>
      <c r="I64" s="5" t="str">
        <f t="shared" si="1"/>
        <v>W:\Performance Measurement\1. Freeway\1. raw data\2016\data files\det_98.txt</v>
      </c>
      <c r="J64" s="5" t="str">
        <f t="shared" si="2"/>
        <v>W:\Performance Measurement\1. Freeway\1. raw data\2016\data files\det_98.xlsx</v>
      </c>
      <c r="K64" s="5"/>
      <c r="M64" s="108" t="s">
        <v>62</v>
      </c>
      <c r="N64" s="10">
        <v>98</v>
      </c>
      <c r="O64" s="10">
        <v>3</v>
      </c>
      <c r="P64" s="10">
        <v>0</v>
      </c>
    </row>
    <row r="65" spans="4:16" x14ac:dyDescent="0.25">
      <c r="D65" s="109">
        <v>61</v>
      </c>
      <c r="E65" s="10">
        <v>104</v>
      </c>
      <c r="F65" s="10">
        <v>3</v>
      </c>
      <c r="G65" s="10">
        <v>0</v>
      </c>
      <c r="H65" s="5" t="str">
        <f t="shared" si="0"/>
        <v>det_104</v>
      </c>
      <c r="I65" s="5" t="str">
        <f t="shared" si="1"/>
        <v>W:\Performance Measurement\1. Freeway\1. raw data\2016\data files\det_104.txt</v>
      </c>
      <c r="J65" s="5" t="str">
        <f t="shared" si="2"/>
        <v>W:\Performance Measurement\1. Freeway\1. raw data\2016\data files\det_104.xlsx</v>
      </c>
      <c r="K65" s="5"/>
      <c r="M65" s="108" t="s">
        <v>62</v>
      </c>
      <c r="N65" s="10">
        <v>104</v>
      </c>
      <c r="O65" s="10">
        <v>3</v>
      </c>
      <c r="P65" s="10">
        <v>0</v>
      </c>
    </row>
    <row r="66" spans="4:16" x14ac:dyDescent="0.25">
      <c r="D66" s="109">
        <v>62</v>
      </c>
      <c r="E66" s="10">
        <v>154</v>
      </c>
      <c r="F66" s="10">
        <v>3</v>
      </c>
      <c r="G66" s="10">
        <v>0</v>
      </c>
      <c r="H66" s="5" t="str">
        <f t="shared" si="0"/>
        <v>det_154</v>
      </c>
      <c r="I66" s="5" t="str">
        <f t="shared" si="1"/>
        <v>W:\Performance Measurement\1. Freeway\1. raw data\2016\data files\det_154.txt</v>
      </c>
      <c r="J66" s="5" t="str">
        <f t="shared" si="2"/>
        <v>W:\Performance Measurement\1. Freeway\1. raw data\2016\data files\det_154.xlsx</v>
      </c>
      <c r="K66" s="5"/>
      <c r="M66" s="108" t="s">
        <v>62</v>
      </c>
      <c r="N66" s="10">
        <v>154</v>
      </c>
      <c r="O66" s="10">
        <v>3</v>
      </c>
      <c r="P66" s="10">
        <v>0</v>
      </c>
    </row>
    <row r="67" spans="4:16" x14ac:dyDescent="0.25">
      <c r="D67" s="109">
        <v>63</v>
      </c>
      <c r="E67" s="10">
        <v>155</v>
      </c>
      <c r="F67" s="10">
        <v>3</v>
      </c>
      <c r="G67" s="10">
        <v>0</v>
      </c>
      <c r="H67" s="5" t="str">
        <f t="shared" si="0"/>
        <v>det_155</v>
      </c>
      <c r="I67" s="5" t="str">
        <f t="shared" si="1"/>
        <v>W:\Performance Measurement\1. Freeway\1. raw data\2016\data files\det_155.txt</v>
      </c>
      <c r="J67" s="5" t="str">
        <f t="shared" si="2"/>
        <v>W:\Performance Measurement\1. Freeway\1. raw data\2016\data files\det_155.xlsx</v>
      </c>
      <c r="K67" s="5"/>
      <c r="M67" s="108" t="s">
        <v>62</v>
      </c>
      <c r="N67" s="10">
        <v>155</v>
      </c>
      <c r="O67" s="10">
        <v>3</v>
      </c>
      <c r="P67" s="10">
        <v>0</v>
      </c>
    </row>
    <row r="68" spans="4:16" x14ac:dyDescent="0.25">
      <c r="D68" s="109">
        <v>64</v>
      </c>
      <c r="E68" s="10">
        <v>156</v>
      </c>
      <c r="F68" s="10">
        <v>3</v>
      </c>
      <c r="G68" s="10">
        <v>0</v>
      </c>
      <c r="H68" s="5" t="str">
        <f t="shared" si="0"/>
        <v>det_156</v>
      </c>
      <c r="I68" s="5" t="str">
        <f t="shared" si="1"/>
        <v>W:\Performance Measurement\1. Freeway\1. raw data\2016\data files\det_156.txt</v>
      </c>
      <c r="J68" s="5" t="str">
        <f t="shared" si="2"/>
        <v>W:\Performance Measurement\1. Freeway\1. raw data\2016\data files\det_156.xlsx</v>
      </c>
      <c r="K68" s="5"/>
      <c r="M68" s="108" t="s">
        <v>62</v>
      </c>
      <c r="N68" s="10">
        <v>156</v>
      </c>
      <c r="O68" s="10">
        <v>3</v>
      </c>
      <c r="P68" s="10">
        <v>0</v>
      </c>
    </row>
    <row r="69" spans="4:16" x14ac:dyDescent="0.25">
      <c r="D69" s="109">
        <v>65</v>
      </c>
      <c r="E69" s="10">
        <v>121</v>
      </c>
      <c r="F69" s="10">
        <v>3</v>
      </c>
      <c r="G69" s="10">
        <v>0</v>
      </c>
      <c r="H69" s="5" t="str">
        <f t="shared" ref="H69:H109" si="3">"det_"&amp;E69&amp;""</f>
        <v>det_121</v>
      </c>
      <c r="I69" s="5" t="str">
        <f t="shared" ref="I69:I109" si="4">$B$5&amp;"\"&amp;H69&amp;".txt"</f>
        <v>W:\Performance Measurement\1. Freeway\1. raw data\2016\data files\det_121.txt</v>
      </c>
      <c r="J69" s="5" t="str">
        <f t="shared" ref="J69:J109" si="5">$B$5&amp;"\"&amp;H69&amp;".xlsx"</f>
        <v>W:\Performance Measurement\1. Freeway\1. raw data\2016\data files\det_121.xlsx</v>
      </c>
      <c r="K69" s="5"/>
      <c r="M69" s="108" t="s">
        <v>62</v>
      </c>
      <c r="N69" s="10">
        <v>121</v>
      </c>
      <c r="O69" s="10">
        <v>3</v>
      </c>
      <c r="P69" s="10">
        <v>0</v>
      </c>
    </row>
    <row r="70" spans="4:16" x14ac:dyDescent="0.25">
      <c r="D70" s="109">
        <v>66</v>
      </c>
      <c r="E70" s="10">
        <v>123</v>
      </c>
      <c r="F70" s="10">
        <v>3</v>
      </c>
      <c r="G70" s="10">
        <v>0</v>
      </c>
      <c r="H70" s="5" t="str">
        <f t="shared" si="3"/>
        <v>det_123</v>
      </c>
      <c r="I70" s="5" t="str">
        <f t="shared" si="4"/>
        <v>W:\Performance Measurement\1. Freeway\1. raw data\2016\data files\det_123.txt</v>
      </c>
      <c r="J70" s="5" t="str">
        <f t="shared" si="5"/>
        <v>W:\Performance Measurement\1. Freeway\1. raw data\2016\data files\det_123.xlsx</v>
      </c>
      <c r="K70" s="5"/>
      <c r="M70" s="108" t="s">
        <v>62</v>
      </c>
      <c r="N70" s="10">
        <v>123</v>
      </c>
      <c r="O70" s="10">
        <v>3</v>
      </c>
      <c r="P70" s="10">
        <v>0</v>
      </c>
    </row>
    <row r="71" spans="4:16" x14ac:dyDescent="0.25">
      <c r="D71" s="109">
        <v>67</v>
      </c>
      <c r="E71" s="10">
        <v>122</v>
      </c>
      <c r="F71" s="10">
        <v>3</v>
      </c>
      <c r="G71" s="10">
        <v>0</v>
      </c>
      <c r="H71" s="5" t="str">
        <f t="shared" si="3"/>
        <v>det_122</v>
      </c>
      <c r="I71" s="5" t="str">
        <f t="shared" si="4"/>
        <v>W:\Performance Measurement\1. Freeway\1. raw data\2016\data files\det_122.txt</v>
      </c>
      <c r="J71" s="5" t="str">
        <f t="shared" si="5"/>
        <v>W:\Performance Measurement\1. Freeway\1. raw data\2016\data files\det_122.xlsx</v>
      </c>
      <c r="K71" s="5"/>
      <c r="M71" s="108" t="s">
        <v>62</v>
      </c>
      <c r="N71" s="10">
        <v>122</v>
      </c>
      <c r="O71" s="10">
        <v>3</v>
      </c>
      <c r="P71" s="10">
        <v>0</v>
      </c>
    </row>
    <row r="72" spans="4:16" x14ac:dyDescent="0.25">
      <c r="D72" s="109">
        <v>68</v>
      </c>
      <c r="E72" s="10">
        <v>118</v>
      </c>
      <c r="F72" s="10">
        <v>3</v>
      </c>
      <c r="G72" s="10">
        <v>0</v>
      </c>
      <c r="H72" s="5" t="str">
        <f t="shared" si="3"/>
        <v>det_118</v>
      </c>
      <c r="I72" s="5" t="str">
        <f t="shared" si="4"/>
        <v>W:\Performance Measurement\1. Freeway\1. raw data\2016\data files\det_118.txt</v>
      </c>
      <c r="J72" s="5" t="str">
        <f t="shared" si="5"/>
        <v>W:\Performance Measurement\1. Freeway\1. raw data\2016\data files\det_118.xlsx</v>
      </c>
      <c r="K72" s="5"/>
      <c r="M72" s="108" t="s">
        <v>62</v>
      </c>
      <c r="N72" s="10">
        <v>118</v>
      </c>
      <c r="O72" s="10">
        <v>3</v>
      </c>
      <c r="P72" s="10">
        <v>0</v>
      </c>
    </row>
    <row r="73" spans="4:16" x14ac:dyDescent="0.25">
      <c r="D73" s="109">
        <v>69</v>
      </c>
      <c r="E73" s="10">
        <v>114</v>
      </c>
      <c r="F73" s="10">
        <v>3</v>
      </c>
      <c r="G73" s="10">
        <v>0</v>
      </c>
      <c r="H73" s="5" t="str">
        <f t="shared" si="3"/>
        <v>det_114</v>
      </c>
      <c r="I73" s="5" t="str">
        <f t="shared" si="4"/>
        <v>W:\Performance Measurement\1. Freeway\1. raw data\2016\data files\det_114.txt</v>
      </c>
      <c r="J73" s="5" t="str">
        <f t="shared" si="5"/>
        <v>W:\Performance Measurement\1. Freeway\1. raw data\2016\data files\det_114.xlsx</v>
      </c>
      <c r="K73" s="5"/>
      <c r="M73" s="108" t="s">
        <v>62</v>
      </c>
      <c r="N73" s="10">
        <v>114</v>
      </c>
      <c r="O73" s="10">
        <v>3</v>
      </c>
      <c r="P73" s="10">
        <v>0</v>
      </c>
    </row>
    <row r="74" spans="4:16" x14ac:dyDescent="0.25">
      <c r="D74" s="109">
        <v>70</v>
      </c>
      <c r="E74" s="10">
        <v>108</v>
      </c>
      <c r="F74" s="10">
        <v>3</v>
      </c>
      <c r="G74" s="10">
        <v>0</v>
      </c>
      <c r="H74" s="5" t="str">
        <f t="shared" si="3"/>
        <v>det_108</v>
      </c>
      <c r="I74" s="5" t="str">
        <f t="shared" si="4"/>
        <v>W:\Performance Measurement\1. Freeway\1. raw data\2016\data files\det_108.txt</v>
      </c>
      <c r="J74" s="5" t="str">
        <f t="shared" si="5"/>
        <v>W:\Performance Measurement\1. Freeway\1. raw data\2016\data files\det_108.xlsx</v>
      </c>
      <c r="K74" s="5"/>
      <c r="M74" s="108" t="s">
        <v>62</v>
      </c>
      <c r="N74" s="10">
        <v>108</v>
      </c>
      <c r="O74" s="10">
        <v>3</v>
      </c>
      <c r="P74" s="10">
        <v>0</v>
      </c>
    </row>
    <row r="75" spans="4:16" x14ac:dyDescent="0.25">
      <c r="D75" s="109">
        <v>71</v>
      </c>
      <c r="E75" s="10">
        <v>103</v>
      </c>
      <c r="F75" s="10">
        <v>3</v>
      </c>
      <c r="G75" s="10">
        <v>0</v>
      </c>
      <c r="H75" s="5" t="str">
        <f t="shared" si="3"/>
        <v>det_103</v>
      </c>
      <c r="I75" s="5" t="str">
        <f t="shared" si="4"/>
        <v>W:\Performance Measurement\1. Freeway\1. raw data\2016\data files\det_103.txt</v>
      </c>
      <c r="J75" s="5" t="str">
        <f t="shared" si="5"/>
        <v>W:\Performance Measurement\1. Freeway\1. raw data\2016\data files\det_103.xlsx</v>
      </c>
      <c r="K75" s="5"/>
      <c r="M75" s="108" t="s">
        <v>62</v>
      </c>
      <c r="N75" s="10">
        <v>103</v>
      </c>
      <c r="O75" s="10">
        <v>3</v>
      </c>
      <c r="P75" s="10">
        <v>0</v>
      </c>
    </row>
    <row r="76" spans="4:16" x14ac:dyDescent="0.25">
      <c r="D76" s="109">
        <v>72</v>
      </c>
      <c r="E76" s="10">
        <v>97</v>
      </c>
      <c r="F76" s="10">
        <v>3</v>
      </c>
      <c r="G76" s="10">
        <v>0</v>
      </c>
      <c r="H76" s="5" t="str">
        <f t="shared" si="3"/>
        <v>det_97</v>
      </c>
      <c r="I76" s="5" t="str">
        <f t="shared" si="4"/>
        <v>W:\Performance Measurement\1. Freeway\1. raw data\2016\data files\det_97.txt</v>
      </c>
      <c r="J76" s="5" t="str">
        <f t="shared" si="5"/>
        <v>W:\Performance Measurement\1. Freeway\1. raw data\2016\data files\det_97.xlsx</v>
      </c>
      <c r="K76" s="5"/>
      <c r="M76" s="108" t="s">
        <v>62</v>
      </c>
      <c r="N76" s="10">
        <v>97</v>
      </c>
      <c r="O76" s="10">
        <v>3</v>
      </c>
      <c r="P76" s="10">
        <v>0</v>
      </c>
    </row>
    <row r="77" spans="4:16" x14ac:dyDescent="0.25">
      <c r="D77" s="109">
        <v>73</v>
      </c>
      <c r="E77" s="10">
        <v>36</v>
      </c>
      <c r="F77" s="10">
        <v>3</v>
      </c>
      <c r="G77" s="10">
        <v>0</v>
      </c>
      <c r="H77" s="5" t="str">
        <f t="shared" si="3"/>
        <v>det_36</v>
      </c>
      <c r="I77" s="5" t="str">
        <f t="shared" si="4"/>
        <v>W:\Performance Measurement\1. Freeway\1. raw data\2016\data files\det_36.txt</v>
      </c>
      <c r="J77" s="5" t="str">
        <f t="shared" si="5"/>
        <v>W:\Performance Measurement\1. Freeway\1. raw data\2016\data files\det_36.xlsx</v>
      </c>
      <c r="K77" s="5"/>
      <c r="M77" s="108" t="s">
        <v>62</v>
      </c>
      <c r="N77" s="10">
        <v>36</v>
      </c>
      <c r="O77" s="10">
        <v>3</v>
      </c>
      <c r="P77" s="10">
        <v>0</v>
      </c>
    </row>
    <row r="78" spans="4:16" x14ac:dyDescent="0.25">
      <c r="D78" s="109">
        <v>74</v>
      </c>
      <c r="E78" s="10">
        <v>161</v>
      </c>
      <c r="F78" s="10">
        <v>2</v>
      </c>
      <c r="G78" s="10">
        <v>0</v>
      </c>
      <c r="H78" s="5" t="str">
        <f t="shared" si="3"/>
        <v>det_161</v>
      </c>
      <c r="I78" s="5" t="str">
        <f t="shared" si="4"/>
        <v>W:\Performance Measurement\1. Freeway\1. raw data\2016\data files\det_161.txt</v>
      </c>
      <c r="J78" s="5" t="str">
        <f t="shared" si="5"/>
        <v>W:\Performance Measurement\1. Freeway\1. raw data\2016\data files\det_161.xlsx</v>
      </c>
      <c r="K78" s="5"/>
      <c r="M78" s="108" t="s">
        <v>63</v>
      </c>
      <c r="N78" s="10">
        <v>161</v>
      </c>
      <c r="O78" s="10">
        <v>2</v>
      </c>
      <c r="P78" s="10">
        <v>0</v>
      </c>
    </row>
    <row r="79" spans="4:16" x14ac:dyDescent="0.25">
      <c r="D79" s="109">
        <v>75</v>
      </c>
      <c r="E79" s="10">
        <v>162</v>
      </c>
      <c r="F79" s="10">
        <v>4</v>
      </c>
      <c r="G79" s="10">
        <v>1</v>
      </c>
      <c r="H79" s="5" t="str">
        <f t="shared" si="3"/>
        <v>det_162</v>
      </c>
      <c r="I79" s="5" t="str">
        <f t="shared" si="4"/>
        <v>W:\Performance Measurement\1. Freeway\1. raw data\2016\data files\det_162.txt</v>
      </c>
      <c r="J79" s="5" t="str">
        <f t="shared" si="5"/>
        <v>W:\Performance Measurement\1. Freeway\1. raw data\2016\data files\det_162.xlsx</v>
      </c>
      <c r="K79" s="5"/>
      <c r="M79" s="108" t="s">
        <v>63</v>
      </c>
      <c r="N79" s="10">
        <v>162</v>
      </c>
      <c r="O79" s="10">
        <v>4</v>
      </c>
      <c r="P79" s="10">
        <v>1</v>
      </c>
    </row>
    <row r="80" spans="4:16" x14ac:dyDescent="0.25">
      <c r="D80" s="109">
        <v>76</v>
      </c>
      <c r="E80" s="10">
        <v>337</v>
      </c>
      <c r="F80" s="10">
        <v>3</v>
      </c>
      <c r="G80" s="10">
        <v>1</v>
      </c>
      <c r="H80" s="5" t="str">
        <f t="shared" si="3"/>
        <v>det_337</v>
      </c>
      <c r="I80" s="5" t="str">
        <f t="shared" si="4"/>
        <v>W:\Performance Measurement\1. Freeway\1. raw data\2016\data files\det_337.txt</v>
      </c>
      <c r="J80" s="5" t="str">
        <f t="shared" si="5"/>
        <v>W:\Performance Measurement\1. Freeway\1. raw data\2016\data files\det_337.xlsx</v>
      </c>
      <c r="K80" s="5"/>
      <c r="M80" s="108" t="s">
        <v>63</v>
      </c>
      <c r="N80" s="10">
        <v>337</v>
      </c>
      <c r="O80" s="10">
        <v>3</v>
      </c>
      <c r="P80" s="10">
        <v>1</v>
      </c>
    </row>
    <row r="81" spans="4:16" x14ac:dyDescent="0.25">
      <c r="D81" s="109">
        <v>77</v>
      </c>
      <c r="E81" s="10">
        <v>340</v>
      </c>
      <c r="F81" s="10">
        <v>3</v>
      </c>
      <c r="G81" s="10">
        <v>1</v>
      </c>
      <c r="H81" s="5" t="str">
        <f t="shared" si="3"/>
        <v>det_340</v>
      </c>
      <c r="I81" s="5" t="str">
        <f t="shared" si="4"/>
        <v>W:\Performance Measurement\1. Freeway\1. raw data\2016\data files\det_340.txt</v>
      </c>
      <c r="J81" s="5" t="str">
        <f t="shared" si="5"/>
        <v>W:\Performance Measurement\1. Freeway\1. raw data\2016\data files\det_340.xlsx</v>
      </c>
      <c r="K81" s="5"/>
      <c r="M81" s="108" t="s">
        <v>63</v>
      </c>
      <c r="N81" s="10">
        <v>340</v>
      </c>
      <c r="O81" s="10">
        <v>3</v>
      </c>
      <c r="P81" s="10">
        <v>1</v>
      </c>
    </row>
    <row r="82" spans="4:16" x14ac:dyDescent="0.25">
      <c r="D82" s="109">
        <v>78</v>
      </c>
      <c r="E82" s="10">
        <v>343</v>
      </c>
      <c r="F82" s="10">
        <v>3</v>
      </c>
      <c r="G82" s="10">
        <v>1</v>
      </c>
      <c r="H82" s="5" t="str">
        <f t="shared" si="3"/>
        <v>det_343</v>
      </c>
      <c r="I82" s="5" t="str">
        <f t="shared" si="4"/>
        <v>W:\Performance Measurement\1. Freeway\1. raw data\2016\data files\det_343.txt</v>
      </c>
      <c r="J82" s="5" t="str">
        <f t="shared" si="5"/>
        <v>W:\Performance Measurement\1. Freeway\1. raw data\2016\data files\det_343.xlsx</v>
      </c>
      <c r="K82" s="5"/>
      <c r="M82" s="108" t="s">
        <v>63</v>
      </c>
      <c r="N82" s="10">
        <v>343</v>
      </c>
      <c r="O82" s="10">
        <v>3</v>
      </c>
      <c r="P82" s="10">
        <v>1</v>
      </c>
    </row>
    <row r="83" spans="4:16" x14ac:dyDescent="0.25">
      <c r="D83" s="109">
        <v>79</v>
      </c>
      <c r="E83" s="10">
        <v>346</v>
      </c>
      <c r="F83" s="10">
        <v>3</v>
      </c>
      <c r="G83" s="10">
        <v>1</v>
      </c>
      <c r="H83" s="5" t="str">
        <f t="shared" si="3"/>
        <v>det_346</v>
      </c>
      <c r="I83" s="5" t="str">
        <f t="shared" si="4"/>
        <v>W:\Performance Measurement\1. Freeway\1. raw data\2016\data files\det_346.txt</v>
      </c>
      <c r="J83" s="5" t="str">
        <f t="shared" si="5"/>
        <v>W:\Performance Measurement\1. Freeway\1. raw data\2016\data files\det_346.xlsx</v>
      </c>
      <c r="K83" s="5"/>
      <c r="M83" s="108" t="s">
        <v>63</v>
      </c>
      <c r="N83" s="10">
        <v>346</v>
      </c>
      <c r="O83" s="10">
        <v>3</v>
      </c>
      <c r="P83" s="10">
        <v>1</v>
      </c>
    </row>
    <row r="84" spans="4:16" x14ac:dyDescent="0.25">
      <c r="D84" s="109">
        <v>80</v>
      </c>
      <c r="E84" s="10">
        <v>349</v>
      </c>
      <c r="F84" s="10">
        <v>3</v>
      </c>
      <c r="G84" s="10">
        <v>1</v>
      </c>
      <c r="H84" s="5" t="str">
        <f t="shared" si="3"/>
        <v>det_349</v>
      </c>
      <c r="I84" s="5" t="str">
        <f t="shared" si="4"/>
        <v>W:\Performance Measurement\1. Freeway\1. raw data\2016\data files\det_349.txt</v>
      </c>
      <c r="J84" s="5" t="str">
        <f t="shared" si="5"/>
        <v>W:\Performance Measurement\1. Freeway\1. raw data\2016\data files\det_349.xlsx</v>
      </c>
      <c r="K84" s="5"/>
      <c r="M84" s="108" t="s">
        <v>63</v>
      </c>
      <c r="N84" s="10">
        <v>349</v>
      </c>
      <c r="O84" s="10">
        <v>3</v>
      </c>
      <c r="P84" s="10">
        <v>1</v>
      </c>
    </row>
    <row r="85" spans="4:16" x14ac:dyDescent="0.25">
      <c r="D85" s="109">
        <v>81</v>
      </c>
      <c r="E85" s="10">
        <v>352</v>
      </c>
      <c r="F85" s="10">
        <v>3</v>
      </c>
      <c r="G85" s="10">
        <v>1</v>
      </c>
      <c r="H85" s="5" t="str">
        <f t="shared" si="3"/>
        <v>det_352</v>
      </c>
      <c r="I85" s="5" t="str">
        <f t="shared" si="4"/>
        <v>W:\Performance Measurement\1. Freeway\1. raw data\2016\data files\det_352.txt</v>
      </c>
      <c r="J85" s="5" t="str">
        <f t="shared" si="5"/>
        <v>W:\Performance Measurement\1. Freeway\1. raw data\2016\data files\det_352.xlsx</v>
      </c>
      <c r="K85" s="5"/>
      <c r="M85" s="108" t="s">
        <v>63</v>
      </c>
      <c r="N85" s="10">
        <v>352</v>
      </c>
      <c r="O85" s="10">
        <v>3</v>
      </c>
      <c r="P85" s="10">
        <v>1</v>
      </c>
    </row>
    <row r="86" spans="4:16" x14ac:dyDescent="0.25">
      <c r="D86" s="109">
        <v>82</v>
      </c>
      <c r="E86" s="10">
        <v>355</v>
      </c>
      <c r="F86" s="10">
        <v>3</v>
      </c>
      <c r="G86" s="10">
        <v>1</v>
      </c>
      <c r="H86" s="5" t="str">
        <f t="shared" si="3"/>
        <v>det_355</v>
      </c>
      <c r="I86" s="5" t="str">
        <f t="shared" si="4"/>
        <v>W:\Performance Measurement\1. Freeway\1. raw data\2016\data files\det_355.txt</v>
      </c>
      <c r="J86" s="5" t="str">
        <f t="shared" si="5"/>
        <v>W:\Performance Measurement\1. Freeway\1. raw data\2016\data files\det_355.xlsx</v>
      </c>
      <c r="K86" s="5"/>
      <c r="M86" s="108" t="s">
        <v>63</v>
      </c>
      <c r="N86" s="10">
        <v>355</v>
      </c>
      <c r="O86" s="10">
        <v>3</v>
      </c>
      <c r="P86" s="10">
        <v>1</v>
      </c>
    </row>
    <row r="87" spans="4:16" x14ac:dyDescent="0.25">
      <c r="D87" s="109">
        <v>83</v>
      </c>
      <c r="E87" s="10">
        <v>357</v>
      </c>
      <c r="F87" s="10">
        <v>3</v>
      </c>
      <c r="G87" s="10">
        <v>1</v>
      </c>
      <c r="H87" s="5" t="str">
        <f t="shared" si="3"/>
        <v>det_357</v>
      </c>
      <c r="I87" s="5" t="str">
        <f t="shared" si="4"/>
        <v>W:\Performance Measurement\1. Freeway\1. raw data\2016\data files\det_357.txt</v>
      </c>
      <c r="J87" s="5" t="str">
        <f t="shared" si="5"/>
        <v>W:\Performance Measurement\1. Freeway\1. raw data\2016\data files\det_357.xlsx</v>
      </c>
      <c r="K87" s="5"/>
      <c r="M87" s="108" t="s">
        <v>63</v>
      </c>
      <c r="N87" s="10">
        <v>357</v>
      </c>
      <c r="O87" s="10">
        <v>3</v>
      </c>
      <c r="P87" s="10">
        <v>1</v>
      </c>
    </row>
    <row r="88" spans="4:16" x14ac:dyDescent="0.25">
      <c r="D88" s="109">
        <v>84</v>
      </c>
      <c r="E88" s="10">
        <v>358</v>
      </c>
      <c r="F88" s="10">
        <v>3</v>
      </c>
      <c r="G88" s="10">
        <v>1</v>
      </c>
      <c r="H88" s="5" t="str">
        <f t="shared" si="3"/>
        <v>det_358</v>
      </c>
      <c r="I88" s="5" t="str">
        <f t="shared" si="4"/>
        <v>W:\Performance Measurement\1. Freeway\1. raw data\2016\data files\det_358.txt</v>
      </c>
      <c r="J88" s="5" t="str">
        <f t="shared" si="5"/>
        <v>W:\Performance Measurement\1. Freeway\1. raw data\2016\data files\det_358.xlsx</v>
      </c>
      <c r="K88" s="5"/>
      <c r="M88" s="108" t="s">
        <v>63</v>
      </c>
      <c r="N88" s="10">
        <v>358</v>
      </c>
      <c r="O88" s="10">
        <v>3</v>
      </c>
      <c r="P88" s="10">
        <v>1</v>
      </c>
    </row>
    <row r="89" spans="4:16" x14ac:dyDescent="0.25">
      <c r="D89" s="109">
        <v>85</v>
      </c>
      <c r="E89" s="10">
        <v>361</v>
      </c>
      <c r="F89" s="10">
        <v>3</v>
      </c>
      <c r="G89" s="10">
        <v>1</v>
      </c>
      <c r="H89" s="5" t="str">
        <f t="shared" si="3"/>
        <v>det_361</v>
      </c>
      <c r="I89" s="5" t="str">
        <f t="shared" si="4"/>
        <v>W:\Performance Measurement\1. Freeway\1. raw data\2016\data files\det_361.txt</v>
      </c>
      <c r="J89" s="5" t="str">
        <f t="shared" si="5"/>
        <v>W:\Performance Measurement\1. Freeway\1. raw data\2016\data files\det_361.xlsx</v>
      </c>
      <c r="K89" s="5"/>
      <c r="M89" s="108" t="s">
        <v>63</v>
      </c>
      <c r="N89" s="10">
        <v>361</v>
      </c>
      <c r="O89" s="10">
        <v>3</v>
      </c>
      <c r="P89" s="10">
        <v>1</v>
      </c>
    </row>
    <row r="90" spans="4:16" x14ac:dyDescent="0.25">
      <c r="D90" s="109">
        <v>86</v>
      </c>
      <c r="E90" s="10">
        <v>364</v>
      </c>
      <c r="F90" s="10">
        <v>3</v>
      </c>
      <c r="G90" s="10">
        <v>1</v>
      </c>
      <c r="H90" s="5" t="str">
        <f t="shared" si="3"/>
        <v>det_364</v>
      </c>
      <c r="I90" s="5" t="str">
        <f t="shared" si="4"/>
        <v>W:\Performance Measurement\1. Freeway\1. raw data\2016\data files\det_364.txt</v>
      </c>
      <c r="J90" s="5" t="str">
        <f t="shared" si="5"/>
        <v>W:\Performance Measurement\1. Freeway\1. raw data\2016\data files\det_364.xlsx</v>
      </c>
      <c r="K90" s="5"/>
      <c r="M90" s="108" t="s">
        <v>63</v>
      </c>
      <c r="N90" s="10">
        <v>364</v>
      </c>
      <c r="O90" s="10">
        <v>3</v>
      </c>
      <c r="P90" s="10">
        <v>1</v>
      </c>
    </row>
    <row r="91" spans="4:16" x14ac:dyDescent="0.25">
      <c r="D91" s="109">
        <v>87</v>
      </c>
      <c r="E91" s="10">
        <v>367</v>
      </c>
      <c r="F91" s="10">
        <v>3</v>
      </c>
      <c r="G91" s="10">
        <v>1</v>
      </c>
      <c r="H91" s="5" t="str">
        <f t="shared" si="3"/>
        <v>det_367</v>
      </c>
      <c r="I91" s="5" t="str">
        <f t="shared" si="4"/>
        <v>W:\Performance Measurement\1. Freeway\1. raw data\2016\data files\det_367.txt</v>
      </c>
      <c r="J91" s="5" t="str">
        <f t="shared" si="5"/>
        <v>W:\Performance Measurement\1. Freeway\1. raw data\2016\data files\det_367.xlsx</v>
      </c>
      <c r="K91" s="5"/>
      <c r="M91" s="108" t="s">
        <v>63</v>
      </c>
      <c r="N91" s="10">
        <v>367</v>
      </c>
      <c r="O91" s="10">
        <v>3</v>
      </c>
      <c r="P91" s="10">
        <v>1</v>
      </c>
    </row>
    <row r="92" spans="4:16" x14ac:dyDescent="0.25">
      <c r="D92" s="109">
        <v>88</v>
      </c>
      <c r="E92" s="10">
        <v>370</v>
      </c>
      <c r="F92" s="10">
        <v>3</v>
      </c>
      <c r="G92" s="10">
        <v>1</v>
      </c>
      <c r="H92" s="5" t="str">
        <f t="shared" si="3"/>
        <v>det_370</v>
      </c>
      <c r="I92" s="5" t="str">
        <f t="shared" si="4"/>
        <v>W:\Performance Measurement\1. Freeway\1. raw data\2016\data files\det_370.txt</v>
      </c>
      <c r="J92" s="5" t="str">
        <f t="shared" si="5"/>
        <v>W:\Performance Measurement\1. Freeway\1. raw data\2016\data files\det_370.xlsx</v>
      </c>
      <c r="K92" s="5"/>
      <c r="M92" s="108" t="s">
        <v>63</v>
      </c>
      <c r="N92" s="10">
        <v>370</v>
      </c>
      <c r="O92" s="10">
        <v>3</v>
      </c>
      <c r="P92" s="10">
        <v>1</v>
      </c>
    </row>
    <row r="93" spans="4:16" x14ac:dyDescent="0.25">
      <c r="D93" s="109">
        <v>89</v>
      </c>
      <c r="E93" s="10">
        <v>373</v>
      </c>
      <c r="F93" s="10">
        <v>3</v>
      </c>
      <c r="G93" s="10">
        <v>1</v>
      </c>
      <c r="H93" s="5" t="str">
        <f t="shared" si="3"/>
        <v>det_373</v>
      </c>
      <c r="I93" s="5" t="str">
        <f t="shared" si="4"/>
        <v>W:\Performance Measurement\1. Freeway\1. raw data\2016\data files\det_373.txt</v>
      </c>
      <c r="J93" s="5" t="str">
        <f t="shared" si="5"/>
        <v>W:\Performance Measurement\1. Freeway\1. raw data\2016\data files\det_373.xlsx</v>
      </c>
      <c r="K93" s="5"/>
      <c r="M93" s="108" t="s">
        <v>63</v>
      </c>
      <c r="N93" s="10">
        <v>373</v>
      </c>
      <c r="O93" s="10">
        <v>3</v>
      </c>
      <c r="P93" s="10">
        <v>1</v>
      </c>
    </row>
    <row r="94" spans="4:16" x14ac:dyDescent="0.25">
      <c r="D94" s="109">
        <v>90</v>
      </c>
      <c r="E94" s="10">
        <v>376</v>
      </c>
      <c r="F94" s="10">
        <v>3</v>
      </c>
      <c r="G94" s="10">
        <v>1</v>
      </c>
      <c r="H94" s="5" t="str">
        <f t="shared" si="3"/>
        <v>det_376</v>
      </c>
      <c r="I94" s="5" t="str">
        <f t="shared" si="4"/>
        <v>W:\Performance Measurement\1. Freeway\1. raw data\2016\data files\det_376.txt</v>
      </c>
      <c r="J94" s="5" t="str">
        <f t="shared" si="5"/>
        <v>W:\Performance Measurement\1. Freeway\1. raw data\2016\data files\det_376.xlsx</v>
      </c>
      <c r="K94" s="5"/>
      <c r="M94" s="108" t="s">
        <v>63</v>
      </c>
      <c r="N94" s="10">
        <v>376</v>
      </c>
      <c r="O94" s="10">
        <v>3</v>
      </c>
      <c r="P94" s="10">
        <v>1</v>
      </c>
    </row>
    <row r="95" spans="4:16" x14ac:dyDescent="0.25">
      <c r="D95" s="109">
        <v>91</v>
      </c>
      <c r="E95" s="10">
        <v>128</v>
      </c>
      <c r="F95" s="10">
        <v>4</v>
      </c>
      <c r="G95" s="10">
        <v>1</v>
      </c>
      <c r="H95" s="5" t="str">
        <f t="shared" si="3"/>
        <v>det_128</v>
      </c>
      <c r="I95" s="5" t="str">
        <f t="shared" si="4"/>
        <v>W:\Performance Measurement\1. Freeway\1. raw data\2016\data files\det_128.txt</v>
      </c>
      <c r="J95" s="5" t="str">
        <f t="shared" si="5"/>
        <v>W:\Performance Measurement\1. Freeway\1. raw data\2016\data files\det_128.xlsx</v>
      </c>
      <c r="K95" s="5"/>
      <c r="M95" s="108" t="s">
        <v>63</v>
      </c>
      <c r="N95" s="10">
        <v>128</v>
      </c>
      <c r="O95" s="10">
        <v>4</v>
      </c>
      <c r="P95" s="10">
        <v>1</v>
      </c>
    </row>
    <row r="96" spans="4:16" x14ac:dyDescent="0.25">
      <c r="D96" s="109">
        <v>92</v>
      </c>
      <c r="E96" s="10">
        <v>163</v>
      </c>
      <c r="F96" s="10">
        <v>0</v>
      </c>
      <c r="G96" s="10">
        <v>0</v>
      </c>
      <c r="H96" s="5" t="str">
        <f t="shared" si="3"/>
        <v>det_163</v>
      </c>
      <c r="I96" s="5" t="str">
        <f t="shared" si="4"/>
        <v>W:\Performance Measurement\1. Freeway\1. raw data\2016\data files\det_163.txt</v>
      </c>
      <c r="J96" s="5" t="str">
        <f t="shared" si="5"/>
        <v>W:\Performance Measurement\1. Freeway\1. raw data\2016\data files\det_163.xlsx</v>
      </c>
      <c r="K96" s="5"/>
      <c r="M96" s="108" t="s">
        <v>64</v>
      </c>
      <c r="N96" s="10">
        <v>163</v>
      </c>
      <c r="O96" s="10">
        <v>0</v>
      </c>
      <c r="P96" s="10">
        <v>0</v>
      </c>
    </row>
    <row r="97" spans="4:16" x14ac:dyDescent="0.25">
      <c r="D97" s="109">
        <v>93</v>
      </c>
      <c r="E97" s="10">
        <v>203</v>
      </c>
      <c r="F97" s="10">
        <v>4</v>
      </c>
      <c r="G97" s="10">
        <v>1</v>
      </c>
      <c r="H97" s="5" t="str">
        <f t="shared" si="3"/>
        <v>det_203</v>
      </c>
      <c r="I97" s="5" t="str">
        <f t="shared" si="4"/>
        <v>W:\Performance Measurement\1. Freeway\1. raw data\2016\data files\det_203.txt</v>
      </c>
      <c r="J97" s="5" t="str">
        <f t="shared" si="5"/>
        <v>W:\Performance Measurement\1. Freeway\1. raw data\2016\data files\det_203.xlsx</v>
      </c>
      <c r="K97" s="5"/>
      <c r="M97" s="108" t="s">
        <v>64</v>
      </c>
      <c r="N97" s="10">
        <v>203</v>
      </c>
      <c r="O97" s="10">
        <v>4</v>
      </c>
      <c r="P97" s="10">
        <v>1</v>
      </c>
    </row>
    <row r="98" spans="4:16" x14ac:dyDescent="0.25">
      <c r="D98" s="109">
        <v>94</v>
      </c>
      <c r="E98" s="10">
        <v>206</v>
      </c>
      <c r="F98" s="10">
        <v>3</v>
      </c>
      <c r="G98" s="10">
        <v>1</v>
      </c>
      <c r="H98" s="5" t="str">
        <f t="shared" si="3"/>
        <v>det_206</v>
      </c>
      <c r="I98" s="5" t="str">
        <f t="shared" si="4"/>
        <v>W:\Performance Measurement\1. Freeway\1. raw data\2016\data files\det_206.txt</v>
      </c>
      <c r="J98" s="5" t="str">
        <f t="shared" si="5"/>
        <v>W:\Performance Measurement\1. Freeway\1. raw data\2016\data files\det_206.xlsx</v>
      </c>
      <c r="K98" s="5"/>
      <c r="M98" s="108" t="s">
        <v>64</v>
      </c>
      <c r="N98" s="10">
        <v>206</v>
      </c>
      <c r="O98" s="10">
        <v>3</v>
      </c>
      <c r="P98" s="10">
        <v>1</v>
      </c>
    </row>
    <row r="99" spans="4:16" x14ac:dyDescent="0.25">
      <c r="D99" s="109">
        <v>95</v>
      </c>
      <c r="E99" s="10">
        <v>209</v>
      </c>
      <c r="F99" s="10">
        <v>3</v>
      </c>
      <c r="G99" s="10">
        <v>1</v>
      </c>
      <c r="H99" s="5" t="str">
        <f t="shared" si="3"/>
        <v>det_209</v>
      </c>
      <c r="I99" s="5" t="str">
        <f t="shared" si="4"/>
        <v>W:\Performance Measurement\1. Freeway\1. raw data\2016\data files\det_209.txt</v>
      </c>
      <c r="J99" s="5" t="str">
        <f t="shared" si="5"/>
        <v>W:\Performance Measurement\1. Freeway\1. raw data\2016\data files\det_209.xlsx</v>
      </c>
      <c r="K99" s="5"/>
      <c r="M99" s="108" t="s">
        <v>64</v>
      </c>
      <c r="N99" s="10">
        <v>209</v>
      </c>
      <c r="O99" s="10">
        <v>3</v>
      </c>
      <c r="P99" s="10">
        <v>1</v>
      </c>
    </row>
    <row r="100" spans="4:16" x14ac:dyDescent="0.25">
      <c r="D100" s="109">
        <v>96</v>
      </c>
      <c r="E100" s="10">
        <v>212</v>
      </c>
      <c r="F100" s="10">
        <v>4</v>
      </c>
      <c r="G100" s="10">
        <v>1</v>
      </c>
      <c r="H100" s="5" t="str">
        <f t="shared" si="3"/>
        <v>det_212</v>
      </c>
      <c r="I100" s="5" t="str">
        <f t="shared" si="4"/>
        <v>W:\Performance Measurement\1. Freeway\1. raw data\2016\data files\det_212.txt</v>
      </c>
      <c r="J100" s="5" t="str">
        <f t="shared" si="5"/>
        <v>W:\Performance Measurement\1. Freeway\1. raw data\2016\data files\det_212.xlsx</v>
      </c>
      <c r="K100" s="5"/>
      <c r="M100" s="108" t="s">
        <v>64</v>
      </c>
      <c r="N100" s="10">
        <v>212</v>
      </c>
      <c r="O100" s="10">
        <v>4</v>
      </c>
      <c r="P100" s="10">
        <v>1</v>
      </c>
    </row>
    <row r="101" spans="4:16" x14ac:dyDescent="0.25">
      <c r="D101" s="109">
        <v>97</v>
      </c>
      <c r="E101" s="10">
        <v>214</v>
      </c>
      <c r="F101" s="10">
        <v>3</v>
      </c>
      <c r="G101" s="10">
        <v>1</v>
      </c>
      <c r="H101" s="5" t="str">
        <f t="shared" si="3"/>
        <v>det_214</v>
      </c>
      <c r="I101" s="5" t="str">
        <f t="shared" si="4"/>
        <v>W:\Performance Measurement\1. Freeway\1. raw data\2016\data files\det_214.txt</v>
      </c>
      <c r="J101" s="5" t="str">
        <f t="shared" si="5"/>
        <v>W:\Performance Measurement\1. Freeway\1. raw data\2016\data files\det_214.xlsx</v>
      </c>
      <c r="K101" s="5"/>
      <c r="M101" s="108" t="s">
        <v>64</v>
      </c>
      <c r="N101" s="10">
        <v>214</v>
      </c>
      <c r="O101" s="10">
        <v>3</v>
      </c>
      <c r="P101" s="10">
        <v>1</v>
      </c>
    </row>
    <row r="102" spans="4:16" x14ac:dyDescent="0.25">
      <c r="D102" s="109">
        <v>98</v>
      </c>
      <c r="E102" s="10">
        <v>201</v>
      </c>
      <c r="F102" s="10">
        <v>3</v>
      </c>
      <c r="G102" s="10">
        <v>1</v>
      </c>
      <c r="H102" s="5" t="str">
        <f t="shared" si="3"/>
        <v>det_201</v>
      </c>
      <c r="I102" s="5" t="str">
        <f t="shared" si="4"/>
        <v>W:\Performance Measurement\1. Freeway\1. raw data\2016\data files\det_201.txt</v>
      </c>
      <c r="J102" s="5" t="str">
        <f t="shared" si="5"/>
        <v>W:\Performance Measurement\1. Freeway\1. raw data\2016\data files\det_201.xlsx</v>
      </c>
      <c r="K102" s="5"/>
      <c r="M102" s="108" t="s">
        <v>64</v>
      </c>
      <c r="N102" s="10">
        <v>201</v>
      </c>
      <c r="O102" s="10">
        <v>3</v>
      </c>
      <c r="P102" s="10">
        <v>1</v>
      </c>
    </row>
    <row r="103" spans="4:16" x14ac:dyDescent="0.25">
      <c r="D103" s="109">
        <v>99</v>
      </c>
      <c r="E103" s="10">
        <v>198</v>
      </c>
      <c r="F103" s="10">
        <v>3</v>
      </c>
      <c r="G103" s="10">
        <v>1</v>
      </c>
      <c r="H103" s="5" t="str">
        <f t="shared" si="3"/>
        <v>det_198</v>
      </c>
      <c r="I103" s="5" t="str">
        <f t="shared" si="4"/>
        <v>W:\Performance Measurement\1. Freeway\1. raw data\2016\data files\det_198.txt</v>
      </c>
      <c r="J103" s="5" t="str">
        <f t="shared" si="5"/>
        <v>W:\Performance Measurement\1. Freeway\1. raw data\2016\data files\det_198.xlsx</v>
      </c>
      <c r="K103" s="5"/>
      <c r="M103" s="108" t="s">
        <v>64</v>
      </c>
      <c r="N103" s="10">
        <v>198</v>
      </c>
      <c r="O103" s="10">
        <v>3</v>
      </c>
      <c r="P103" s="10">
        <v>1</v>
      </c>
    </row>
    <row r="104" spans="4:16" x14ac:dyDescent="0.25">
      <c r="D104" s="109">
        <v>100</v>
      </c>
      <c r="E104" s="10">
        <v>195</v>
      </c>
      <c r="F104" s="10">
        <v>3</v>
      </c>
      <c r="G104" s="10">
        <v>1</v>
      </c>
      <c r="H104" s="5" t="str">
        <f t="shared" si="3"/>
        <v>det_195</v>
      </c>
      <c r="I104" s="5" t="str">
        <f t="shared" si="4"/>
        <v>W:\Performance Measurement\1. Freeway\1. raw data\2016\data files\det_195.txt</v>
      </c>
      <c r="J104" s="5" t="str">
        <f t="shared" si="5"/>
        <v>W:\Performance Measurement\1. Freeway\1. raw data\2016\data files\det_195.xlsx</v>
      </c>
      <c r="K104" s="5"/>
      <c r="M104" s="108" t="s">
        <v>64</v>
      </c>
      <c r="N104" s="10">
        <v>195</v>
      </c>
      <c r="O104" s="10">
        <v>3</v>
      </c>
      <c r="P104" s="10">
        <v>1</v>
      </c>
    </row>
    <row r="105" spans="4:16" x14ac:dyDescent="0.25">
      <c r="D105" s="109">
        <v>101</v>
      </c>
      <c r="E105" s="10">
        <v>193</v>
      </c>
      <c r="F105" s="10">
        <v>3</v>
      </c>
      <c r="G105" s="10">
        <v>1</v>
      </c>
      <c r="H105" s="5" t="str">
        <f t="shared" si="3"/>
        <v>det_193</v>
      </c>
      <c r="I105" s="5" t="str">
        <f t="shared" si="4"/>
        <v>W:\Performance Measurement\1. Freeway\1. raw data\2016\data files\det_193.txt</v>
      </c>
      <c r="J105" s="5" t="str">
        <f t="shared" si="5"/>
        <v>W:\Performance Measurement\1. Freeway\1. raw data\2016\data files\det_193.xlsx</v>
      </c>
      <c r="K105" s="5"/>
      <c r="M105" s="108" t="s">
        <v>64</v>
      </c>
      <c r="N105" s="10">
        <v>193</v>
      </c>
      <c r="O105" s="10">
        <v>3</v>
      </c>
      <c r="P105" s="10">
        <v>1</v>
      </c>
    </row>
    <row r="106" spans="4:16" x14ac:dyDescent="0.25">
      <c r="D106" s="109">
        <v>102</v>
      </c>
      <c r="E106" s="10">
        <v>190</v>
      </c>
      <c r="F106" s="10">
        <v>3</v>
      </c>
      <c r="G106" s="10">
        <v>1</v>
      </c>
      <c r="H106" s="5" t="str">
        <f t="shared" si="3"/>
        <v>det_190</v>
      </c>
      <c r="I106" s="5" t="str">
        <f t="shared" si="4"/>
        <v>W:\Performance Measurement\1. Freeway\1. raw data\2016\data files\det_190.txt</v>
      </c>
      <c r="J106" s="5" t="str">
        <f t="shared" si="5"/>
        <v>W:\Performance Measurement\1. Freeway\1. raw data\2016\data files\det_190.xlsx</v>
      </c>
      <c r="K106" s="5"/>
      <c r="M106" s="108" t="s">
        <v>64</v>
      </c>
      <c r="N106" s="10">
        <v>190</v>
      </c>
      <c r="O106" s="10">
        <v>3</v>
      </c>
      <c r="P106" s="10">
        <v>1</v>
      </c>
    </row>
    <row r="107" spans="4:16" x14ac:dyDescent="0.25">
      <c r="D107" s="109">
        <v>103</v>
      </c>
      <c r="E107" s="10">
        <v>130</v>
      </c>
      <c r="F107" s="10">
        <v>2</v>
      </c>
      <c r="G107" s="10">
        <v>1</v>
      </c>
      <c r="H107" s="5" t="str">
        <f t="shared" si="3"/>
        <v>det_130</v>
      </c>
      <c r="I107" s="5" t="str">
        <f t="shared" si="4"/>
        <v>W:\Performance Measurement\1. Freeway\1. raw data\2016\data files\det_130.txt</v>
      </c>
      <c r="J107" s="5" t="str">
        <f t="shared" si="5"/>
        <v>W:\Performance Measurement\1. Freeway\1. raw data\2016\data files\det_130.xlsx</v>
      </c>
      <c r="K107" s="5"/>
      <c r="M107" s="108" t="s">
        <v>64</v>
      </c>
      <c r="N107" s="10">
        <v>130</v>
      </c>
      <c r="O107" s="10">
        <v>2</v>
      </c>
      <c r="P107" s="10">
        <v>1</v>
      </c>
    </row>
    <row r="108" spans="4:16" x14ac:dyDescent="0.25">
      <c r="D108" s="109">
        <v>104</v>
      </c>
      <c r="E108" s="10">
        <v>313</v>
      </c>
      <c r="F108" s="10">
        <v>3</v>
      </c>
      <c r="G108" s="10">
        <v>1</v>
      </c>
      <c r="H108" s="5" t="str">
        <f t="shared" si="3"/>
        <v>det_313</v>
      </c>
      <c r="I108" s="5" t="str">
        <f t="shared" si="4"/>
        <v>W:\Performance Measurement\1. Freeway\1. raw data\2016\data files\det_313.txt</v>
      </c>
      <c r="J108" s="5" t="str">
        <f t="shared" si="5"/>
        <v>W:\Performance Measurement\1. Freeway\1. raw data\2016\data files\det_313.xlsx</v>
      </c>
      <c r="K108" s="5"/>
      <c r="M108" s="108" t="s">
        <v>65</v>
      </c>
      <c r="N108" s="10">
        <v>313</v>
      </c>
      <c r="O108" s="10">
        <v>3</v>
      </c>
      <c r="P108" s="10">
        <v>1</v>
      </c>
    </row>
    <row r="109" spans="4:16" x14ac:dyDescent="0.25">
      <c r="D109" s="109">
        <v>105</v>
      </c>
      <c r="E109" s="10">
        <v>316</v>
      </c>
      <c r="F109" s="10">
        <v>4</v>
      </c>
      <c r="G109" s="10">
        <v>1</v>
      </c>
      <c r="H109" s="5" t="str">
        <f t="shared" si="3"/>
        <v>det_316</v>
      </c>
      <c r="I109" s="5" t="str">
        <f t="shared" si="4"/>
        <v>W:\Performance Measurement\1. Freeway\1. raw data\2016\data files\det_316.txt</v>
      </c>
      <c r="J109" s="5" t="str">
        <f t="shared" si="5"/>
        <v>W:\Performance Measurement\1. Freeway\1. raw data\2016\data files\det_316.xlsx</v>
      </c>
      <c r="K109" s="5"/>
      <c r="M109" s="108" t="s">
        <v>65</v>
      </c>
      <c r="N109" s="10">
        <v>316</v>
      </c>
      <c r="O109" s="10">
        <v>4</v>
      </c>
      <c r="P109" s="10">
        <v>1</v>
      </c>
    </row>
    <row r="110" spans="4:16" x14ac:dyDescent="0.25">
      <c r="D110" s="109">
        <v>106</v>
      </c>
      <c r="E110" s="10">
        <v>318</v>
      </c>
      <c r="F110" s="10">
        <v>4</v>
      </c>
      <c r="G110" s="10">
        <v>1</v>
      </c>
      <c r="H110" s="5" t="str">
        <f t="shared" ref="H110:H163" si="6">"det_"&amp;E110&amp;""</f>
        <v>det_318</v>
      </c>
      <c r="I110" s="5" t="str">
        <f t="shared" ref="I110:I172" si="7">$B$5&amp;"\"&amp;H110&amp;".txt"</f>
        <v>W:\Performance Measurement\1. Freeway\1. raw data\2016\data files\det_318.txt</v>
      </c>
      <c r="J110" s="5" t="str">
        <f t="shared" ref="J110:J172" si="8">$B$5&amp;"\"&amp;H110&amp;".xlsx"</f>
        <v>W:\Performance Measurement\1. Freeway\1. raw data\2016\data files\det_318.xlsx</v>
      </c>
      <c r="K110" s="5"/>
      <c r="M110" s="108" t="s">
        <v>65</v>
      </c>
      <c r="N110" s="10">
        <v>318</v>
      </c>
      <c r="O110" s="10">
        <v>4</v>
      </c>
      <c r="P110" s="10">
        <v>1</v>
      </c>
    </row>
    <row r="111" spans="4:16" x14ac:dyDescent="0.25">
      <c r="D111" s="109">
        <v>107</v>
      </c>
      <c r="E111" s="10">
        <v>321</v>
      </c>
      <c r="F111" s="10">
        <v>5</v>
      </c>
      <c r="G111" s="10">
        <v>1</v>
      </c>
      <c r="H111" s="5" t="str">
        <f t="shared" si="6"/>
        <v>det_321</v>
      </c>
      <c r="I111" s="5" t="str">
        <f t="shared" si="7"/>
        <v>W:\Performance Measurement\1. Freeway\1. raw data\2016\data files\det_321.txt</v>
      </c>
      <c r="J111" s="5" t="str">
        <f t="shared" si="8"/>
        <v>W:\Performance Measurement\1. Freeway\1. raw data\2016\data files\det_321.xlsx</v>
      </c>
      <c r="K111" s="5"/>
      <c r="M111" s="108" t="s">
        <v>65</v>
      </c>
      <c r="N111" s="10">
        <v>321</v>
      </c>
      <c r="O111" s="10">
        <v>5</v>
      </c>
      <c r="P111" s="10">
        <v>1</v>
      </c>
    </row>
    <row r="112" spans="4:16" x14ac:dyDescent="0.25">
      <c r="D112" s="109">
        <v>108</v>
      </c>
      <c r="E112" s="10">
        <v>323</v>
      </c>
      <c r="F112" s="10">
        <v>4</v>
      </c>
      <c r="G112" s="10">
        <v>1</v>
      </c>
      <c r="H112" s="5" t="str">
        <f t="shared" si="6"/>
        <v>det_323</v>
      </c>
      <c r="I112" s="5" t="str">
        <f t="shared" si="7"/>
        <v>W:\Performance Measurement\1. Freeway\1. raw data\2016\data files\det_323.txt</v>
      </c>
      <c r="J112" s="5" t="str">
        <f t="shared" si="8"/>
        <v>W:\Performance Measurement\1. Freeway\1. raw data\2016\data files\det_323.xlsx</v>
      </c>
      <c r="K112" s="5"/>
      <c r="M112" s="108" t="s">
        <v>65</v>
      </c>
      <c r="N112" s="10">
        <v>323</v>
      </c>
      <c r="O112" s="10">
        <v>4</v>
      </c>
      <c r="P112" s="10">
        <v>1</v>
      </c>
    </row>
    <row r="113" spans="4:16" x14ac:dyDescent="0.25">
      <c r="D113" s="109">
        <v>109</v>
      </c>
      <c r="E113" s="10">
        <v>325</v>
      </c>
      <c r="F113" s="10">
        <v>3</v>
      </c>
      <c r="G113" s="10">
        <v>1</v>
      </c>
      <c r="H113" s="5" t="str">
        <f t="shared" si="6"/>
        <v>det_325</v>
      </c>
      <c r="I113" s="5" t="str">
        <f t="shared" si="7"/>
        <v>W:\Performance Measurement\1. Freeway\1. raw data\2016\data files\det_325.txt</v>
      </c>
      <c r="J113" s="5" t="str">
        <f t="shared" si="8"/>
        <v>W:\Performance Measurement\1. Freeway\1. raw data\2016\data files\det_325.xlsx</v>
      </c>
      <c r="K113" s="5"/>
      <c r="M113" s="108" t="s">
        <v>65</v>
      </c>
      <c r="N113" s="10">
        <v>325</v>
      </c>
      <c r="O113" s="10">
        <v>3</v>
      </c>
      <c r="P113" s="10">
        <v>1</v>
      </c>
    </row>
    <row r="114" spans="4:16" x14ac:dyDescent="0.25">
      <c r="D114" s="109">
        <v>110</v>
      </c>
      <c r="E114" s="10">
        <v>328</v>
      </c>
      <c r="F114" s="10">
        <v>3</v>
      </c>
      <c r="G114" s="10">
        <v>1</v>
      </c>
      <c r="H114" s="5" t="str">
        <f t="shared" si="6"/>
        <v>det_328</v>
      </c>
      <c r="I114" s="5" t="str">
        <f t="shared" si="7"/>
        <v>W:\Performance Measurement\1. Freeway\1. raw data\2016\data files\det_328.txt</v>
      </c>
      <c r="J114" s="5" t="str">
        <f t="shared" si="8"/>
        <v>W:\Performance Measurement\1. Freeway\1. raw data\2016\data files\det_328.xlsx</v>
      </c>
      <c r="K114" s="5"/>
      <c r="M114" s="108" t="s">
        <v>65</v>
      </c>
      <c r="N114" s="10">
        <v>328</v>
      </c>
      <c r="O114" s="10">
        <v>3</v>
      </c>
      <c r="P114" s="10">
        <v>1</v>
      </c>
    </row>
    <row r="115" spans="4:16" x14ac:dyDescent="0.25">
      <c r="D115" s="109">
        <v>111</v>
      </c>
      <c r="E115" s="10">
        <v>331</v>
      </c>
      <c r="F115" s="10">
        <v>3</v>
      </c>
      <c r="G115" s="10">
        <v>1</v>
      </c>
      <c r="H115" s="5" t="str">
        <f t="shared" si="6"/>
        <v>det_331</v>
      </c>
      <c r="I115" s="5" t="str">
        <f t="shared" si="7"/>
        <v>W:\Performance Measurement\1. Freeway\1. raw data\2016\data files\det_331.txt</v>
      </c>
      <c r="J115" s="5" t="str">
        <f t="shared" si="8"/>
        <v>W:\Performance Measurement\1. Freeway\1. raw data\2016\data files\det_331.xlsx</v>
      </c>
      <c r="K115" s="5"/>
      <c r="M115" s="108" t="s">
        <v>65</v>
      </c>
      <c r="N115" s="10">
        <v>331</v>
      </c>
      <c r="O115" s="10">
        <v>3</v>
      </c>
      <c r="P115" s="10">
        <v>1</v>
      </c>
    </row>
    <row r="116" spans="4:16" x14ac:dyDescent="0.25">
      <c r="D116" s="109">
        <v>112</v>
      </c>
      <c r="E116" s="10">
        <v>334</v>
      </c>
      <c r="F116" s="10">
        <v>3</v>
      </c>
      <c r="G116" s="10">
        <v>1</v>
      </c>
      <c r="H116" s="5" t="str">
        <f t="shared" si="6"/>
        <v>det_334</v>
      </c>
      <c r="I116" s="5" t="str">
        <f t="shared" si="7"/>
        <v>W:\Performance Measurement\1. Freeway\1. raw data\2016\data files\det_334.txt</v>
      </c>
      <c r="J116" s="5" t="str">
        <f t="shared" si="8"/>
        <v>W:\Performance Measurement\1. Freeway\1. raw data\2016\data files\det_334.xlsx</v>
      </c>
      <c r="K116" s="5"/>
      <c r="M116" s="108" t="s">
        <v>65</v>
      </c>
      <c r="N116" s="10">
        <v>334</v>
      </c>
      <c r="O116" s="10">
        <v>3</v>
      </c>
      <c r="P116" s="10">
        <v>1</v>
      </c>
    </row>
    <row r="117" spans="4:16" x14ac:dyDescent="0.25">
      <c r="D117" s="109">
        <v>113</v>
      </c>
      <c r="E117" s="10">
        <v>336</v>
      </c>
      <c r="F117" s="10">
        <v>3</v>
      </c>
      <c r="G117" s="10">
        <v>1</v>
      </c>
      <c r="H117" s="5" t="str">
        <f t="shared" si="6"/>
        <v>det_336</v>
      </c>
      <c r="I117" s="5" t="str">
        <f t="shared" si="7"/>
        <v>W:\Performance Measurement\1. Freeway\1. raw data\2016\data files\det_336.txt</v>
      </c>
      <c r="J117" s="5" t="str">
        <f t="shared" si="8"/>
        <v>W:\Performance Measurement\1. Freeway\1. raw data\2016\data files\det_336.xlsx</v>
      </c>
      <c r="K117" s="5"/>
      <c r="M117" s="108" t="s">
        <v>65</v>
      </c>
      <c r="N117" s="10">
        <v>336</v>
      </c>
      <c r="O117" s="10">
        <v>3</v>
      </c>
      <c r="P117" s="10">
        <v>1</v>
      </c>
    </row>
    <row r="118" spans="4:16" x14ac:dyDescent="0.25">
      <c r="D118" s="109">
        <v>114</v>
      </c>
      <c r="E118" s="10">
        <v>312</v>
      </c>
      <c r="F118" s="10">
        <v>3</v>
      </c>
      <c r="G118" s="10">
        <v>1</v>
      </c>
      <c r="H118" s="5" t="str">
        <f t="shared" si="6"/>
        <v>det_312</v>
      </c>
      <c r="I118" s="5" t="str">
        <f t="shared" si="7"/>
        <v>W:\Performance Measurement\1. Freeway\1. raw data\2016\data files\det_312.txt</v>
      </c>
      <c r="J118" s="5" t="str">
        <f t="shared" si="8"/>
        <v>W:\Performance Measurement\1. Freeway\1. raw data\2016\data files\det_312.xlsx</v>
      </c>
      <c r="K118" s="5"/>
      <c r="M118" s="108" t="s">
        <v>65</v>
      </c>
      <c r="N118" s="10">
        <v>312</v>
      </c>
      <c r="O118" s="10">
        <v>3</v>
      </c>
      <c r="P118" s="10">
        <v>1</v>
      </c>
    </row>
    <row r="119" spans="4:16" x14ac:dyDescent="0.25">
      <c r="D119" s="109">
        <v>115</v>
      </c>
      <c r="E119" s="10">
        <v>309</v>
      </c>
      <c r="F119" s="10">
        <v>3</v>
      </c>
      <c r="G119" s="10">
        <v>1</v>
      </c>
      <c r="H119" s="5" t="str">
        <f t="shared" si="6"/>
        <v>det_309</v>
      </c>
      <c r="I119" s="5" t="str">
        <f t="shared" si="7"/>
        <v>W:\Performance Measurement\1. Freeway\1. raw data\2016\data files\det_309.txt</v>
      </c>
      <c r="J119" s="5" t="str">
        <f t="shared" si="8"/>
        <v>W:\Performance Measurement\1. Freeway\1. raw data\2016\data files\det_309.xlsx</v>
      </c>
      <c r="K119" s="5"/>
      <c r="M119" s="108" t="s">
        <v>65</v>
      </c>
      <c r="N119" s="10">
        <v>309</v>
      </c>
      <c r="O119" s="10">
        <v>3</v>
      </c>
      <c r="P119" s="10">
        <v>1</v>
      </c>
    </row>
    <row r="120" spans="4:16" x14ac:dyDescent="0.25">
      <c r="D120" s="109">
        <v>116</v>
      </c>
      <c r="E120" s="10">
        <v>306</v>
      </c>
      <c r="F120" s="10">
        <v>3</v>
      </c>
      <c r="G120" s="10">
        <v>1</v>
      </c>
      <c r="H120" s="5" t="str">
        <f t="shared" si="6"/>
        <v>det_306</v>
      </c>
      <c r="I120" s="5" t="str">
        <f t="shared" si="7"/>
        <v>W:\Performance Measurement\1. Freeway\1. raw data\2016\data files\det_306.txt</v>
      </c>
      <c r="J120" s="5" t="str">
        <f t="shared" si="8"/>
        <v>W:\Performance Measurement\1. Freeway\1. raw data\2016\data files\det_306.xlsx</v>
      </c>
      <c r="K120" s="5"/>
      <c r="M120" s="108" t="s">
        <v>65</v>
      </c>
      <c r="N120" s="10">
        <v>306</v>
      </c>
      <c r="O120" s="10">
        <v>3</v>
      </c>
      <c r="P120" s="10">
        <v>1</v>
      </c>
    </row>
    <row r="121" spans="4:16" x14ac:dyDescent="0.25">
      <c r="D121" s="109">
        <v>117</v>
      </c>
      <c r="E121" s="10">
        <v>303</v>
      </c>
      <c r="F121" s="10">
        <v>3</v>
      </c>
      <c r="G121" s="10">
        <v>1</v>
      </c>
      <c r="H121" s="5" t="str">
        <f t="shared" si="6"/>
        <v>det_303</v>
      </c>
      <c r="I121" s="5" t="str">
        <f t="shared" si="7"/>
        <v>W:\Performance Measurement\1. Freeway\1. raw data\2016\data files\det_303.txt</v>
      </c>
      <c r="J121" s="5" t="str">
        <f t="shared" si="8"/>
        <v>W:\Performance Measurement\1. Freeway\1. raw data\2016\data files\det_303.xlsx</v>
      </c>
      <c r="K121" s="5"/>
      <c r="M121" s="108" t="s">
        <v>65</v>
      </c>
      <c r="N121" s="10">
        <v>303</v>
      </c>
      <c r="O121" s="10">
        <v>3</v>
      </c>
      <c r="P121" s="10">
        <v>1</v>
      </c>
    </row>
    <row r="122" spans="4:16" x14ac:dyDescent="0.25">
      <c r="D122" s="109">
        <v>118</v>
      </c>
      <c r="E122" s="10">
        <v>300</v>
      </c>
      <c r="F122" s="10">
        <v>3</v>
      </c>
      <c r="G122" s="10">
        <v>1</v>
      </c>
      <c r="H122" s="5" t="str">
        <f t="shared" si="6"/>
        <v>det_300</v>
      </c>
      <c r="I122" s="5" t="str">
        <f t="shared" si="7"/>
        <v>W:\Performance Measurement\1. Freeway\1. raw data\2016\data files\det_300.txt</v>
      </c>
      <c r="J122" s="5" t="str">
        <f t="shared" si="8"/>
        <v>W:\Performance Measurement\1. Freeway\1. raw data\2016\data files\det_300.xlsx</v>
      </c>
      <c r="K122" s="5"/>
      <c r="M122" s="108" t="s">
        <v>65</v>
      </c>
      <c r="N122" s="10">
        <v>300</v>
      </c>
      <c r="O122" s="10">
        <v>3</v>
      </c>
      <c r="P122" s="10">
        <v>1</v>
      </c>
    </row>
    <row r="123" spans="4:16" x14ac:dyDescent="0.25">
      <c r="D123" s="109">
        <v>119</v>
      </c>
      <c r="E123" s="10">
        <v>299</v>
      </c>
      <c r="F123" s="10">
        <v>4</v>
      </c>
      <c r="G123" s="10">
        <v>1</v>
      </c>
      <c r="H123" s="5" t="str">
        <f t="shared" si="6"/>
        <v>det_299</v>
      </c>
      <c r="I123" s="5" t="str">
        <f t="shared" si="7"/>
        <v>W:\Performance Measurement\1. Freeway\1. raw data\2016\data files\det_299.txt</v>
      </c>
      <c r="J123" s="5" t="str">
        <f t="shared" si="8"/>
        <v>W:\Performance Measurement\1. Freeway\1. raw data\2016\data files\det_299.xlsx</v>
      </c>
      <c r="K123" s="5"/>
      <c r="M123" s="108" t="s">
        <v>65</v>
      </c>
      <c r="N123" s="10">
        <v>299</v>
      </c>
      <c r="O123" s="10">
        <v>4</v>
      </c>
      <c r="P123" s="10">
        <v>1</v>
      </c>
    </row>
    <row r="124" spans="4:16" x14ac:dyDescent="0.25">
      <c r="D124" s="109">
        <v>120</v>
      </c>
      <c r="E124" s="10">
        <v>297</v>
      </c>
      <c r="F124" s="10">
        <v>5</v>
      </c>
      <c r="G124" s="10">
        <v>1</v>
      </c>
      <c r="H124" s="5" t="str">
        <f t="shared" si="6"/>
        <v>det_297</v>
      </c>
      <c r="I124" s="5" t="str">
        <f t="shared" si="7"/>
        <v>W:\Performance Measurement\1. Freeway\1. raw data\2016\data files\det_297.txt</v>
      </c>
      <c r="J124" s="5" t="str">
        <f t="shared" si="8"/>
        <v>W:\Performance Measurement\1. Freeway\1. raw data\2016\data files\det_297.xlsx</v>
      </c>
      <c r="K124" s="5"/>
      <c r="M124" s="108" t="s">
        <v>65</v>
      </c>
      <c r="N124" s="10">
        <v>297</v>
      </c>
      <c r="O124" s="10">
        <v>5</v>
      </c>
      <c r="P124" s="10">
        <v>1</v>
      </c>
    </row>
    <row r="125" spans="4:16" x14ac:dyDescent="0.25">
      <c r="D125" s="109">
        <v>121</v>
      </c>
      <c r="E125" s="10">
        <v>294</v>
      </c>
      <c r="F125" s="10">
        <v>4</v>
      </c>
      <c r="G125" s="10">
        <v>1</v>
      </c>
      <c r="H125" s="5" t="str">
        <f t="shared" si="6"/>
        <v>det_294</v>
      </c>
      <c r="I125" s="5" t="str">
        <f t="shared" si="7"/>
        <v>W:\Performance Measurement\1. Freeway\1. raw data\2016\data files\det_294.txt</v>
      </c>
      <c r="J125" s="5" t="str">
        <f t="shared" si="8"/>
        <v>W:\Performance Measurement\1. Freeway\1. raw data\2016\data files\det_294.xlsx</v>
      </c>
      <c r="K125" s="5"/>
      <c r="M125" s="108" t="s">
        <v>65</v>
      </c>
      <c r="N125" s="10">
        <v>294</v>
      </c>
      <c r="O125" s="10">
        <v>4</v>
      </c>
      <c r="P125" s="10">
        <v>1</v>
      </c>
    </row>
    <row r="126" spans="4:16" x14ac:dyDescent="0.25">
      <c r="D126" s="109">
        <v>122</v>
      </c>
      <c r="E126" s="10">
        <v>292</v>
      </c>
      <c r="F126" s="10">
        <v>4</v>
      </c>
      <c r="G126" s="10">
        <v>1</v>
      </c>
      <c r="H126" s="5" t="str">
        <f t="shared" si="6"/>
        <v>det_292</v>
      </c>
      <c r="I126" s="5" t="str">
        <f t="shared" si="7"/>
        <v>W:\Performance Measurement\1. Freeway\1. raw data\2016\data files\det_292.txt</v>
      </c>
      <c r="J126" s="5" t="str">
        <f t="shared" si="8"/>
        <v>W:\Performance Measurement\1. Freeway\1. raw data\2016\data files\det_292.xlsx</v>
      </c>
      <c r="K126" s="5"/>
      <c r="M126" s="108" t="s">
        <v>65</v>
      </c>
      <c r="N126" s="10">
        <v>292</v>
      </c>
      <c r="O126" s="10">
        <v>4</v>
      </c>
      <c r="P126" s="10">
        <v>1</v>
      </c>
    </row>
    <row r="127" spans="4:16" x14ac:dyDescent="0.25">
      <c r="D127" s="109">
        <v>123</v>
      </c>
      <c r="E127" s="10">
        <v>621</v>
      </c>
      <c r="F127" s="10">
        <v>4</v>
      </c>
      <c r="G127" s="10">
        <v>0</v>
      </c>
      <c r="H127" s="5" t="str">
        <f t="shared" si="6"/>
        <v>det_621</v>
      </c>
      <c r="I127" s="5" t="str">
        <f t="shared" si="7"/>
        <v>W:\Performance Measurement\1. Freeway\1. raw data\2016\data files\det_621.txt</v>
      </c>
      <c r="J127" s="5" t="str">
        <f t="shared" si="8"/>
        <v>W:\Performance Measurement\1. Freeway\1. raw data\2016\data files\det_621.xlsx</v>
      </c>
      <c r="K127" s="5"/>
      <c r="M127" s="108" t="s">
        <v>65</v>
      </c>
      <c r="N127" s="10">
        <v>621</v>
      </c>
      <c r="O127" s="10">
        <v>4</v>
      </c>
      <c r="P127" s="10">
        <v>0</v>
      </c>
    </row>
    <row r="128" spans="4:16" x14ac:dyDescent="0.25">
      <c r="D128" s="109">
        <v>124</v>
      </c>
      <c r="E128" s="10">
        <v>622</v>
      </c>
      <c r="F128" s="10">
        <v>4</v>
      </c>
      <c r="G128" s="10">
        <v>0</v>
      </c>
      <c r="H128" s="5" t="str">
        <f t="shared" si="6"/>
        <v>det_622</v>
      </c>
      <c r="I128" s="5" t="str">
        <f t="shared" si="7"/>
        <v>W:\Performance Measurement\1. Freeway\1. raw data\2016\data files\det_622.txt</v>
      </c>
      <c r="J128" s="5" t="str">
        <f t="shared" si="8"/>
        <v>W:\Performance Measurement\1. Freeway\1. raw data\2016\data files\det_622.xlsx</v>
      </c>
      <c r="K128" s="5"/>
      <c r="M128" s="108" t="s">
        <v>65</v>
      </c>
      <c r="N128" s="10">
        <v>622</v>
      </c>
      <c r="O128" s="10">
        <v>4</v>
      </c>
      <c r="P128" s="10">
        <v>0</v>
      </c>
    </row>
    <row r="129" spans="4:16" x14ac:dyDescent="0.25">
      <c r="D129" s="109">
        <v>125</v>
      </c>
      <c r="E129" s="10">
        <v>623</v>
      </c>
      <c r="F129" s="10">
        <v>4</v>
      </c>
      <c r="G129" s="10">
        <v>0</v>
      </c>
      <c r="H129" s="5" t="str">
        <f t="shared" si="6"/>
        <v>det_623</v>
      </c>
      <c r="I129" s="5" t="str">
        <f t="shared" si="7"/>
        <v>W:\Performance Measurement\1. Freeway\1. raw data\2016\data files\det_623.txt</v>
      </c>
      <c r="J129" s="5" t="str">
        <f t="shared" si="8"/>
        <v>W:\Performance Measurement\1. Freeway\1. raw data\2016\data files\det_623.xlsx</v>
      </c>
      <c r="K129" s="5"/>
      <c r="M129" s="108" t="s">
        <v>65</v>
      </c>
      <c r="N129" s="10">
        <v>623</v>
      </c>
      <c r="O129" s="10">
        <v>4</v>
      </c>
      <c r="P129" s="10">
        <v>0</v>
      </c>
    </row>
    <row r="130" spans="4:16" x14ac:dyDescent="0.25">
      <c r="D130" s="109">
        <v>126</v>
      </c>
      <c r="E130" s="10">
        <v>229</v>
      </c>
      <c r="F130" s="10">
        <v>2</v>
      </c>
      <c r="G130" s="10">
        <v>1</v>
      </c>
      <c r="H130" s="5" t="str">
        <f t="shared" si="6"/>
        <v>det_229</v>
      </c>
      <c r="I130" s="5" t="str">
        <f t="shared" si="7"/>
        <v>W:\Performance Measurement\1. Freeway\1. raw data\2016\data files\det_229.txt</v>
      </c>
      <c r="J130" s="5" t="str">
        <f t="shared" si="8"/>
        <v>W:\Performance Measurement\1. Freeway\1. raw data\2016\data files\det_229.xlsx</v>
      </c>
      <c r="K130" s="5"/>
      <c r="M130" s="108" t="s">
        <v>66</v>
      </c>
      <c r="N130" s="10">
        <v>229</v>
      </c>
      <c r="O130" s="10">
        <v>2</v>
      </c>
      <c r="P130" s="10">
        <v>1</v>
      </c>
    </row>
    <row r="131" spans="4:16" x14ac:dyDescent="0.25">
      <c r="D131" s="109">
        <v>127</v>
      </c>
      <c r="E131" s="112">
        <v>230</v>
      </c>
      <c r="F131" s="112">
        <v>4</v>
      </c>
      <c r="G131" s="112">
        <v>1</v>
      </c>
      <c r="H131" s="5" t="str">
        <f t="shared" si="6"/>
        <v>det_230</v>
      </c>
      <c r="I131" s="5" t="str">
        <f t="shared" si="7"/>
        <v>W:\Performance Measurement\1. Freeway\1. raw data\2016\data files\det_230.txt</v>
      </c>
      <c r="J131" s="5" t="str">
        <f t="shared" si="8"/>
        <v>W:\Performance Measurement\1. Freeway\1. raw data\2016\data files\det_230.xlsx</v>
      </c>
      <c r="K131" s="5"/>
      <c r="M131" s="108" t="s">
        <v>66</v>
      </c>
      <c r="N131" s="112">
        <v>230</v>
      </c>
      <c r="O131" s="112">
        <v>4</v>
      </c>
      <c r="P131" s="112">
        <v>1</v>
      </c>
    </row>
    <row r="132" spans="4:16" x14ac:dyDescent="0.25">
      <c r="D132" s="109">
        <v>128</v>
      </c>
      <c r="E132" s="10">
        <v>233</v>
      </c>
      <c r="F132" s="10">
        <v>3</v>
      </c>
      <c r="G132" s="10">
        <v>1</v>
      </c>
      <c r="H132" s="5" t="str">
        <f t="shared" si="6"/>
        <v>det_233</v>
      </c>
      <c r="I132" s="5" t="str">
        <f t="shared" si="7"/>
        <v>W:\Performance Measurement\1. Freeway\1. raw data\2016\data files\det_233.txt</v>
      </c>
      <c r="J132" s="5" t="str">
        <f t="shared" si="8"/>
        <v>W:\Performance Measurement\1. Freeway\1. raw data\2016\data files\det_233.xlsx</v>
      </c>
      <c r="K132" s="5"/>
      <c r="M132" s="108" t="s">
        <v>66</v>
      </c>
      <c r="N132" s="10">
        <v>233</v>
      </c>
      <c r="O132" s="10">
        <v>3</v>
      </c>
      <c r="P132" s="10">
        <v>1</v>
      </c>
    </row>
    <row r="133" spans="4:16" x14ac:dyDescent="0.25">
      <c r="D133" s="109">
        <v>129</v>
      </c>
      <c r="E133" s="10">
        <v>235</v>
      </c>
      <c r="F133" s="10">
        <v>5</v>
      </c>
      <c r="G133" s="10">
        <v>1</v>
      </c>
      <c r="H133" s="5" t="str">
        <f t="shared" si="6"/>
        <v>det_235</v>
      </c>
      <c r="I133" s="5" t="str">
        <f t="shared" si="7"/>
        <v>W:\Performance Measurement\1. Freeway\1. raw data\2016\data files\det_235.txt</v>
      </c>
      <c r="J133" s="5" t="str">
        <f t="shared" si="8"/>
        <v>W:\Performance Measurement\1. Freeway\1. raw data\2016\data files\det_235.xlsx</v>
      </c>
      <c r="K133" s="5"/>
      <c r="M133" s="108" t="s">
        <v>66</v>
      </c>
      <c r="N133" s="10">
        <v>235</v>
      </c>
      <c r="O133" s="10">
        <v>5</v>
      </c>
      <c r="P133" s="10">
        <v>1</v>
      </c>
    </row>
    <row r="134" spans="4:16" x14ac:dyDescent="0.25">
      <c r="D134" s="109">
        <v>130</v>
      </c>
      <c r="E134" s="10">
        <v>237</v>
      </c>
      <c r="F134" s="10">
        <v>3</v>
      </c>
      <c r="G134" s="10">
        <v>1</v>
      </c>
      <c r="H134" s="5" t="str">
        <f t="shared" si="6"/>
        <v>det_237</v>
      </c>
      <c r="I134" s="5" t="str">
        <f t="shared" si="7"/>
        <v>W:\Performance Measurement\1. Freeway\1. raw data\2016\data files\det_237.txt</v>
      </c>
      <c r="J134" s="5" t="str">
        <f t="shared" si="8"/>
        <v>W:\Performance Measurement\1. Freeway\1. raw data\2016\data files\det_237.xlsx</v>
      </c>
      <c r="K134" s="5"/>
      <c r="M134" s="108" t="s">
        <v>66</v>
      </c>
      <c r="N134" s="10">
        <v>237</v>
      </c>
      <c r="O134" s="10">
        <v>3</v>
      </c>
      <c r="P134" s="10">
        <v>1</v>
      </c>
    </row>
    <row r="135" spans="4:16" x14ac:dyDescent="0.25">
      <c r="D135" s="109">
        <v>131</v>
      </c>
      <c r="E135" s="10">
        <v>239</v>
      </c>
      <c r="F135" s="10">
        <v>4</v>
      </c>
      <c r="G135" s="10">
        <v>1</v>
      </c>
      <c r="H135" s="5" t="str">
        <f t="shared" si="6"/>
        <v>det_239</v>
      </c>
      <c r="I135" s="5" t="str">
        <f t="shared" si="7"/>
        <v>W:\Performance Measurement\1. Freeway\1. raw data\2016\data files\det_239.txt</v>
      </c>
      <c r="J135" s="5" t="str">
        <f t="shared" si="8"/>
        <v>W:\Performance Measurement\1. Freeway\1. raw data\2016\data files\det_239.xlsx</v>
      </c>
      <c r="K135" s="5"/>
      <c r="M135" s="108" t="s">
        <v>66</v>
      </c>
      <c r="N135" s="10">
        <v>239</v>
      </c>
      <c r="O135" s="10">
        <v>4</v>
      </c>
      <c r="P135" s="10">
        <v>1</v>
      </c>
    </row>
    <row r="136" spans="4:16" x14ac:dyDescent="0.25">
      <c r="D136" s="109">
        <v>132</v>
      </c>
      <c r="E136" s="10">
        <v>241</v>
      </c>
      <c r="F136" s="10">
        <v>3</v>
      </c>
      <c r="G136" s="10">
        <v>1</v>
      </c>
      <c r="H136" s="5" t="str">
        <f t="shared" si="6"/>
        <v>det_241</v>
      </c>
      <c r="I136" s="5" t="str">
        <f t="shared" si="7"/>
        <v>W:\Performance Measurement\1. Freeway\1. raw data\2016\data files\det_241.txt</v>
      </c>
      <c r="J136" s="5" t="str">
        <f t="shared" si="8"/>
        <v>W:\Performance Measurement\1. Freeway\1. raw data\2016\data files\det_241.xlsx</v>
      </c>
      <c r="K136" s="5"/>
      <c r="M136" s="108" t="s">
        <v>66</v>
      </c>
      <c r="N136" s="10">
        <v>241</v>
      </c>
      <c r="O136" s="10">
        <v>3</v>
      </c>
      <c r="P136" s="10">
        <v>1</v>
      </c>
    </row>
    <row r="137" spans="4:16" x14ac:dyDescent="0.25">
      <c r="D137" s="109">
        <v>133</v>
      </c>
      <c r="E137" s="10">
        <v>243</v>
      </c>
      <c r="F137" s="10">
        <v>4</v>
      </c>
      <c r="G137" s="10">
        <v>1</v>
      </c>
      <c r="H137" s="5" t="str">
        <f t="shared" si="6"/>
        <v>det_243</v>
      </c>
      <c r="I137" s="5" t="str">
        <f t="shared" si="7"/>
        <v>W:\Performance Measurement\1. Freeway\1. raw data\2016\data files\det_243.txt</v>
      </c>
      <c r="J137" s="5" t="str">
        <f t="shared" si="8"/>
        <v>W:\Performance Measurement\1. Freeway\1. raw data\2016\data files\det_243.xlsx</v>
      </c>
      <c r="K137" s="5"/>
      <c r="M137" s="108" t="s">
        <v>66</v>
      </c>
      <c r="N137" s="10">
        <v>243</v>
      </c>
      <c r="O137" s="10">
        <v>4</v>
      </c>
      <c r="P137" s="10">
        <v>1</v>
      </c>
    </row>
    <row r="138" spans="4:16" x14ac:dyDescent="0.25">
      <c r="D138" s="109">
        <v>134</v>
      </c>
      <c r="E138" s="10">
        <v>245</v>
      </c>
      <c r="F138" s="10">
        <v>4</v>
      </c>
      <c r="G138" s="10">
        <v>1</v>
      </c>
      <c r="H138" s="5" t="str">
        <f t="shared" si="6"/>
        <v>det_245</v>
      </c>
      <c r="I138" s="5" t="str">
        <f t="shared" si="7"/>
        <v>W:\Performance Measurement\1. Freeway\1. raw data\2016\data files\det_245.txt</v>
      </c>
      <c r="J138" s="5" t="str">
        <f t="shared" si="8"/>
        <v>W:\Performance Measurement\1. Freeway\1. raw data\2016\data files\det_245.xlsx</v>
      </c>
      <c r="K138" s="5"/>
      <c r="M138" s="108" t="s">
        <v>66</v>
      </c>
      <c r="N138" s="10">
        <v>245</v>
      </c>
      <c r="O138" s="10">
        <v>4</v>
      </c>
      <c r="P138" s="10">
        <v>1</v>
      </c>
    </row>
    <row r="139" spans="4:16" x14ac:dyDescent="0.25">
      <c r="D139" s="109">
        <v>135</v>
      </c>
      <c r="E139" s="10">
        <v>246</v>
      </c>
      <c r="F139" s="10">
        <v>5</v>
      </c>
      <c r="G139" s="10">
        <v>1</v>
      </c>
      <c r="H139" s="5" t="str">
        <f t="shared" si="6"/>
        <v>det_246</v>
      </c>
      <c r="I139" s="5" t="str">
        <f t="shared" si="7"/>
        <v>W:\Performance Measurement\1. Freeway\1. raw data\2016\data files\det_246.txt</v>
      </c>
      <c r="J139" s="5" t="str">
        <f t="shared" si="8"/>
        <v>W:\Performance Measurement\1. Freeway\1. raw data\2016\data files\det_246.xlsx</v>
      </c>
      <c r="K139" s="5"/>
      <c r="M139" s="108" t="s">
        <v>66</v>
      </c>
      <c r="N139" s="10">
        <v>246</v>
      </c>
      <c r="O139" s="10">
        <v>5</v>
      </c>
      <c r="P139" s="10">
        <v>1</v>
      </c>
    </row>
    <row r="140" spans="4:16" x14ac:dyDescent="0.25">
      <c r="D140" s="109">
        <v>136</v>
      </c>
      <c r="E140" s="10">
        <v>248</v>
      </c>
      <c r="F140" s="10">
        <v>4</v>
      </c>
      <c r="G140" s="10">
        <v>1</v>
      </c>
      <c r="H140" s="5" t="str">
        <f t="shared" si="6"/>
        <v>det_248</v>
      </c>
      <c r="I140" s="5" t="str">
        <f t="shared" si="7"/>
        <v>W:\Performance Measurement\1. Freeway\1. raw data\2016\data files\det_248.txt</v>
      </c>
      <c r="J140" s="5" t="str">
        <f t="shared" si="8"/>
        <v>W:\Performance Measurement\1. Freeway\1. raw data\2016\data files\det_248.xlsx</v>
      </c>
      <c r="K140" s="5"/>
      <c r="M140" s="108" t="s">
        <v>66</v>
      </c>
      <c r="N140" s="10">
        <v>248</v>
      </c>
      <c r="O140" s="10">
        <v>4</v>
      </c>
      <c r="P140" s="10">
        <v>1</v>
      </c>
    </row>
    <row r="141" spans="4:16" x14ac:dyDescent="0.25">
      <c r="D141" s="109">
        <v>137</v>
      </c>
      <c r="E141" s="10">
        <v>250</v>
      </c>
      <c r="F141" s="10">
        <v>5</v>
      </c>
      <c r="G141" s="10">
        <v>1</v>
      </c>
      <c r="H141" s="5" t="str">
        <f t="shared" si="6"/>
        <v>det_250</v>
      </c>
      <c r="I141" s="5" t="str">
        <f t="shared" si="7"/>
        <v>W:\Performance Measurement\1. Freeway\1. raw data\2016\data files\det_250.txt</v>
      </c>
      <c r="J141" s="5" t="str">
        <f t="shared" si="8"/>
        <v>W:\Performance Measurement\1. Freeway\1. raw data\2016\data files\det_250.xlsx</v>
      </c>
      <c r="K141" s="5"/>
      <c r="M141" s="108" t="s">
        <v>66</v>
      </c>
      <c r="N141" s="10">
        <v>250</v>
      </c>
      <c r="O141" s="10">
        <v>5</v>
      </c>
      <c r="P141" s="10">
        <v>1</v>
      </c>
    </row>
    <row r="142" spans="4:16" x14ac:dyDescent="0.25">
      <c r="D142" s="109">
        <v>138</v>
      </c>
      <c r="E142" s="10">
        <v>252</v>
      </c>
      <c r="F142" s="10">
        <v>4</v>
      </c>
      <c r="G142" s="10">
        <v>1</v>
      </c>
      <c r="H142" s="5" t="str">
        <f t="shared" si="6"/>
        <v>det_252</v>
      </c>
      <c r="I142" s="5" t="str">
        <f t="shared" si="7"/>
        <v>W:\Performance Measurement\1. Freeway\1. raw data\2016\data files\det_252.txt</v>
      </c>
      <c r="J142" s="5" t="str">
        <f t="shared" si="8"/>
        <v>W:\Performance Measurement\1. Freeway\1. raw data\2016\data files\det_252.xlsx</v>
      </c>
      <c r="K142" s="5"/>
      <c r="M142" s="108" t="s">
        <v>66</v>
      </c>
      <c r="N142" s="10">
        <v>252</v>
      </c>
      <c r="O142" s="10">
        <v>4</v>
      </c>
      <c r="P142" s="10">
        <v>1</v>
      </c>
    </row>
    <row r="143" spans="4:16" x14ac:dyDescent="0.25">
      <c r="D143" s="109">
        <v>139</v>
      </c>
      <c r="E143" s="10">
        <v>254</v>
      </c>
      <c r="F143" s="10">
        <v>5</v>
      </c>
      <c r="G143" s="10">
        <v>1</v>
      </c>
      <c r="H143" s="5" t="str">
        <f t="shared" si="6"/>
        <v>det_254</v>
      </c>
      <c r="I143" s="5" t="str">
        <f t="shared" si="7"/>
        <v>W:\Performance Measurement\1. Freeway\1. raw data\2016\data files\det_254.txt</v>
      </c>
      <c r="J143" s="5" t="str">
        <f t="shared" si="8"/>
        <v>W:\Performance Measurement\1. Freeway\1. raw data\2016\data files\det_254.xlsx</v>
      </c>
      <c r="K143" s="5"/>
      <c r="M143" s="108" t="s">
        <v>66</v>
      </c>
      <c r="N143" s="10">
        <v>254</v>
      </c>
      <c r="O143" s="10">
        <v>5</v>
      </c>
      <c r="P143" s="10">
        <v>1</v>
      </c>
    </row>
    <row r="144" spans="4:16" x14ac:dyDescent="0.25">
      <c r="D144" s="109">
        <v>140</v>
      </c>
      <c r="E144" s="10">
        <v>272</v>
      </c>
      <c r="F144" s="10">
        <v>2</v>
      </c>
      <c r="G144" s="10">
        <v>1</v>
      </c>
      <c r="H144" s="5" t="str">
        <f t="shared" si="6"/>
        <v>det_272</v>
      </c>
      <c r="I144" s="5" t="str">
        <f t="shared" si="7"/>
        <v>W:\Performance Measurement\1. Freeway\1. raw data\2016\data files\det_272.txt</v>
      </c>
      <c r="J144" s="5" t="str">
        <f t="shared" si="8"/>
        <v>W:\Performance Measurement\1. Freeway\1. raw data\2016\data files\det_272.xlsx</v>
      </c>
      <c r="K144" s="5"/>
      <c r="M144" s="108" t="s">
        <v>66</v>
      </c>
      <c r="N144" s="10">
        <v>272</v>
      </c>
      <c r="O144" s="10">
        <v>2</v>
      </c>
      <c r="P144" s="10">
        <v>1</v>
      </c>
    </row>
    <row r="145" spans="4:16" x14ac:dyDescent="0.25">
      <c r="D145" s="109">
        <v>141</v>
      </c>
      <c r="E145" s="10">
        <v>275</v>
      </c>
      <c r="F145" s="10">
        <v>4</v>
      </c>
      <c r="G145" s="10">
        <v>1</v>
      </c>
      <c r="H145" s="5" t="str">
        <f t="shared" si="6"/>
        <v>det_275</v>
      </c>
      <c r="I145" s="5" t="str">
        <f t="shared" si="7"/>
        <v>W:\Performance Measurement\1. Freeway\1. raw data\2016\data files\det_275.txt</v>
      </c>
      <c r="J145" s="5" t="str">
        <f t="shared" si="8"/>
        <v>W:\Performance Measurement\1. Freeway\1. raw data\2016\data files\det_275.xlsx</v>
      </c>
      <c r="K145" s="5"/>
      <c r="M145" s="108" t="s">
        <v>66</v>
      </c>
      <c r="N145" s="10">
        <v>275</v>
      </c>
      <c r="O145" s="10">
        <v>4</v>
      </c>
      <c r="P145" s="10">
        <v>1</v>
      </c>
    </row>
    <row r="146" spans="4:16" x14ac:dyDescent="0.25">
      <c r="D146" s="109">
        <v>142</v>
      </c>
      <c r="E146" s="10">
        <v>278</v>
      </c>
      <c r="F146" s="10">
        <v>4</v>
      </c>
      <c r="G146" s="10">
        <v>1</v>
      </c>
      <c r="H146" s="5" t="str">
        <f t="shared" si="6"/>
        <v>det_278</v>
      </c>
      <c r="I146" s="5" t="str">
        <f t="shared" si="7"/>
        <v>W:\Performance Measurement\1. Freeway\1. raw data\2016\data files\det_278.txt</v>
      </c>
      <c r="J146" s="5" t="str">
        <f t="shared" si="8"/>
        <v>W:\Performance Measurement\1. Freeway\1. raw data\2016\data files\det_278.xlsx</v>
      </c>
      <c r="K146" s="5"/>
      <c r="M146" s="108" t="s">
        <v>66</v>
      </c>
      <c r="N146" s="10">
        <v>278</v>
      </c>
      <c r="O146" s="10">
        <v>4</v>
      </c>
      <c r="P146" s="10">
        <v>1</v>
      </c>
    </row>
    <row r="147" spans="4:16" x14ac:dyDescent="0.25">
      <c r="D147" s="109">
        <v>143</v>
      </c>
      <c r="E147" s="10">
        <v>281</v>
      </c>
      <c r="F147" s="10">
        <v>4</v>
      </c>
      <c r="G147" s="10">
        <v>1</v>
      </c>
      <c r="H147" s="5" t="str">
        <f t="shared" si="6"/>
        <v>det_281</v>
      </c>
      <c r="I147" s="5" t="str">
        <f t="shared" si="7"/>
        <v>W:\Performance Measurement\1. Freeway\1. raw data\2016\data files\det_281.txt</v>
      </c>
      <c r="J147" s="5" t="str">
        <f t="shared" si="8"/>
        <v>W:\Performance Measurement\1. Freeway\1. raw data\2016\data files\det_281.xlsx</v>
      </c>
      <c r="K147" s="5"/>
      <c r="M147" s="108" t="s">
        <v>66</v>
      </c>
      <c r="N147" s="10">
        <v>281</v>
      </c>
      <c r="O147" s="10">
        <v>4</v>
      </c>
      <c r="P147" s="10">
        <v>1</v>
      </c>
    </row>
    <row r="148" spans="4:16" x14ac:dyDescent="0.25">
      <c r="D148" s="109">
        <v>144</v>
      </c>
      <c r="E148" s="10">
        <v>284</v>
      </c>
      <c r="F148" s="10">
        <v>3</v>
      </c>
      <c r="G148" s="10">
        <v>1</v>
      </c>
      <c r="H148" s="5" t="str">
        <f t="shared" si="6"/>
        <v>det_284</v>
      </c>
      <c r="I148" s="5" t="str">
        <f t="shared" si="7"/>
        <v>W:\Performance Measurement\1. Freeway\1. raw data\2016\data files\det_284.txt</v>
      </c>
      <c r="J148" s="5" t="str">
        <f t="shared" si="8"/>
        <v>W:\Performance Measurement\1. Freeway\1. raw data\2016\data files\det_284.xlsx</v>
      </c>
      <c r="K148" s="5"/>
      <c r="M148" s="108" t="s">
        <v>66</v>
      </c>
      <c r="N148" s="10">
        <v>284</v>
      </c>
      <c r="O148" s="10">
        <v>3</v>
      </c>
      <c r="P148" s="10">
        <v>1</v>
      </c>
    </row>
    <row r="149" spans="4:16" x14ac:dyDescent="0.25">
      <c r="D149" s="109">
        <v>145</v>
      </c>
      <c r="E149" s="10">
        <v>286</v>
      </c>
      <c r="F149" s="10">
        <v>3</v>
      </c>
      <c r="G149" s="10">
        <v>1</v>
      </c>
      <c r="H149" s="5" t="str">
        <f t="shared" si="6"/>
        <v>det_286</v>
      </c>
      <c r="I149" s="5" t="str">
        <f t="shared" si="7"/>
        <v>W:\Performance Measurement\1. Freeway\1. raw data\2016\data files\det_286.txt</v>
      </c>
      <c r="J149" s="5" t="str">
        <f t="shared" si="8"/>
        <v>W:\Performance Measurement\1. Freeway\1. raw data\2016\data files\det_286.xlsx</v>
      </c>
      <c r="K149" s="5"/>
      <c r="M149" s="108" t="s">
        <v>66</v>
      </c>
      <c r="N149" s="10">
        <v>286</v>
      </c>
      <c r="O149" s="10">
        <v>3</v>
      </c>
      <c r="P149" s="10">
        <v>1</v>
      </c>
    </row>
    <row r="150" spans="4:16" x14ac:dyDescent="0.25">
      <c r="D150" s="109">
        <v>146</v>
      </c>
      <c r="E150" s="10">
        <v>288</v>
      </c>
      <c r="F150" s="10">
        <v>3</v>
      </c>
      <c r="G150" s="10">
        <v>1</v>
      </c>
      <c r="H150" s="5" t="str">
        <f t="shared" si="6"/>
        <v>det_288</v>
      </c>
      <c r="I150" s="5" t="str">
        <f t="shared" si="7"/>
        <v>W:\Performance Measurement\1. Freeway\1. raw data\2016\data files\det_288.txt</v>
      </c>
      <c r="J150" s="5" t="str">
        <f t="shared" si="8"/>
        <v>W:\Performance Measurement\1. Freeway\1. raw data\2016\data files\det_288.xlsx</v>
      </c>
      <c r="K150" s="5"/>
      <c r="M150" s="108" t="s">
        <v>66</v>
      </c>
      <c r="N150" s="10">
        <v>288</v>
      </c>
      <c r="O150" s="10">
        <v>3</v>
      </c>
      <c r="P150" s="10">
        <v>1</v>
      </c>
    </row>
    <row r="151" spans="4:16" x14ac:dyDescent="0.25">
      <c r="D151" s="109">
        <v>147</v>
      </c>
      <c r="E151" s="10">
        <v>225</v>
      </c>
      <c r="F151" s="10">
        <v>3</v>
      </c>
      <c r="G151" s="10">
        <v>1</v>
      </c>
      <c r="H151" s="5" t="str">
        <f t="shared" si="6"/>
        <v>det_225</v>
      </c>
      <c r="I151" s="5" t="str">
        <f t="shared" si="7"/>
        <v>W:\Performance Measurement\1. Freeway\1. raw data\2016\data files\det_225.txt</v>
      </c>
      <c r="J151" s="5" t="str">
        <f t="shared" si="8"/>
        <v>W:\Performance Measurement\1. Freeway\1. raw data\2016\data files\det_225.xlsx</v>
      </c>
      <c r="K151" s="5"/>
      <c r="M151" s="108" t="s">
        <v>66</v>
      </c>
      <c r="N151" s="10">
        <v>225</v>
      </c>
      <c r="O151" s="10">
        <v>3</v>
      </c>
      <c r="P151" s="10">
        <v>1</v>
      </c>
    </row>
    <row r="152" spans="4:16" x14ac:dyDescent="0.25">
      <c r="D152" s="109">
        <v>148</v>
      </c>
      <c r="E152" s="10">
        <v>223</v>
      </c>
      <c r="F152" s="10">
        <v>4</v>
      </c>
      <c r="G152" s="10">
        <v>1</v>
      </c>
      <c r="H152" s="5" t="str">
        <f t="shared" si="6"/>
        <v>det_223</v>
      </c>
      <c r="I152" s="5" t="str">
        <f t="shared" si="7"/>
        <v>W:\Performance Measurement\1. Freeway\1. raw data\2016\data files\det_223.txt</v>
      </c>
      <c r="J152" s="5" t="str">
        <f t="shared" si="8"/>
        <v>W:\Performance Measurement\1. Freeway\1. raw data\2016\data files\det_223.xlsx</v>
      </c>
      <c r="K152" s="5"/>
      <c r="M152" s="108" t="s">
        <v>66</v>
      </c>
      <c r="N152" s="10">
        <v>223</v>
      </c>
      <c r="O152" s="10">
        <v>4</v>
      </c>
      <c r="P152" s="10">
        <v>1</v>
      </c>
    </row>
    <row r="153" spans="4:16" x14ac:dyDescent="0.25">
      <c r="D153" s="109">
        <v>149</v>
      </c>
      <c r="E153" s="10">
        <v>220</v>
      </c>
      <c r="F153" s="10">
        <v>3</v>
      </c>
      <c r="G153" s="10">
        <v>1</v>
      </c>
      <c r="H153" s="5" t="str">
        <f t="shared" si="6"/>
        <v>det_220</v>
      </c>
      <c r="I153" s="5" t="str">
        <f t="shared" si="7"/>
        <v>W:\Performance Measurement\1. Freeway\1. raw data\2016\data files\det_220.txt</v>
      </c>
      <c r="J153" s="5" t="str">
        <f t="shared" si="8"/>
        <v>W:\Performance Measurement\1. Freeway\1. raw data\2016\data files\det_220.xlsx</v>
      </c>
      <c r="K153" s="5"/>
      <c r="M153" s="108" t="s">
        <v>66</v>
      </c>
      <c r="N153" s="10">
        <v>220</v>
      </c>
      <c r="O153" s="10">
        <v>3</v>
      </c>
      <c r="P153" s="10">
        <v>1</v>
      </c>
    </row>
    <row r="154" spans="4:16" x14ac:dyDescent="0.25">
      <c r="D154" s="109">
        <v>150</v>
      </c>
      <c r="E154" s="10">
        <v>217</v>
      </c>
      <c r="F154" s="10">
        <v>2</v>
      </c>
      <c r="G154" s="10">
        <v>1</v>
      </c>
      <c r="H154" s="5" t="str">
        <f t="shared" si="6"/>
        <v>det_217</v>
      </c>
      <c r="I154" s="5" t="str">
        <f t="shared" si="7"/>
        <v>W:\Performance Measurement\1. Freeway\1. raw data\2016\data files\det_217.txt</v>
      </c>
      <c r="J154" s="5" t="str">
        <f t="shared" si="8"/>
        <v>W:\Performance Measurement\1. Freeway\1. raw data\2016\data files\det_217.xlsx</v>
      </c>
      <c r="K154" s="5"/>
      <c r="M154" s="108" t="s">
        <v>66</v>
      </c>
      <c r="N154" s="10">
        <v>217</v>
      </c>
      <c r="O154" s="10">
        <v>2</v>
      </c>
      <c r="P154" s="10">
        <v>1</v>
      </c>
    </row>
    <row r="155" spans="4:16" x14ac:dyDescent="0.25">
      <c r="D155" s="109">
        <v>151</v>
      </c>
      <c r="E155" s="10">
        <v>427</v>
      </c>
      <c r="F155" s="10">
        <v>3</v>
      </c>
      <c r="G155" s="10">
        <v>1</v>
      </c>
      <c r="H155" s="5" t="str">
        <f t="shared" si="6"/>
        <v>det_427</v>
      </c>
      <c r="I155" s="5" t="str">
        <f t="shared" si="7"/>
        <v>W:\Performance Measurement\1. Freeway\1. raw data\2016\data files\det_427.txt</v>
      </c>
      <c r="J155" s="5" t="str">
        <f t="shared" si="8"/>
        <v>W:\Performance Measurement\1. Freeway\1. raw data\2016\data files\det_427.xlsx</v>
      </c>
      <c r="K155" s="5"/>
      <c r="M155" s="108" t="s">
        <v>67</v>
      </c>
      <c r="N155" s="10">
        <v>427</v>
      </c>
      <c r="O155" s="10">
        <v>3</v>
      </c>
      <c r="P155" s="10">
        <v>1</v>
      </c>
    </row>
    <row r="156" spans="4:16" x14ac:dyDescent="0.25">
      <c r="D156" s="109">
        <v>152</v>
      </c>
      <c r="E156" s="10">
        <v>428</v>
      </c>
      <c r="F156" s="10">
        <v>4</v>
      </c>
      <c r="G156" s="10">
        <v>1</v>
      </c>
      <c r="H156" s="5" t="str">
        <f t="shared" si="6"/>
        <v>det_428</v>
      </c>
      <c r="I156" s="5" t="str">
        <f t="shared" si="7"/>
        <v>W:\Performance Measurement\1. Freeway\1. raw data\2016\data files\det_428.txt</v>
      </c>
      <c r="J156" s="5" t="str">
        <f t="shared" si="8"/>
        <v>W:\Performance Measurement\1. Freeway\1. raw data\2016\data files\det_428.xlsx</v>
      </c>
      <c r="K156" s="5"/>
      <c r="M156" s="108" t="s">
        <v>67</v>
      </c>
      <c r="N156" s="10">
        <v>428</v>
      </c>
      <c r="O156" s="10">
        <v>4</v>
      </c>
      <c r="P156" s="10">
        <v>1</v>
      </c>
    </row>
    <row r="157" spans="4:16" x14ac:dyDescent="0.25">
      <c r="D157" s="109">
        <v>153</v>
      </c>
      <c r="E157" s="10">
        <v>432</v>
      </c>
      <c r="F157" s="10">
        <v>4</v>
      </c>
      <c r="G157" s="10">
        <v>1</v>
      </c>
      <c r="H157" s="5" t="str">
        <f t="shared" si="6"/>
        <v>det_432</v>
      </c>
      <c r="I157" s="5" t="str">
        <f t="shared" si="7"/>
        <v>W:\Performance Measurement\1. Freeway\1. raw data\2016\data files\det_432.txt</v>
      </c>
      <c r="J157" s="5" t="str">
        <f t="shared" si="8"/>
        <v>W:\Performance Measurement\1. Freeway\1. raw data\2016\data files\det_432.xlsx</v>
      </c>
      <c r="K157" s="5"/>
      <c r="M157" s="108" t="s">
        <v>67</v>
      </c>
      <c r="N157" s="10">
        <v>432</v>
      </c>
      <c r="O157" s="10">
        <v>4</v>
      </c>
      <c r="P157" s="10">
        <v>1</v>
      </c>
    </row>
    <row r="158" spans="4:16" x14ac:dyDescent="0.25">
      <c r="D158" s="109">
        <v>154</v>
      </c>
      <c r="E158" s="10">
        <v>435</v>
      </c>
      <c r="F158" s="10">
        <v>4</v>
      </c>
      <c r="G158" s="10">
        <v>1</v>
      </c>
      <c r="H158" s="5" t="str">
        <f t="shared" si="6"/>
        <v>det_435</v>
      </c>
      <c r="I158" s="5" t="str">
        <f t="shared" si="7"/>
        <v>W:\Performance Measurement\1. Freeway\1. raw data\2016\data files\det_435.txt</v>
      </c>
      <c r="J158" s="5" t="str">
        <f t="shared" si="8"/>
        <v>W:\Performance Measurement\1. Freeway\1. raw data\2016\data files\det_435.xlsx</v>
      </c>
      <c r="K158" s="5"/>
      <c r="M158" s="108" t="s">
        <v>67</v>
      </c>
      <c r="N158" s="10">
        <v>435</v>
      </c>
      <c r="O158" s="10">
        <v>4</v>
      </c>
      <c r="P158" s="10">
        <v>1</v>
      </c>
    </row>
    <row r="159" spans="4:16" x14ac:dyDescent="0.25">
      <c r="D159" s="109">
        <v>155</v>
      </c>
      <c r="E159" s="10">
        <v>438</v>
      </c>
      <c r="F159" s="10">
        <v>3</v>
      </c>
      <c r="G159" s="10">
        <v>1</v>
      </c>
      <c r="H159" s="5" t="str">
        <f t="shared" si="6"/>
        <v>det_438</v>
      </c>
      <c r="I159" s="5" t="str">
        <f t="shared" si="7"/>
        <v>W:\Performance Measurement\1. Freeway\1. raw data\2016\data files\det_438.txt</v>
      </c>
      <c r="J159" s="5" t="str">
        <f t="shared" si="8"/>
        <v>W:\Performance Measurement\1. Freeway\1. raw data\2016\data files\det_438.xlsx</v>
      </c>
      <c r="K159" s="5"/>
      <c r="M159" s="108" t="s">
        <v>67</v>
      </c>
      <c r="N159" s="10">
        <v>438</v>
      </c>
      <c r="O159" s="10">
        <v>3</v>
      </c>
      <c r="P159" s="10">
        <v>1</v>
      </c>
    </row>
    <row r="160" spans="4:16" x14ac:dyDescent="0.25">
      <c r="D160" s="109">
        <v>156</v>
      </c>
      <c r="E160" s="10">
        <v>439</v>
      </c>
      <c r="F160" s="10">
        <v>4</v>
      </c>
      <c r="G160" s="10">
        <v>1</v>
      </c>
      <c r="H160" s="5" t="str">
        <f t="shared" si="6"/>
        <v>det_439</v>
      </c>
      <c r="I160" s="5" t="str">
        <f t="shared" si="7"/>
        <v>W:\Performance Measurement\1. Freeway\1. raw data\2016\data files\det_439.txt</v>
      </c>
      <c r="J160" s="5" t="str">
        <f t="shared" si="8"/>
        <v>W:\Performance Measurement\1. Freeway\1. raw data\2016\data files\det_439.xlsx</v>
      </c>
      <c r="K160" s="5"/>
      <c r="M160" s="108" t="s">
        <v>67</v>
      </c>
      <c r="N160" s="10">
        <v>439</v>
      </c>
      <c r="O160" s="10">
        <v>4</v>
      </c>
      <c r="P160" s="10">
        <v>1</v>
      </c>
    </row>
    <row r="161" spans="4:16" x14ac:dyDescent="0.25">
      <c r="D161" s="109">
        <v>157</v>
      </c>
      <c r="E161" s="10">
        <v>494</v>
      </c>
      <c r="F161" s="10">
        <v>4</v>
      </c>
      <c r="G161" s="10">
        <v>1</v>
      </c>
      <c r="H161" s="5" t="str">
        <f t="shared" si="6"/>
        <v>det_494</v>
      </c>
      <c r="I161" s="5" t="str">
        <f t="shared" si="7"/>
        <v>W:\Performance Measurement\1. Freeway\1. raw data\2016\data files\det_494.txt</v>
      </c>
      <c r="J161" s="5" t="str">
        <f t="shared" si="8"/>
        <v>W:\Performance Measurement\1. Freeway\1. raw data\2016\data files\det_494.xlsx</v>
      </c>
      <c r="K161" s="5"/>
      <c r="M161" s="108" t="s">
        <v>67</v>
      </c>
      <c r="N161" s="10">
        <v>494</v>
      </c>
      <c r="O161" s="10">
        <v>4</v>
      </c>
      <c r="P161" s="10">
        <v>1</v>
      </c>
    </row>
    <row r="162" spans="4:16" x14ac:dyDescent="0.25">
      <c r="D162" s="109">
        <v>158</v>
      </c>
      <c r="E162" s="10">
        <v>497</v>
      </c>
      <c r="F162" s="10">
        <v>3</v>
      </c>
      <c r="G162" s="10">
        <v>1</v>
      </c>
      <c r="H162" s="5" t="str">
        <f t="shared" si="6"/>
        <v>det_497</v>
      </c>
      <c r="I162" s="5" t="str">
        <f t="shared" si="7"/>
        <v>W:\Performance Measurement\1. Freeway\1. raw data\2016\data files\det_497.txt</v>
      </c>
      <c r="J162" s="5" t="str">
        <f t="shared" si="8"/>
        <v>W:\Performance Measurement\1. Freeway\1. raw data\2016\data files\det_497.xlsx</v>
      </c>
      <c r="K162" s="5"/>
      <c r="M162" s="108" t="s">
        <v>67</v>
      </c>
      <c r="N162" s="10">
        <v>497</v>
      </c>
      <c r="O162" s="10">
        <v>3</v>
      </c>
      <c r="P162" s="10">
        <v>1</v>
      </c>
    </row>
    <row r="163" spans="4:16" x14ac:dyDescent="0.25">
      <c r="D163" s="109">
        <v>159</v>
      </c>
      <c r="E163" s="10">
        <v>500</v>
      </c>
      <c r="F163" s="10">
        <v>3</v>
      </c>
      <c r="G163" s="10">
        <v>1</v>
      </c>
      <c r="H163" s="5" t="str">
        <f t="shared" si="6"/>
        <v>det_500</v>
      </c>
      <c r="I163" s="5" t="str">
        <f t="shared" si="7"/>
        <v>W:\Performance Measurement\1. Freeway\1. raw data\2016\data files\det_500.txt</v>
      </c>
      <c r="J163" s="5" t="str">
        <f t="shared" si="8"/>
        <v>W:\Performance Measurement\1. Freeway\1. raw data\2016\data files\det_500.xlsx</v>
      </c>
      <c r="K163" s="5"/>
      <c r="M163" s="108" t="s">
        <v>67</v>
      </c>
      <c r="N163" s="10">
        <v>500</v>
      </c>
      <c r="O163" s="10">
        <v>3</v>
      </c>
      <c r="P163" s="10">
        <v>1</v>
      </c>
    </row>
    <row r="164" spans="4:16" x14ac:dyDescent="0.25">
      <c r="D164" s="109">
        <v>160</v>
      </c>
      <c r="E164" s="10">
        <v>504</v>
      </c>
      <c r="F164" s="10">
        <v>3</v>
      </c>
      <c r="G164" s="10">
        <v>0</v>
      </c>
      <c r="H164" s="5" t="str">
        <f t="shared" ref="H164:H195" si="9">"det_"&amp;E164&amp;""</f>
        <v>det_504</v>
      </c>
      <c r="I164" s="5" t="str">
        <f t="shared" si="7"/>
        <v>W:\Performance Measurement\1. Freeway\1. raw data\2016\data files\det_504.txt</v>
      </c>
      <c r="J164" s="5" t="str">
        <f t="shared" si="8"/>
        <v>W:\Performance Measurement\1. Freeway\1. raw data\2016\data files\det_504.xlsx</v>
      </c>
      <c r="K164" s="5"/>
      <c r="M164" s="108" t="s">
        <v>67</v>
      </c>
      <c r="N164" s="10">
        <v>504</v>
      </c>
      <c r="O164" s="10">
        <v>3</v>
      </c>
      <c r="P164" s="10">
        <v>0</v>
      </c>
    </row>
    <row r="165" spans="4:16" x14ac:dyDescent="0.25">
      <c r="D165" s="109">
        <v>161</v>
      </c>
      <c r="E165" s="10">
        <v>441</v>
      </c>
      <c r="F165" s="10">
        <v>3</v>
      </c>
      <c r="G165" s="10">
        <v>1</v>
      </c>
      <c r="H165" s="5" t="str">
        <f t="shared" si="9"/>
        <v>det_441</v>
      </c>
      <c r="I165" s="5" t="str">
        <f t="shared" si="7"/>
        <v>W:\Performance Measurement\1. Freeway\1. raw data\2016\data files\det_441.txt</v>
      </c>
      <c r="J165" s="5" t="str">
        <f t="shared" si="8"/>
        <v>W:\Performance Measurement\1. Freeway\1. raw data\2016\data files\det_441.xlsx</v>
      </c>
      <c r="K165" s="5"/>
      <c r="M165" s="108" t="s">
        <v>68</v>
      </c>
      <c r="N165" s="10">
        <v>441</v>
      </c>
      <c r="O165" s="10">
        <v>3</v>
      </c>
      <c r="P165" s="10">
        <v>1</v>
      </c>
    </row>
    <row r="166" spans="4:16" x14ac:dyDescent="0.25">
      <c r="D166" s="109">
        <v>162</v>
      </c>
      <c r="E166" s="10">
        <v>444</v>
      </c>
      <c r="F166" s="10">
        <v>5</v>
      </c>
      <c r="G166" s="10">
        <v>1</v>
      </c>
      <c r="H166" s="5" t="str">
        <f t="shared" si="9"/>
        <v>det_444</v>
      </c>
      <c r="I166" s="5" t="str">
        <f t="shared" si="7"/>
        <v>W:\Performance Measurement\1. Freeway\1. raw data\2016\data files\det_444.txt</v>
      </c>
      <c r="J166" s="5" t="str">
        <f t="shared" si="8"/>
        <v>W:\Performance Measurement\1. Freeway\1. raw data\2016\data files\det_444.xlsx</v>
      </c>
      <c r="K166" s="5"/>
      <c r="M166" s="108" t="s">
        <v>68</v>
      </c>
      <c r="N166" s="10">
        <v>444</v>
      </c>
      <c r="O166" s="10">
        <v>5</v>
      </c>
      <c r="P166" s="10">
        <v>1</v>
      </c>
    </row>
    <row r="167" spans="4:16" x14ac:dyDescent="0.25">
      <c r="D167" s="109">
        <v>163</v>
      </c>
      <c r="E167" s="10">
        <v>447</v>
      </c>
      <c r="F167" s="10">
        <v>5</v>
      </c>
      <c r="G167" s="10">
        <v>1</v>
      </c>
      <c r="H167" s="5" t="str">
        <f t="shared" si="9"/>
        <v>det_447</v>
      </c>
      <c r="I167" s="5" t="str">
        <f t="shared" si="7"/>
        <v>W:\Performance Measurement\1. Freeway\1. raw data\2016\data files\det_447.txt</v>
      </c>
      <c r="J167" s="5" t="str">
        <f t="shared" si="8"/>
        <v>W:\Performance Measurement\1. Freeway\1. raw data\2016\data files\det_447.xlsx</v>
      </c>
      <c r="K167" s="5"/>
      <c r="M167" s="108" t="s">
        <v>68</v>
      </c>
      <c r="N167" s="10">
        <v>447</v>
      </c>
      <c r="O167" s="10">
        <v>5</v>
      </c>
      <c r="P167" s="10">
        <v>1</v>
      </c>
    </row>
    <row r="168" spans="4:16" x14ac:dyDescent="0.25">
      <c r="D168" s="109">
        <v>164</v>
      </c>
      <c r="E168" s="10">
        <v>450</v>
      </c>
      <c r="F168" s="10">
        <v>5</v>
      </c>
      <c r="G168" s="10">
        <v>1</v>
      </c>
      <c r="H168" s="5" t="str">
        <f t="shared" si="9"/>
        <v>det_450</v>
      </c>
      <c r="I168" s="5" t="str">
        <f t="shared" si="7"/>
        <v>W:\Performance Measurement\1. Freeway\1. raw data\2016\data files\det_450.txt</v>
      </c>
      <c r="J168" s="5" t="str">
        <f t="shared" si="8"/>
        <v>W:\Performance Measurement\1. Freeway\1. raw data\2016\data files\det_450.xlsx</v>
      </c>
      <c r="K168" s="5"/>
      <c r="M168" s="108" t="s">
        <v>68</v>
      </c>
      <c r="N168" s="10">
        <v>450</v>
      </c>
      <c r="O168" s="10">
        <v>5</v>
      </c>
      <c r="P168" s="10">
        <v>1</v>
      </c>
    </row>
    <row r="169" spans="4:16" x14ac:dyDescent="0.25">
      <c r="D169" s="109">
        <v>165</v>
      </c>
      <c r="E169" s="10">
        <v>453</v>
      </c>
      <c r="F169" s="10">
        <v>5</v>
      </c>
      <c r="G169" s="10">
        <v>1</v>
      </c>
      <c r="H169" s="5" t="str">
        <f t="shared" si="9"/>
        <v>det_453</v>
      </c>
      <c r="I169" s="5" t="str">
        <f t="shared" si="7"/>
        <v>W:\Performance Measurement\1. Freeway\1. raw data\2016\data files\det_453.txt</v>
      </c>
      <c r="J169" s="5" t="str">
        <f t="shared" si="8"/>
        <v>W:\Performance Measurement\1. Freeway\1. raw data\2016\data files\det_453.xlsx</v>
      </c>
      <c r="K169" s="5"/>
      <c r="M169" s="108" t="s">
        <v>68</v>
      </c>
      <c r="N169" s="10">
        <v>453</v>
      </c>
      <c r="O169" s="10">
        <v>5</v>
      </c>
      <c r="P169" s="10">
        <v>1</v>
      </c>
    </row>
    <row r="170" spans="4:16" x14ac:dyDescent="0.25">
      <c r="D170" s="109">
        <v>166</v>
      </c>
      <c r="E170" s="10">
        <v>456</v>
      </c>
      <c r="F170" s="10">
        <v>5</v>
      </c>
      <c r="G170" s="10">
        <v>1</v>
      </c>
      <c r="H170" s="5" t="str">
        <f t="shared" si="9"/>
        <v>det_456</v>
      </c>
      <c r="I170" s="5" t="str">
        <f t="shared" si="7"/>
        <v>W:\Performance Measurement\1. Freeway\1. raw data\2016\data files\det_456.txt</v>
      </c>
      <c r="J170" s="5" t="str">
        <f t="shared" si="8"/>
        <v>W:\Performance Measurement\1. Freeway\1. raw data\2016\data files\det_456.xlsx</v>
      </c>
      <c r="K170" s="5"/>
      <c r="M170" s="108" t="s">
        <v>68</v>
      </c>
      <c r="N170" s="10">
        <v>456</v>
      </c>
      <c r="O170" s="10">
        <v>5</v>
      </c>
      <c r="P170" s="10">
        <v>1</v>
      </c>
    </row>
    <row r="171" spans="4:16" x14ac:dyDescent="0.25">
      <c r="D171" s="109">
        <v>167</v>
      </c>
      <c r="E171" s="10">
        <v>459</v>
      </c>
      <c r="F171" s="10">
        <v>5</v>
      </c>
      <c r="G171" s="10">
        <v>1</v>
      </c>
      <c r="H171" s="5" t="str">
        <f t="shared" si="9"/>
        <v>det_459</v>
      </c>
      <c r="I171" s="5" t="str">
        <f t="shared" si="7"/>
        <v>W:\Performance Measurement\1. Freeway\1. raw data\2016\data files\det_459.txt</v>
      </c>
      <c r="J171" s="5" t="str">
        <f t="shared" si="8"/>
        <v>W:\Performance Measurement\1. Freeway\1. raw data\2016\data files\det_459.xlsx</v>
      </c>
      <c r="K171" s="5"/>
      <c r="M171" s="108" t="s">
        <v>68</v>
      </c>
      <c r="N171" s="10">
        <v>459</v>
      </c>
      <c r="O171" s="10">
        <v>5</v>
      </c>
      <c r="P171" s="10">
        <v>1</v>
      </c>
    </row>
    <row r="172" spans="4:16" x14ac:dyDescent="0.25">
      <c r="D172" s="109">
        <v>168</v>
      </c>
      <c r="E172" s="10">
        <v>462</v>
      </c>
      <c r="F172" s="10">
        <v>5</v>
      </c>
      <c r="G172" s="10">
        <v>1</v>
      </c>
      <c r="H172" s="5" t="str">
        <f t="shared" si="9"/>
        <v>det_462</v>
      </c>
      <c r="I172" s="5" t="str">
        <f t="shared" si="7"/>
        <v>W:\Performance Measurement\1. Freeway\1. raw data\2016\data files\det_462.txt</v>
      </c>
      <c r="J172" s="5" t="str">
        <f t="shared" si="8"/>
        <v>W:\Performance Measurement\1. Freeway\1. raw data\2016\data files\det_462.xlsx</v>
      </c>
      <c r="K172" s="5"/>
      <c r="M172" s="108" t="s">
        <v>68</v>
      </c>
      <c r="N172" s="10">
        <v>462</v>
      </c>
      <c r="O172" s="10">
        <v>5</v>
      </c>
      <c r="P172" s="10">
        <v>1</v>
      </c>
    </row>
    <row r="173" spans="4:16" x14ac:dyDescent="0.25">
      <c r="D173" s="109">
        <v>169</v>
      </c>
      <c r="E173" s="10">
        <v>467</v>
      </c>
      <c r="F173" s="10">
        <v>5</v>
      </c>
      <c r="G173" s="10">
        <v>1</v>
      </c>
      <c r="H173" s="5" t="str">
        <f t="shared" si="9"/>
        <v>det_467</v>
      </c>
      <c r="I173" s="5" t="str">
        <f t="shared" ref="I173:I241" si="10">$B$5&amp;"\"&amp;H173&amp;".txt"</f>
        <v>W:\Performance Measurement\1. Freeway\1. raw data\2016\data files\det_467.txt</v>
      </c>
      <c r="J173" s="5" t="str">
        <f t="shared" ref="J173:J241" si="11">$B$5&amp;"\"&amp;H173&amp;".xlsx"</f>
        <v>W:\Performance Measurement\1. Freeway\1. raw data\2016\data files\det_467.xlsx</v>
      </c>
      <c r="K173" s="5"/>
      <c r="M173" s="108" t="s">
        <v>68</v>
      </c>
      <c r="N173" s="10">
        <v>467</v>
      </c>
      <c r="O173" s="10">
        <v>5</v>
      </c>
      <c r="P173" s="10">
        <v>1</v>
      </c>
    </row>
    <row r="174" spans="4:16" x14ac:dyDescent="0.25">
      <c r="D174" s="109">
        <v>170</v>
      </c>
      <c r="E174" s="10">
        <v>470</v>
      </c>
      <c r="F174" s="10">
        <v>5</v>
      </c>
      <c r="G174" s="10">
        <v>1</v>
      </c>
      <c r="H174" s="5" t="str">
        <f t="shared" si="9"/>
        <v>det_470</v>
      </c>
      <c r="I174" s="5" t="str">
        <f t="shared" si="10"/>
        <v>W:\Performance Measurement\1. Freeway\1. raw data\2016\data files\det_470.txt</v>
      </c>
      <c r="J174" s="5" t="str">
        <f t="shared" si="11"/>
        <v>W:\Performance Measurement\1. Freeway\1. raw data\2016\data files\det_470.xlsx</v>
      </c>
      <c r="K174" s="5"/>
      <c r="M174" s="108" t="s">
        <v>68</v>
      </c>
      <c r="N174" s="10">
        <v>470</v>
      </c>
      <c r="O174" s="10">
        <v>5</v>
      </c>
      <c r="P174" s="10">
        <v>1</v>
      </c>
    </row>
    <row r="175" spans="4:16" x14ac:dyDescent="0.25">
      <c r="D175" s="109">
        <v>171</v>
      </c>
      <c r="E175" s="10">
        <v>473</v>
      </c>
      <c r="F175" s="10">
        <v>5</v>
      </c>
      <c r="G175" s="10">
        <v>1</v>
      </c>
      <c r="H175" s="5" t="str">
        <f t="shared" si="9"/>
        <v>det_473</v>
      </c>
      <c r="I175" s="5" t="str">
        <f t="shared" si="10"/>
        <v>W:\Performance Measurement\1. Freeway\1. raw data\2016\data files\det_473.txt</v>
      </c>
      <c r="J175" s="5" t="str">
        <f t="shared" si="11"/>
        <v>W:\Performance Measurement\1. Freeway\1. raw data\2016\data files\det_473.xlsx</v>
      </c>
      <c r="K175" s="5"/>
      <c r="M175" s="108" t="s">
        <v>68</v>
      </c>
      <c r="N175" s="10">
        <v>473</v>
      </c>
      <c r="O175" s="10">
        <v>5</v>
      </c>
      <c r="P175" s="10">
        <v>1</v>
      </c>
    </row>
    <row r="176" spans="4:16" x14ac:dyDescent="0.25">
      <c r="D176" s="109">
        <v>172</v>
      </c>
      <c r="E176" s="10">
        <v>476</v>
      </c>
      <c r="F176" s="10">
        <v>5</v>
      </c>
      <c r="G176" s="10">
        <v>1</v>
      </c>
      <c r="H176" s="5" t="str">
        <f t="shared" si="9"/>
        <v>det_476</v>
      </c>
      <c r="I176" s="5" t="str">
        <f t="shared" si="10"/>
        <v>W:\Performance Measurement\1. Freeway\1. raw data\2016\data files\det_476.txt</v>
      </c>
      <c r="J176" s="5" t="str">
        <f t="shared" si="11"/>
        <v>W:\Performance Measurement\1. Freeway\1. raw data\2016\data files\det_476.xlsx</v>
      </c>
      <c r="K176" s="5"/>
      <c r="M176" s="108" t="s">
        <v>68</v>
      </c>
      <c r="N176" s="10">
        <v>476</v>
      </c>
      <c r="O176" s="10">
        <v>5</v>
      </c>
      <c r="P176" s="10">
        <v>1</v>
      </c>
    </row>
    <row r="177" spans="4:16" x14ac:dyDescent="0.25">
      <c r="D177" s="109">
        <v>173</v>
      </c>
      <c r="E177" s="10">
        <v>479</v>
      </c>
      <c r="F177" s="10">
        <v>5</v>
      </c>
      <c r="G177" s="10">
        <v>1</v>
      </c>
      <c r="H177" s="5" t="str">
        <f t="shared" si="9"/>
        <v>det_479</v>
      </c>
      <c r="I177" s="5" t="str">
        <f t="shared" si="10"/>
        <v>W:\Performance Measurement\1. Freeway\1. raw data\2016\data files\det_479.txt</v>
      </c>
      <c r="J177" s="5" t="str">
        <f t="shared" si="11"/>
        <v>W:\Performance Measurement\1. Freeway\1. raw data\2016\data files\det_479.xlsx</v>
      </c>
      <c r="K177" s="5"/>
      <c r="M177" s="108" t="s">
        <v>68</v>
      </c>
      <c r="N177" s="10">
        <v>479</v>
      </c>
      <c r="O177" s="10">
        <v>5</v>
      </c>
      <c r="P177" s="10">
        <v>1</v>
      </c>
    </row>
    <row r="178" spans="4:16" x14ac:dyDescent="0.25">
      <c r="D178" s="109">
        <v>174</v>
      </c>
      <c r="E178" s="10">
        <v>482</v>
      </c>
      <c r="F178" s="10">
        <v>5</v>
      </c>
      <c r="G178" s="10">
        <v>1</v>
      </c>
      <c r="H178" s="5" t="str">
        <f t="shared" si="9"/>
        <v>det_482</v>
      </c>
      <c r="I178" s="5" t="str">
        <f t="shared" si="10"/>
        <v>W:\Performance Measurement\1. Freeway\1. raw data\2016\data files\det_482.txt</v>
      </c>
      <c r="J178" s="5" t="str">
        <f t="shared" si="11"/>
        <v>W:\Performance Measurement\1. Freeway\1. raw data\2016\data files\det_482.xlsx</v>
      </c>
      <c r="K178" s="5"/>
      <c r="M178" s="108" t="s">
        <v>68</v>
      </c>
      <c r="N178" s="10">
        <v>482</v>
      </c>
      <c r="O178" s="10">
        <v>5</v>
      </c>
      <c r="P178" s="10">
        <v>1</v>
      </c>
    </row>
    <row r="179" spans="4:16" x14ac:dyDescent="0.25">
      <c r="D179" s="109">
        <v>175</v>
      </c>
      <c r="E179" s="10">
        <v>485</v>
      </c>
      <c r="F179" s="10">
        <v>5</v>
      </c>
      <c r="G179" s="10">
        <v>1</v>
      </c>
      <c r="H179" s="5" t="str">
        <f t="shared" si="9"/>
        <v>det_485</v>
      </c>
      <c r="I179" s="5" t="str">
        <f t="shared" si="10"/>
        <v>W:\Performance Measurement\1. Freeway\1. raw data\2016\data files\det_485.txt</v>
      </c>
      <c r="J179" s="5" t="str">
        <f t="shared" si="11"/>
        <v>W:\Performance Measurement\1. Freeway\1. raw data\2016\data files\det_485.xlsx</v>
      </c>
      <c r="K179" s="5"/>
      <c r="M179" s="108" t="s">
        <v>68</v>
      </c>
      <c r="N179" s="10">
        <v>485</v>
      </c>
      <c r="O179" s="10">
        <v>5</v>
      </c>
      <c r="P179" s="10">
        <v>1</v>
      </c>
    </row>
    <row r="180" spans="4:16" x14ac:dyDescent="0.25">
      <c r="D180" s="109">
        <v>176</v>
      </c>
      <c r="E180" s="10">
        <v>488</v>
      </c>
      <c r="F180" s="10">
        <v>3</v>
      </c>
      <c r="G180" s="10">
        <v>1</v>
      </c>
      <c r="H180" s="5" t="str">
        <f t="shared" si="9"/>
        <v>det_488</v>
      </c>
      <c r="I180" s="5" t="str">
        <f t="shared" si="10"/>
        <v>W:\Performance Measurement\1. Freeway\1. raw data\2016\data files\det_488.txt</v>
      </c>
      <c r="J180" s="5" t="str">
        <f t="shared" si="11"/>
        <v>W:\Performance Measurement\1. Freeway\1. raw data\2016\data files\det_488.xlsx</v>
      </c>
      <c r="K180" s="5"/>
      <c r="M180" s="108" t="s">
        <v>68</v>
      </c>
      <c r="N180" s="10">
        <v>488</v>
      </c>
      <c r="O180" s="10">
        <v>3</v>
      </c>
      <c r="P180" s="10">
        <v>1</v>
      </c>
    </row>
    <row r="181" spans="4:16" x14ac:dyDescent="0.25">
      <c r="D181" s="109">
        <v>177</v>
      </c>
      <c r="E181" s="10">
        <v>490</v>
      </c>
      <c r="F181" s="10">
        <v>3</v>
      </c>
      <c r="G181" s="10">
        <v>1</v>
      </c>
      <c r="H181" s="5" t="str">
        <f t="shared" si="9"/>
        <v>det_490</v>
      </c>
      <c r="I181" s="5" t="str">
        <f t="shared" si="10"/>
        <v>W:\Performance Measurement\1. Freeway\1. raw data\2016\data files\det_490.txt</v>
      </c>
      <c r="J181" s="5" t="str">
        <f t="shared" si="11"/>
        <v>W:\Performance Measurement\1. Freeway\1. raw data\2016\data files\det_490.xlsx</v>
      </c>
      <c r="K181" s="5"/>
      <c r="M181" s="108" t="s">
        <v>68</v>
      </c>
      <c r="N181" s="10">
        <v>490</v>
      </c>
      <c r="O181" s="10">
        <v>3</v>
      </c>
      <c r="P181" s="10">
        <v>1</v>
      </c>
    </row>
    <row r="182" spans="4:16" x14ac:dyDescent="0.25">
      <c r="D182" s="109">
        <v>178</v>
      </c>
      <c r="E182" s="10">
        <v>465</v>
      </c>
      <c r="F182" s="10">
        <v>5</v>
      </c>
      <c r="G182" s="10">
        <v>1</v>
      </c>
      <c r="H182" s="5" t="str">
        <f t="shared" si="9"/>
        <v>det_465</v>
      </c>
      <c r="I182" s="5" t="str">
        <f t="shared" si="10"/>
        <v>W:\Performance Measurement\1. Freeway\1. raw data\2016\data files\det_465.txt</v>
      </c>
      <c r="J182" s="5" t="str">
        <f t="shared" si="11"/>
        <v>W:\Performance Measurement\1. Freeway\1. raw data\2016\data files\det_465.xlsx</v>
      </c>
      <c r="K182" s="5"/>
      <c r="M182" s="108" t="s">
        <v>69</v>
      </c>
      <c r="N182" s="10">
        <v>465</v>
      </c>
      <c r="O182" s="10">
        <v>5</v>
      </c>
      <c r="P182" s="10">
        <v>1</v>
      </c>
    </row>
    <row r="183" spans="4:16" x14ac:dyDescent="0.25">
      <c r="D183" s="109">
        <v>179</v>
      </c>
      <c r="E183" s="10">
        <v>520</v>
      </c>
      <c r="F183" s="10">
        <v>5</v>
      </c>
      <c r="G183" s="10">
        <v>1</v>
      </c>
      <c r="H183" s="5" t="str">
        <f t="shared" si="9"/>
        <v>det_520</v>
      </c>
      <c r="I183" s="5" t="str">
        <f t="shared" si="10"/>
        <v>W:\Performance Measurement\1. Freeway\1. raw data\2016\data files\det_520.txt</v>
      </c>
      <c r="J183" s="5" t="str">
        <f t="shared" si="11"/>
        <v>W:\Performance Measurement\1. Freeway\1. raw data\2016\data files\det_520.xlsx</v>
      </c>
      <c r="K183" s="5"/>
      <c r="M183" s="108" t="s">
        <v>69</v>
      </c>
      <c r="N183" s="10">
        <v>520</v>
      </c>
      <c r="O183" s="10">
        <v>5</v>
      </c>
      <c r="P183" s="10">
        <v>1</v>
      </c>
    </row>
    <row r="184" spans="4:16" x14ac:dyDescent="0.25">
      <c r="D184" s="109">
        <v>180</v>
      </c>
      <c r="E184" s="10">
        <v>521</v>
      </c>
      <c r="F184" s="10">
        <v>5</v>
      </c>
      <c r="G184" s="10">
        <v>1</v>
      </c>
      <c r="H184" s="5" t="str">
        <f t="shared" si="9"/>
        <v>det_521</v>
      </c>
      <c r="I184" s="5" t="str">
        <f t="shared" si="10"/>
        <v>W:\Performance Measurement\1. Freeway\1. raw data\2016\data files\det_521.txt</v>
      </c>
      <c r="J184" s="5" t="str">
        <f t="shared" si="11"/>
        <v>W:\Performance Measurement\1. Freeway\1. raw data\2016\data files\det_521.xlsx</v>
      </c>
      <c r="K184" s="5"/>
      <c r="M184" s="108" t="s">
        <v>69</v>
      </c>
      <c r="N184" s="10">
        <v>521</v>
      </c>
      <c r="O184" s="10">
        <v>5</v>
      </c>
      <c r="P184" s="10">
        <v>1</v>
      </c>
    </row>
    <row r="185" spans="4:16" x14ac:dyDescent="0.25">
      <c r="D185" s="109">
        <v>181</v>
      </c>
      <c r="E185" s="10">
        <v>522</v>
      </c>
      <c r="F185" s="10">
        <v>5</v>
      </c>
      <c r="G185" s="10">
        <v>1</v>
      </c>
      <c r="H185" s="5" t="str">
        <f t="shared" si="9"/>
        <v>det_522</v>
      </c>
      <c r="I185" s="5" t="str">
        <f t="shared" si="10"/>
        <v>W:\Performance Measurement\1. Freeway\1. raw data\2016\data files\det_522.txt</v>
      </c>
      <c r="J185" s="5" t="str">
        <f t="shared" si="11"/>
        <v>W:\Performance Measurement\1. Freeway\1. raw data\2016\data files\det_522.xlsx</v>
      </c>
      <c r="K185" s="5"/>
      <c r="M185" s="108" t="s">
        <v>69</v>
      </c>
      <c r="N185" s="10">
        <v>522</v>
      </c>
      <c r="O185" s="10">
        <v>5</v>
      </c>
      <c r="P185" s="10">
        <v>1</v>
      </c>
    </row>
    <row r="186" spans="4:16" x14ac:dyDescent="0.25">
      <c r="D186" s="109">
        <v>182</v>
      </c>
      <c r="E186" s="10">
        <v>523</v>
      </c>
      <c r="F186" s="10">
        <v>5</v>
      </c>
      <c r="G186" s="10">
        <v>1</v>
      </c>
      <c r="H186" s="5" t="str">
        <f t="shared" si="9"/>
        <v>det_523</v>
      </c>
      <c r="I186" s="5" t="str">
        <f t="shared" si="10"/>
        <v>W:\Performance Measurement\1. Freeway\1. raw data\2016\data files\det_523.txt</v>
      </c>
      <c r="J186" s="5" t="str">
        <f t="shared" si="11"/>
        <v>W:\Performance Measurement\1. Freeway\1. raw data\2016\data files\det_523.xlsx</v>
      </c>
      <c r="K186" s="5"/>
      <c r="M186" s="108" t="s">
        <v>69</v>
      </c>
      <c r="N186" s="10">
        <v>523</v>
      </c>
      <c r="O186" s="10">
        <v>5</v>
      </c>
      <c r="P186" s="10">
        <v>1</v>
      </c>
    </row>
    <row r="187" spans="4:16" x14ac:dyDescent="0.25">
      <c r="D187" s="109">
        <v>183</v>
      </c>
      <c r="E187" s="10">
        <v>524</v>
      </c>
      <c r="F187" s="10">
        <v>5</v>
      </c>
      <c r="G187" s="10">
        <v>1</v>
      </c>
      <c r="H187" s="5" t="str">
        <f t="shared" si="9"/>
        <v>det_524</v>
      </c>
      <c r="I187" s="5" t="str">
        <f t="shared" si="10"/>
        <v>W:\Performance Measurement\1. Freeway\1. raw data\2016\data files\det_524.txt</v>
      </c>
      <c r="J187" s="5" t="str">
        <f t="shared" si="11"/>
        <v>W:\Performance Measurement\1. Freeway\1. raw data\2016\data files\det_524.xlsx</v>
      </c>
      <c r="K187" s="5"/>
      <c r="M187" s="108" t="s">
        <v>69</v>
      </c>
      <c r="N187" s="10">
        <v>524</v>
      </c>
      <c r="O187" s="10">
        <v>5</v>
      </c>
      <c r="P187" s="10">
        <v>1</v>
      </c>
    </row>
    <row r="188" spans="4:16" x14ac:dyDescent="0.25">
      <c r="D188" s="109">
        <v>184</v>
      </c>
      <c r="E188" s="10">
        <v>525</v>
      </c>
      <c r="F188" s="10">
        <v>4</v>
      </c>
      <c r="G188" s="10">
        <v>1</v>
      </c>
      <c r="H188" s="5" t="str">
        <f t="shared" si="9"/>
        <v>det_525</v>
      </c>
      <c r="I188" s="5" t="str">
        <f t="shared" si="10"/>
        <v>W:\Performance Measurement\1. Freeway\1. raw data\2016\data files\det_525.txt</v>
      </c>
      <c r="J188" s="5" t="str">
        <f t="shared" si="11"/>
        <v>W:\Performance Measurement\1. Freeway\1. raw data\2016\data files\det_525.xlsx</v>
      </c>
      <c r="K188" s="5"/>
      <c r="M188" s="108" t="s">
        <v>69</v>
      </c>
      <c r="N188" s="10">
        <v>525</v>
      </c>
      <c r="O188" s="10">
        <v>4</v>
      </c>
      <c r="P188" s="10">
        <v>1</v>
      </c>
    </row>
    <row r="189" spans="4:16" x14ac:dyDescent="0.25">
      <c r="D189" s="109">
        <v>185</v>
      </c>
      <c r="E189" s="10">
        <v>526</v>
      </c>
      <c r="F189" s="10">
        <v>3</v>
      </c>
      <c r="G189" s="10">
        <v>1</v>
      </c>
      <c r="H189" s="5" t="str">
        <f t="shared" si="9"/>
        <v>det_526</v>
      </c>
      <c r="I189" s="5" t="str">
        <f t="shared" si="10"/>
        <v>W:\Performance Measurement\1. Freeway\1. raw data\2016\data files\det_526.txt</v>
      </c>
      <c r="J189" s="5" t="str">
        <f t="shared" si="11"/>
        <v>W:\Performance Measurement\1. Freeway\1. raw data\2016\data files\det_526.xlsx</v>
      </c>
      <c r="K189" s="5"/>
      <c r="M189" s="108" t="s">
        <v>69</v>
      </c>
      <c r="N189" s="10">
        <v>526</v>
      </c>
      <c r="O189" s="10">
        <v>3</v>
      </c>
      <c r="P189" s="10">
        <v>1</v>
      </c>
    </row>
    <row r="190" spans="4:16" x14ac:dyDescent="0.25">
      <c r="D190" s="109">
        <v>186</v>
      </c>
      <c r="E190" s="112">
        <v>527</v>
      </c>
      <c r="F190" s="112">
        <v>3</v>
      </c>
      <c r="G190" s="112">
        <v>1</v>
      </c>
      <c r="H190" s="5" t="str">
        <f t="shared" si="9"/>
        <v>det_527</v>
      </c>
      <c r="I190" s="5" t="str">
        <f t="shared" si="10"/>
        <v>W:\Performance Measurement\1. Freeway\1. raw data\2016\data files\det_527.txt</v>
      </c>
      <c r="J190" s="5" t="str">
        <f t="shared" si="11"/>
        <v>W:\Performance Measurement\1. Freeway\1. raw data\2016\data files\det_527.xlsx</v>
      </c>
      <c r="K190" s="5"/>
      <c r="L190" s="109"/>
      <c r="M190" s="111" t="s">
        <v>69</v>
      </c>
      <c r="N190" s="10">
        <v>527</v>
      </c>
      <c r="O190" s="10">
        <v>3</v>
      </c>
      <c r="P190" s="10">
        <v>1</v>
      </c>
    </row>
    <row r="191" spans="4:16" x14ac:dyDescent="0.25">
      <c r="D191" s="109">
        <v>187</v>
      </c>
      <c r="E191" s="10">
        <v>528</v>
      </c>
      <c r="F191" s="10">
        <v>5</v>
      </c>
      <c r="G191" s="10">
        <v>1</v>
      </c>
      <c r="H191" s="5" t="str">
        <f t="shared" si="9"/>
        <v>det_528</v>
      </c>
      <c r="I191" s="5" t="str">
        <f t="shared" si="10"/>
        <v>W:\Performance Measurement\1. Freeway\1. raw data\2016\data files\det_528.txt</v>
      </c>
      <c r="J191" s="5" t="str">
        <f t="shared" si="11"/>
        <v>W:\Performance Measurement\1. Freeway\1. raw data\2016\data files\det_528.xlsx</v>
      </c>
      <c r="K191" s="5"/>
      <c r="L191" s="109"/>
      <c r="M191" s="111" t="s">
        <v>69</v>
      </c>
      <c r="N191" s="10">
        <v>528</v>
      </c>
      <c r="O191" s="10">
        <v>5</v>
      </c>
      <c r="P191" s="10">
        <v>1</v>
      </c>
    </row>
    <row r="192" spans="4:16" x14ac:dyDescent="0.25">
      <c r="D192" s="109">
        <v>188</v>
      </c>
      <c r="E192" s="112">
        <v>529</v>
      </c>
      <c r="F192" s="112">
        <v>3</v>
      </c>
      <c r="G192" s="112">
        <v>1</v>
      </c>
      <c r="H192" s="5" t="str">
        <f t="shared" si="9"/>
        <v>det_529</v>
      </c>
      <c r="I192" s="5" t="str">
        <f t="shared" si="10"/>
        <v>W:\Performance Measurement\1. Freeway\1. raw data\2016\data files\det_529.txt</v>
      </c>
      <c r="J192" s="5" t="str">
        <f t="shared" si="11"/>
        <v>W:\Performance Measurement\1. Freeway\1. raw data\2016\data files\det_529.xlsx</v>
      </c>
      <c r="K192" s="5"/>
      <c r="L192" s="109"/>
      <c r="M192" s="111" t="s">
        <v>69</v>
      </c>
      <c r="N192" s="112">
        <v>529</v>
      </c>
      <c r="O192" s="112">
        <v>3</v>
      </c>
      <c r="P192" s="112">
        <v>1</v>
      </c>
    </row>
    <row r="193" spans="4:16" x14ac:dyDescent="0.25">
      <c r="D193" s="109">
        <v>189</v>
      </c>
      <c r="E193" s="10">
        <v>530</v>
      </c>
      <c r="F193" s="10">
        <v>3</v>
      </c>
      <c r="G193" s="10">
        <v>1</v>
      </c>
      <c r="H193" s="5" t="str">
        <f t="shared" si="9"/>
        <v>det_530</v>
      </c>
      <c r="I193" s="5" t="str">
        <f t="shared" si="10"/>
        <v>W:\Performance Measurement\1. Freeway\1. raw data\2016\data files\det_530.txt</v>
      </c>
      <c r="J193" s="5" t="str">
        <f t="shared" si="11"/>
        <v>W:\Performance Measurement\1. Freeway\1. raw data\2016\data files\det_530.xlsx</v>
      </c>
      <c r="K193" s="5"/>
      <c r="L193" s="109"/>
      <c r="M193" s="111" t="s">
        <v>69</v>
      </c>
      <c r="N193" s="10">
        <v>530</v>
      </c>
      <c r="O193" s="10">
        <v>3</v>
      </c>
      <c r="P193" s="10">
        <v>1</v>
      </c>
    </row>
    <row r="194" spans="4:16" x14ac:dyDescent="0.25">
      <c r="D194" s="109">
        <v>190</v>
      </c>
      <c r="E194" s="10">
        <v>531</v>
      </c>
      <c r="F194" s="10">
        <v>3</v>
      </c>
      <c r="G194" s="10">
        <v>1</v>
      </c>
      <c r="H194" s="5" t="str">
        <f t="shared" si="9"/>
        <v>det_531</v>
      </c>
      <c r="I194" s="5" t="str">
        <f t="shared" si="10"/>
        <v>W:\Performance Measurement\1. Freeway\1. raw data\2016\data files\det_531.txt</v>
      </c>
      <c r="J194" s="5" t="str">
        <f t="shared" si="11"/>
        <v>W:\Performance Measurement\1. Freeway\1. raw data\2016\data files\det_531.xlsx</v>
      </c>
      <c r="K194" s="5"/>
      <c r="L194" s="109"/>
      <c r="M194" s="111" t="s">
        <v>69</v>
      </c>
      <c r="N194" s="10">
        <v>531</v>
      </c>
      <c r="O194" s="10">
        <v>3</v>
      </c>
      <c r="P194" s="10">
        <v>1</v>
      </c>
    </row>
    <row r="195" spans="4:16" x14ac:dyDescent="0.25">
      <c r="D195" s="109">
        <v>191</v>
      </c>
      <c r="E195" s="10">
        <v>532</v>
      </c>
      <c r="F195" s="10">
        <v>4</v>
      </c>
      <c r="G195" s="10">
        <v>1</v>
      </c>
      <c r="H195" s="5" t="str">
        <f t="shared" si="9"/>
        <v>det_532</v>
      </c>
      <c r="I195" s="5" t="str">
        <f t="shared" si="10"/>
        <v>W:\Performance Measurement\1. Freeway\1. raw data\2016\data files\det_532.txt</v>
      </c>
      <c r="J195" s="5" t="str">
        <f t="shared" si="11"/>
        <v>W:\Performance Measurement\1. Freeway\1. raw data\2016\data files\det_532.xlsx</v>
      </c>
      <c r="K195" s="5"/>
      <c r="M195" s="108" t="s">
        <v>69</v>
      </c>
      <c r="N195" s="10">
        <v>532</v>
      </c>
      <c r="O195" s="10">
        <v>4</v>
      </c>
      <c r="P195" s="10">
        <v>1</v>
      </c>
    </row>
    <row r="196" spans="4:16" x14ac:dyDescent="0.25">
      <c r="D196" s="109">
        <v>192</v>
      </c>
      <c r="E196" s="10">
        <v>533</v>
      </c>
      <c r="F196" s="10">
        <v>6</v>
      </c>
      <c r="G196" s="10">
        <v>1</v>
      </c>
      <c r="H196" s="5" t="str">
        <f t="shared" ref="H196:H227" si="12">"det_"&amp;E196&amp;""</f>
        <v>det_533</v>
      </c>
      <c r="I196" s="5" t="str">
        <f t="shared" si="10"/>
        <v>W:\Performance Measurement\1. Freeway\1. raw data\2016\data files\det_533.txt</v>
      </c>
      <c r="J196" s="5" t="str">
        <f t="shared" si="11"/>
        <v>W:\Performance Measurement\1. Freeway\1. raw data\2016\data files\det_533.xlsx</v>
      </c>
      <c r="K196" s="5"/>
      <c r="M196" s="108" t="s">
        <v>69</v>
      </c>
      <c r="N196" s="10">
        <v>533</v>
      </c>
      <c r="O196" s="10">
        <v>6</v>
      </c>
      <c r="P196" s="10">
        <v>1</v>
      </c>
    </row>
    <row r="197" spans="4:16" x14ac:dyDescent="0.25">
      <c r="D197" s="109">
        <v>193</v>
      </c>
      <c r="E197" s="10">
        <v>534</v>
      </c>
      <c r="F197" s="10">
        <v>5</v>
      </c>
      <c r="G197" s="10">
        <v>1</v>
      </c>
      <c r="H197" s="5" t="str">
        <f t="shared" si="12"/>
        <v>det_534</v>
      </c>
      <c r="I197" s="5" t="str">
        <f t="shared" si="10"/>
        <v>W:\Performance Measurement\1. Freeway\1. raw data\2016\data files\det_534.txt</v>
      </c>
      <c r="J197" s="5" t="str">
        <f t="shared" si="11"/>
        <v>W:\Performance Measurement\1. Freeway\1. raw data\2016\data files\det_534.xlsx</v>
      </c>
      <c r="K197" s="5"/>
      <c r="M197" s="108" t="s">
        <v>69</v>
      </c>
      <c r="N197" s="10">
        <v>534</v>
      </c>
      <c r="O197" s="10">
        <v>5</v>
      </c>
      <c r="P197" s="10">
        <v>1</v>
      </c>
    </row>
    <row r="198" spans="4:16" x14ac:dyDescent="0.25">
      <c r="D198" s="109">
        <v>194</v>
      </c>
      <c r="E198" s="112">
        <v>535</v>
      </c>
      <c r="F198" s="112">
        <v>4</v>
      </c>
      <c r="G198" s="112">
        <v>1</v>
      </c>
      <c r="H198" s="5" t="str">
        <f t="shared" si="12"/>
        <v>det_535</v>
      </c>
      <c r="I198" s="5" t="str">
        <f t="shared" si="10"/>
        <v>W:\Performance Measurement\1. Freeway\1. raw data\2016\data files\det_535.txt</v>
      </c>
      <c r="J198" s="5" t="str">
        <f t="shared" si="11"/>
        <v>W:\Performance Measurement\1. Freeway\1. raw data\2016\data files\det_535.xlsx</v>
      </c>
      <c r="K198" s="5"/>
      <c r="M198" s="108" t="s">
        <v>69</v>
      </c>
      <c r="N198" s="112">
        <v>535</v>
      </c>
      <c r="O198" s="112">
        <v>4</v>
      </c>
      <c r="P198" s="112">
        <v>1</v>
      </c>
    </row>
    <row r="199" spans="4:16" x14ac:dyDescent="0.25">
      <c r="D199" s="109">
        <v>195</v>
      </c>
      <c r="E199" s="10">
        <v>536</v>
      </c>
      <c r="F199" s="10">
        <v>5</v>
      </c>
      <c r="G199" s="10">
        <v>1</v>
      </c>
      <c r="H199" s="5" t="str">
        <f t="shared" si="12"/>
        <v>det_536</v>
      </c>
      <c r="I199" s="5" t="str">
        <f t="shared" si="10"/>
        <v>W:\Performance Measurement\1. Freeway\1. raw data\2016\data files\det_536.txt</v>
      </c>
      <c r="J199" s="5" t="str">
        <f t="shared" si="11"/>
        <v>W:\Performance Measurement\1. Freeway\1. raw data\2016\data files\det_536.xlsx</v>
      </c>
      <c r="K199" s="5"/>
      <c r="M199" s="108" t="s">
        <v>69</v>
      </c>
      <c r="N199" s="10">
        <v>536</v>
      </c>
      <c r="O199" s="10">
        <v>5</v>
      </c>
      <c r="P199" s="10">
        <v>1</v>
      </c>
    </row>
    <row r="200" spans="4:16" x14ac:dyDescent="0.25">
      <c r="D200" s="109">
        <v>196</v>
      </c>
      <c r="E200" s="10">
        <v>537</v>
      </c>
      <c r="F200" s="10">
        <v>5</v>
      </c>
      <c r="G200" s="10">
        <v>1</v>
      </c>
      <c r="H200" s="5" t="str">
        <f t="shared" si="12"/>
        <v>det_537</v>
      </c>
      <c r="I200" s="5" t="str">
        <f t="shared" si="10"/>
        <v>W:\Performance Measurement\1. Freeway\1. raw data\2016\data files\det_537.txt</v>
      </c>
      <c r="J200" s="5" t="str">
        <f t="shared" si="11"/>
        <v>W:\Performance Measurement\1. Freeway\1. raw data\2016\data files\det_537.xlsx</v>
      </c>
      <c r="K200" s="5"/>
      <c r="M200" s="108" t="s">
        <v>69</v>
      </c>
      <c r="N200" s="10">
        <v>537</v>
      </c>
      <c r="O200" s="10">
        <v>5</v>
      </c>
      <c r="P200" s="10">
        <v>1</v>
      </c>
    </row>
    <row r="201" spans="4:16" x14ac:dyDescent="0.25">
      <c r="D201" s="109">
        <v>197</v>
      </c>
      <c r="E201" s="10">
        <v>538</v>
      </c>
      <c r="F201" s="10">
        <v>5</v>
      </c>
      <c r="G201" s="10">
        <v>1</v>
      </c>
      <c r="H201" s="5" t="str">
        <f t="shared" si="12"/>
        <v>det_538</v>
      </c>
      <c r="I201" s="5" t="str">
        <f t="shared" si="10"/>
        <v>W:\Performance Measurement\1. Freeway\1. raw data\2016\data files\det_538.txt</v>
      </c>
      <c r="J201" s="5" t="str">
        <f t="shared" si="11"/>
        <v>W:\Performance Measurement\1. Freeway\1. raw data\2016\data files\det_538.xlsx</v>
      </c>
      <c r="K201" s="5"/>
      <c r="M201" s="108" t="s">
        <v>69</v>
      </c>
      <c r="N201" s="10">
        <v>538</v>
      </c>
      <c r="O201" s="10">
        <v>5</v>
      </c>
      <c r="P201" s="10">
        <v>1</v>
      </c>
    </row>
    <row r="202" spans="4:16" x14ac:dyDescent="0.25">
      <c r="D202" s="109">
        <v>198</v>
      </c>
      <c r="E202" s="10">
        <v>178</v>
      </c>
      <c r="F202" s="10">
        <v>3</v>
      </c>
      <c r="G202" s="10">
        <v>0</v>
      </c>
      <c r="H202" s="5" t="str">
        <f t="shared" si="12"/>
        <v>det_178</v>
      </c>
      <c r="I202" s="5" t="str">
        <f t="shared" si="10"/>
        <v>W:\Performance Measurement\1. Freeway\1. raw data\2016\data files\det_178.txt</v>
      </c>
      <c r="J202" s="5" t="str">
        <f t="shared" si="11"/>
        <v>W:\Performance Measurement\1. Freeway\1. raw data\2016\data files\det_178.xlsx</v>
      </c>
      <c r="K202" s="5"/>
      <c r="M202" s="108" t="s">
        <v>70</v>
      </c>
      <c r="N202" s="10">
        <v>178</v>
      </c>
      <c r="O202" s="10">
        <v>3</v>
      </c>
      <c r="P202" s="10">
        <v>0</v>
      </c>
    </row>
    <row r="203" spans="4:16" x14ac:dyDescent="0.25">
      <c r="D203" s="109">
        <v>199</v>
      </c>
      <c r="E203" s="10">
        <v>179</v>
      </c>
      <c r="F203" s="10">
        <v>2</v>
      </c>
      <c r="G203" s="10">
        <v>0</v>
      </c>
      <c r="H203" s="5" t="str">
        <f t="shared" si="12"/>
        <v>det_179</v>
      </c>
      <c r="I203" s="5" t="str">
        <f t="shared" si="10"/>
        <v>W:\Performance Measurement\1. Freeway\1. raw data\2016\data files\det_179.txt</v>
      </c>
      <c r="J203" s="5" t="str">
        <f t="shared" si="11"/>
        <v>W:\Performance Measurement\1. Freeway\1. raw data\2016\data files\det_179.xlsx</v>
      </c>
      <c r="K203" s="5"/>
      <c r="M203" s="108" t="s">
        <v>70</v>
      </c>
      <c r="N203" s="10">
        <v>179</v>
      </c>
      <c r="O203" s="10">
        <v>2</v>
      </c>
      <c r="P203" s="10">
        <v>0</v>
      </c>
    </row>
    <row r="204" spans="4:16" x14ac:dyDescent="0.25">
      <c r="D204" s="109">
        <v>200</v>
      </c>
      <c r="E204" s="10">
        <v>182</v>
      </c>
      <c r="F204" s="10">
        <v>3</v>
      </c>
      <c r="G204" s="10">
        <v>0</v>
      </c>
      <c r="H204" s="5" t="str">
        <f t="shared" si="12"/>
        <v>det_182</v>
      </c>
      <c r="I204" s="5" t="str">
        <f t="shared" si="10"/>
        <v>W:\Performance Measurement\1. Freeway\1. raw data\2016\data files\det_182.txt</v>
      </c>
      <c r="J204" s="5" t="str">
        <f t="shared" si="11"/>
        <v>W:\Performance Measurement\1. Freeway\1. raw data\2016\data files\det_182.xlsx</v>
      </c>
      <c r="K204" s="5"/>
      <c r="M204" s="108" t="s">
        <v>70</v>
      </c>
      <c r="N204" s="10">
        <v>182</v>
      </c>
      <c r="O204" s="10">
        <v>3</v>
      </c>
      <c r="P204" s="10">
        <v>0</v>
      </c>
    </row>
    <row r="205" spans="4:16" x14ac:dyDescent="0.25">
      <c r="D205" s="109">
        <v>201</v>
      </c>
      <c r="E205" s="10">
        <v>184</v>
      </c>
      <c r="F205" s="10">
        <v>2</v>
      </c>
      <c r="G205" s="10">
        <v>0</v>
      </c>
      <c r="H205" s="5" t="str">
        <f t="shared" si="12"/>
        <v>det_184</v>
      </c>
      <c r="I205" s="5" t="str">
        <f t="shared" si="10"/>
        <v>W:\Performance Measurement\1. Freeway\1. raw data\2016\data files\det_184.txt</v>
      </c>
      <c r="J205" s="5" t="str">
        <f t="shared" si="11"/>
        <v>W:\Performance Measurement\1. Freeway\1. raw data\2016\data files\det_184.xlsx</v>
      </c>
      <c r="K205" s="5"/>
      <c r="M205" s="108" t="s">
        <v>70</v>
      </c>
      <c r="N205" s="10">
        <v>184</v>
      </c>
      <c r="O205" s="10">
        <v>2</v>
      </c>
      <c r="P205" s="10">
        <v>0</v>
      </c>
    </row>
    <row r="206" spans="4:16" x14ac:dyDescent="0.25">
      <c r="D206" s="109">
        <v>202</v>
      </c>
      <c r="E206" s="10">
        <v>187</v>
      </c>
      <c r="F206" s="10">
        <v>2</v>
      </c>
      <c r="G206" s="10">
        <v>0</v>
      </c>
      <c r="H206" s="5" t="str">
        <f t="shared" si="12"/>
        <v>det_187</v>
      </c>
      <c r="I206" s="5" t="str">
        <f t="shared" si="10"/>
        <v>W:\Performance Measurement\1. Freeway\1. raw data\2016\data files\det_187.txt</v>
      </c>
      <c r="J206" s="5" t="str">
        <f t="shared" si="11"/>
        <v>W:\Performance Measurement\1. Freeway\1. raw data\2016\data files\det_187.xlsx</v>
      </c>
      <c r="K206" s="5"/>
      <c r="M206" s="108" t="s">
        <v>70</v>
      </c>
      <c r="N206" s="10">
        <v>187</v>
      </c>
      <c r="O206" s="10">
        <v>2</v>
      </c>
      <c r="P206" s="10">
        <v>0</v>
      </c>
    </row>
    <row r="207" spans="4:16" x14ac:dyDescent="0.25">
      <c r="D207" s="109">
        <v>203</v>
      </c>
      <c r="E207" s="10">
        <v>176</v>
      </c>
      <c r="F207" s="10">
        <v>2</v>
      </c>
      <c r="G207" s="10">
        <v>0</v>
      </c>
      <c r="H207" s="5" t="str">
        <f t="shared" si="12"/>
        <v>det_176</v>
      </c>
      <c r="I207" s="5" t="str">
        <f t="shared" si="10"/>
        <v>W:\Performance Measurement\1. Freeway\1. raw data\2016\data files\det_176.txt</v>
      </c>
      <c r="J207" s="5" t="str">
        <f t="shared" si="11"/>
        <v>W:\Performance Measurement\1. Freeway\1. raw data\2016\data files\det_176.xlsx</v>
      </c>
      <c r="K207" s="5"/>
      <c r="M207" s="108" t="s">
        <v>70</v>
      </c>
      <c r="N207" s="10">
        <v>176</v>
      </c>
      <c r="O207" s="10">
        <v>2</v>
      </c>
      <c r="P207" s="10">
        <v>0</v>
      </c>
    </row>
    <row r="208" spans="4:16" x14ac:dyDescent="0.25">
      <c r="D208" s="109">
        <v>204</v>
      </c>
      <c r="E208" s="10">
        <v>171</v>
      </c>
      <c r="F208" s="10">
        <v>3</v>
      </c>
      <c r="G208" s="10">
        <v>0</v>
      </c>
      <c r="H208" s="5" t="str">
        <f t="shared" si="12"/>
        <v>det_171</v>
      </c>
      <c r="I208" s="5" t="str">
        <f t="shared" si="10"/>
        <v>W:\Performance Measurement\1. Freeway\1. raw data\2016\data files\det_171.txt</v>
      </c>
      <c r="J208" s="5" t="str">
        <f t="shared" si="11"/>
        <v>W:\Performance Measurement\1. Freeway\1. raw data\2016\data files\det_171.xlsx</v>
      </c>
      <c r="K208" s="5"/>
      <c r="M208" s="108" t="s">
        <v>70</v>
      </c>
      <c r="N208" s="10">
        <v>171</v>
      </c>
      <c r="O208" s="10">
        <v>3</v>
      </c>
      <c r="P208" s="10">
        <v>0</v>
      </c>
    </row>
    <row r="209" spans="4:16" x14ac:dyDescent="0.25">
      <c r="D209" s="109">
        <v>205</v>
      </c>
      <c r="E209" s="112">
        <v>169</v>
      </c>
      <c r="F209" s="112">
        <v>4</v>
      </c>
      <c r="G209" s="112">
        <v>0</v>
      </c>
      <c r="H209" s="5" t="str">
        <f t="shared" si="12"/>
        <v>det_169</v>
      </c>
      <c r="I209" s="5" t="str">
        <f t="shared" si="10"/>
        <v>W:\Performance Measurement\1. Freeway\1. raw data\2016\data files\det_169.txt</v>
      </c>
      <c r="J209" s="5" t="str">
        <f t="shared" si="11"/>
        <v>W:\Performance Measurement\1. Freeway\1. raw data\2016\data files\det_169.xlsx</v>
      </c>
      <c r="K209" s="5"/>
      <c r="M209" s="108" t="s">
        <v>70</v>
      </c>
      <c r="N209" s="112">
        <v>169</v>
      </c>
      <c r="O209" s="112">
        <v>4</v>
      </c>
      <c r="P209" s="112">
        <v>0</v>
      </c>
    </row>
    <row r="210" spans="4:16" x14ac:dyDescent="0.25">
      <c r="D210" s="109">
        <v>206</v>
      </c>
      <c r="E210" s="10">
        <v>167</v>
      </c>
      <c r="F210" s="10">
        <v>2</v>
      </c>
      <c r="G210" s="10">
        <v>0</v>
      </c>
      <c r="H210" s="5" t="str">
        <f t="shared" si="12"/>
        <v>det_167</v>
      </c>
      <c r="I210" s="5" t="str">
        <f t="shared" si="10"/>
        <v>W:\Performance Measurement\1. Freeway\1. raw data\2016\data files\det_167.txt</v>
      </c>
      <c r="J210" s="5" t="str">
        <f t="shared" si="11"/>
        <v>W:\Performance Measurement\1. Freeway\1. raw data\2016\data files\det_167.xlsx</v>
      </c>
      <c r="K210" s="5"/>
      <c r="M210" s="108" t="s">
        <v>70</v>
      </c>
      <c r="N210" s="10">
        <v>167</v>
      </c>
      <c r="O210" s="10">
        <v>2</v>
      </c>
      <c r="P210" s="10">
        <v>0</v>
      </c>
    </row>
    <row r="211" spans="4:16" x14ac:dyDescent="0.25">
      <c r="D211" s="109">
        <v>207</v>
      </c>
      <c r="E211" s="10">
        <v>539</v>
      </c>
      <c r="F211" s="10">
        <v>0</v>
      </c>
      <c r="G211" s="10">
        <v>0</v>
      </c>
      <c r="H211" s="5" t="str">
        <f t="shared" si="12"/>
        <v>det_539</v>
      </c>
      <c r="I211" s="5" t="str">
        <f t="shared" si="10"/>
        <v>W:\Performance Measurement\1. Freeway\1. raw data\2016\data files\det_539.txt</v>
      </c>
      <c r="J211" s="5" t="str">
        <f t="shared" si="11"/>
        <v>W:\Performance Measurement\1. Freeway\1. raw data\2016\data files\det_539.xlsx</v>
      </c>
      <c r="K211" s="5"/>
      <c r="M211" s="108" t="s">
        <v>71</v>
      </c>
      <c r="N211" s="10">
        <v>539</v>
      </c>
      <c r="O211" s="10">
        <v>0</v>
      </c>
      <c r="P211" s="10">
        <v>0</v>
      </c>
    </row>
    <row r="212" spans="4:16" x14ac:dyDescent="0.25">
      <c r="D212" s="109">
        <v>208</v>
      </c>
      <c r="E212" s="112">
        <v>540</v>
      </c>
      <c r="F212" s="112">
        <v>2</v>
      </c>
      <c r="G212" s="112">
        <v>1</v>
      </c>
      <c r="H212" s="5" t="str">
        <f t="shared" si="12"/>
        <v>det_540</v>
      </c>
      <c r="I212" s="5" t="str">
        <f t="shared" si="10"/>
        <v>W:\Performance Measurement\1. Freeway\1. raw data\2016\data files\det_540.txt</v>
      </c>
      <c r="J212" s="5" t="str">
        <f t="shared" si="11"/>
        <v>W:\Performance Measurement\1. Freeway\1. raw data\2016\data files\det_540.xlsx</v>
      </c>
      <c r="K212" s="5"/>
      <c r="M212" s="108" t="s">
        <v>71</v>
      </c>
      <c r="N212" s="112">
        <v>540</v>
      </c>
      <c r="O212" s="112">
        <v>2</v>
      </c>
      <c r="P212" s="112">
        <v>1</v>
      </c>
    </row>
    <row r="213" spans="4:16" x14ac:dyDescent="0.25">
      <c r="D213" s="109">
        <v>209</v>
      </c>
      <c r="E213" s="10">
        <v>541</v>
      </c>
      <c r="F213" s="10">
        <v>3</v>
      </c>
      <c r="G213" s="10">
        <v>1</v>
      </c>
      <c r="H213" s="5" t="str">
        <f t="shared" si="12"/>
        <v>det_541</v>
      </c>
      <c r="I213" s="5" t="str">
        <f t="shared" si="10"/>
        <v>W:\Performance Measurement\1. Freeway\1. raw data\2016\data files\det_541.txt</v>
      </c>
      <c r="J213" s="5" t="str">
        <f t="shared" si="11"/>
        <v>W:\Performance Measurement\1. Freeway\1. raw data\2016\data files\det_541.xlsx</v>
      </c>
      <c r="K213" s="5"/>
      <c r="M213" s="108" t="s">
        <v>71</v>
      </c>
      <c r="N213" s="10">
        <v>541</v>
      </c>
      <c r="O213" s="10">
        <v>3</v>
      </c>
      <c r="P213" s="10">
        <v>1</v>
      </c>
    </row>
    <row r="214" spans="4:16" x14ac:dyDescent="0.25">
      <c r="D214" s="109">
        <v>210</v>
      </c>
      <c r="E214" s="10">
        <v>542</v>
      </c>
      <c r="F214" s="10">
        <v>3</v>
      </c>
      <c r="G214" s="10">
        <v>1</v>
      </c>
      <c r="H214" s="5" t="str">
        <f t="shared" si="12"/>
        <v>det_542</v>
      </c>
      <c r="I214" s="5" t="str">
        <f t="shared" si="10"/>
        <v>W:\Performance Measurement\1. Freeway\1. raw data\2016\data files\det_542.txt</v>
      </c>
      <c r="J214" s="5" t="str">
        <f t="shared" si="11"/>
        <v>W:\Performance Measurement\1. Freeway\1. raw data\2016\data files\det_542.xlsx</v>
      </c>
      <c r="K214" s="5"/>
      <c r="M214" s="108" t="s">
        <v>71</v>
      </c>
      <c r="N214" s="10">
        <v>542</v>
      </c>
      <c r="O214" s="10">
        <v>3</v>
      </c>
      <c r="P214" s="10">
        <v>1</v>
      </c>
    </row>
    <row r="215" spans="4:16" x14ac:dyDescent="0.25">
      <c r="D215" s="109">
        <v>211</v>
      </c>
      <c r="E215" s="10">
        <v>543</v>
      </c>
      <c r="F215" s="10">
        <v>3</v>
      </c>
      <c r="G215" s="10">
        <v>1</v>
      </c>
      <c r="H215" s="5" t="str">
        <f t="shared" si="12"/>
        <v>det_543</v>
      </c>
      <c r="I215" s="5" t="str">
        <f t="shared" si="10"/>
        <v>W:\Performance Measurement\1. Freeway\1. raw data\2016\data files\det_543.txt</v>
      </c>
      <c r="J215" s="5" t="str">
        <f t="shared" si="11"/>
        <v>W:\Performance Measurement\1. Freeway\1. raw data\2016\data files\det_543.xlsx</v>
      </c>
      <c r="K215" s="5"/>
      <c r="M215" s="108" t="s">
        <v>71</v>
      </c>
      <c r="N215" s="10">
        <v>543</v>
      </c>
      <c r="O215" s="10">
        <v>3</v>
      </c>
      <c r="P215" s="10">
        <v>1</v>
      </c>
    </row>
    <row r="216" spans="4:16" x14ac:dyDescent="0.25">
      <c r="D216" s="109">
        <v>212</v>
      </c>
      <c r="E216" s="10">
        <v>514</v>
      </c>
      <c r="F216" s="10">
        <v>4</v>
      </c>
      <c r="G216" s="10">
        <v>1</v>
      </c>
      <c r="H216" s="5" t="str">
        <f t="shared" si="12"/>
        <v>det_514</v>
      </c>
      <c r="I216" s="5" t="str">
        <f t="shared" si="10"/>
        <v>W:\Performance Measurement\1. Freeway\1. raw data\2016\data files\det_514.txt</v>
      </c>
      <c r="J216" s="5" t="str">
        <f t="shared" si="11"/>
        <v>W:\Performance Measurement\1. Freeway\1. raw data\2016\data files\det_514.xlsx</v>
      </c>
      <c r="K216" s="5"/>
      <c r="M216" s="108" t="s">
        <v>71</v>
      </c>
      <c r="N216" s="10">
        <v>514</v>
      </c>
      <c r="O216" s="10">
        <v>4</v>
      </c>
      <c r="P216" s="10">
        <v>1</v>
      </c>
    </row>
    <row r="217" spans="4:16" x14ac:dyDescent="0.25">
      <c r="D217" s="109">
        <v>213</v>
      </c>
      <c r="E217" s="10">
        <v>518</v>
      </c>
      <c r="F217" s="10">
        <v>3</v>
      </c>
      <c r="G217" s="10">
        <v>1</v>
      </c>
      <c r="H217" s="5" t="str">
        <f t="shared" si="12"/>
        <v>det_518</v>
      </c>
      <c r="I217" s="5" t="str">
        <f t="shared" si="10"/>
        <v>W:\Performance Measurement\1. Freeway\1. raw data\2016\data files\det_518.txt</v>
      </c>
      <c r="J217" s="5" t="str">
        <f t="shared" si="11"/>
        <v>W:\Performance Measurement\1. Freeway\1. raw data\2016\data files\det_518.xlsx</v>
      </c>
      <c r="K217" s="5"/>
      <c r="M217" s="108" t="s">
        <v>71</v>
      </c>
      <c r="N217" s="10">
        <v>518</v>
      </c>
      <c r="O217" s="10">
        <v>3</v>
      </c>
      <c r="P217" s="10">
        <v>1</v>
      </c>
    </row>
    <row r="218" spans="4:16" x14ac:dyDescent="0.25">
      <c r="D218" s="109">
        <v>214</v>
      </c>
      <c r="E218" s="10">
        <v>510</v>
      </c>
      <c r="F218" s="10">
        <v>4</v>
      </c>
      <c r="G218" s="10">
        <v>1</v>
      </c>
      <c r="H218" s="5" t="str">
        <f t="shared" si="12"/>
        <v>det_510</v>
      </c>
      <c r="I218" s="5" t="str">
        <f t="shared" si="10"/>
        <v>W:\Performance Measurement\1. Freeway\1. raw data\2016\data files\det_510.txt</v>
      </c>
      <c r="J218" s="5" t="str">
        <f t="shared" si="11"/>
        <v>W:\Performance Measurement\1. Freeway\1. raw data\2016\data files\det_510.xlsx</v>
      </c>
      <c r="K218" s="5"/>
      <c r="M218" s="108" t="s">
        <v>71</v>
      </c>
      <c r="N218" s="10">
        <v>510</v>
      </c>
      <c r="O218" s="10">
        <v>4</v>
      </c>
      <c r="P218" s="10">
        <v>1</v>
      </c>
    </row>
    <row r="219" spans="4:16" x14ac:dyDescent="0.25">
      <c r="D219" s="109">
        <v>215</v>
      </c>
      <c r="E219" s="112">
        <v>513</v>
      </c>
      <c r="F219" s="112">
        <v>2</v>
      </c>
      <c r="G219" s="112">
        <v>0</v>
      </c>
      <c r="H219" s="5" t="str">
        <f t="shared" si="12"/>
        <v>det_513</v>
      </c>
      <c r="I219" s="5" t="str">
        <f t="shared" si="10"/>
        <v>W:\Performance Measurement\1. Freeway\1. raw data\2016\data files\det_513.txt</v>
      </c>
      <c r="J219" s="5" t="str">
        <f t="shared" si="11"/>
        <v>W:\Performance Measurement\1. Freeway\1. raw data\2016\data files\det_513.xlsx</v>
      </c>
      <c r="K219" s="5"/>
      <c r="M219" s="108" t="s">
        <v>71</v>
      </c>
      <c r="N219" s="112">
        <v>513</v>
      </c>
      <c r="O219" s="112">
        <v>2</v>
      </c>
      <c r="P219" s="112">
        <v>0</v>
      </c>
    </row>
    <row r="220" spans="4:16" x14ac:dyDescent="0.25">
      <c r="D220" s="109">
        <v>216</v>
      </c>
      <c r="E220" s="112">
        <v>544</v>
      </c>
      <c r="F220" s="112">
        <v>3</v>
      </c>
      <c r="G220" s="112">
        <v>1</v>
      </c>
      <c r="H220" s="5" t="str">
        <f t="shared" si="12"/>
        <v>det_544</v>
      </c>
      <c r="I220" s="5" t="str">
        <f t="shared" si="10"/>
        <v>W:\Performance Measurement\1. Freeway\1. raw data\2016\data files\det_544.txt</v>
      </c>
      <c r="J220" s="5" t="str">
        <f t="shared" si="11"/>
        <v>W:\Performance Measurement\1. Freeway\1. raw data\2016\data files\det_544.xlsx</v>
      </c>
      <c r="K220" s="5"/>
      <c r="M220" s="108" t="s">
        <v>71</v>
      </c>
      <c r="N220" s="10">
        <v>544</v>
      </c>
      <c r="O220" s="10">
        <v>3</v>
      </c>
      <c r="P220" s="10">
        <v>1</v>
      </c>
    </row>
    <row r="221" spans="4:16" x14ac:dyDescent="0.25">
      <c r="D221" s="109">
        <v>217</v>
      </c>
      <c r="E221" s="10">
        <v>545</v>
      </c>
      <c r="F221" s="10">
        <v>3</v>
      </c>
      <c r="G221" s="10">
        <v>1</v>
      </c>
      <c r="H221" s="5" t="str">
        <f t="shared" si="12"/>
        <v>det_545</v>
      </c>
      <c r="I221" s="5" t="str">
        <f t="shared" si="10"/>
        <v>W:\Performance Measurement\1. Freeway\1. raw data\2016\data files\det_545.txt</v>
      </c>
      <c r="J221" s="5" t="str">
        <f t="shared" si="11"/>
        <v>W:\Performance Measurement\1. Freeway\1. raw data\2016\data files\det_545.xlsx</v>
      </c>
      <c r="K221" s="5"/>
      <c r="M221" s="108" t="s">
        <v>71</v>
      </c>
      <c r="N221" s="10">
        <v>545</v>
      </c>
      <c r="O221" s="10">
        <v>3</v>
      </c>
      <c r="P221" s="10">
        <v>1</v>
      </c>
    </row>
    <row r="222" spans="4:16" x14ac:dyDescent="0.25">
      <c r="D222" s="109">
        <v>218</v>
      </c>
      <c r="E222" s="10">
        <v>546</v>
      </c>
      <c r="F222" s="10">
        <v>3</v>
      </c>
      <c r="G222" s="10">
        <v>1</v>
      </c>
      <c r="H222" s="5" t="str">
        <f t="shared" si="12"/>
        <v>det_546</v>
      </c>
      <c r="I222" s="5" t="str">
        <f t="shared" si="10"/>
        <v>W:\Performance Measurement\1. Freeway\1. raw data\2016\data files\det_546.txt</v>
      </c>
      <c r="J222" s="5" t="str">
        <f t="shared" si="11"/>
        <v>W:\Performance Measurement\1. Freeway\1. raw data\2016\data files\det_546.xlsx</v>
      </c>
      <c r="K222" s="5"/>
      <c r="M222" s="108" t="s">
        <v>71</v>
      </c>
      <c r="N222" s="10">
        <v>546</v>
      </c>
      <c r="O222" s="10">
        <v>3</v>
      </c>
      <c r="P222" s="10">
        <v>1</v>
      </c>
    </row>
    <row r="223" spans="4:16" x14ac:dyDescent="0.25">
      <c r="D223" s="109">
        <v>219</v>
      </c>
      <c r="E223" s="10">
        <v>547</v>
      </c>
      <c r="F223" s="10">
        <v>3</v>
      </c>
      <c r="G223" s="10">
        <v>1</v>
      </c>
      <c r="H223" s="5" t="str">
        <f t="shared" si="12"/>
        <v>det_547</v>
      </c>
      <c r="I223" s="5" t="str">
        <f t="shared" si="10"/>
        <v>W:\Performance Measurement\1. Freeway\1. raw data\2016\data files\det_547.txt</v>
      </c>
      <c r="J223" s="5" t="str">
        <f t="shared" si="11"/>
        <v>W:\Performance Measurement\1. Freeway\1. raw data\2016\data files\det_547.xlsx</v>
      </c>
      <c r="K223" s="5"/>
      <c r="M223" s="108" t="s">
        <v>71</v>
      </c>
      <c r="N223" s="10">
        <v>547</v>
      </c>
      <c r="O223" s="10">
        <v>3</v>
      </c>
      <c r="P223" s="10">
        <v>1</v>
      </c>
    </row>
    <row r="224" spans="4:16" x14ac:dyDescent="0.25">
      <c r="D224" s="109">
        <v>220</v>
      </c>
      <c r="E224" s="10">
        <v>548</v>
      </c>
      <c r="F224" s="10">
        <v>2</v>
      </c>
      <c r="G224" s="10">
        <v>0</v>
      </c>
      <c r="H224" s="5" t="str">
        <f t="shared" si="12"/>
        <v>det_548</v>
      </c>
      <c r="I224" s="5" t="str">
        <f t="shared" si="10"/>
        <v>W:\Performance Measurement\1. Freeway\1. raw data\2016\data files\det_548.txt</v>
      </c>
      <c r="J224" s="5" t="str">
        <f t="shared" si="11"/>
        <v>W:\Performance Measurement\1. Freeway\1. raw data\2016\data files\det_548.xlsx</v>
      </c>
      <c r="K224" s="5"/>
      <c r="M224" s="108" t="s">
        <v>71</v>
      </c>
      <c r="N224" s="10">
        <v>548</v>
      </c>
      <c r="O224" s="10">
        <v>2</v>
      </c>
      <c r="P224" s="10">
        <v>0</v>
      </c>
    </row>
    <row r="225" spans="4:16" x14ac:dyDescent="0.25">
      <c r="D225" s="109">
        <v>221</v>
      </c>
      <c r="E225" s="10">
        <v>264</v>
      </c>
      <c r="F225" s="10">
        <v>5</v>
      </c>
      <c r="G225" s="10">
        <v>1</v>
      </c>
      <c r="H225" s="5" t="str">
        <f t="shared" si="12"/>
        <v>det_264</v>
      </c>
      <c r="I225" s="5" t="str">
        <f t="shared" si="10"/>
        <v>W:\Performance Measurement\1. Freeway\1. raw data\2016\data files\det_264.txt</v>
      </c>
      <c r="J225" s="5" t="str">
        <f t="shared" si="11"/>
        <v>W:\Performance Measurement\1. Freeway\1. raw data\2016\data files\det_264.xlsx</v>
      </c>
      <c r="K225" s="5"/>
      <c r="M225" s="108" t="s">
        <v>72</v>
      </c>
      <c r="N225" s="10">
        <v>264</v>
      </c>
      <c r="O225" s="10">
        <v>5</v>
      </c>
      <c r="P225" s="10">
        <v>1</v>
      </c>
    </row>
    <row r="226" spans="4:16" x14ac:dyDescent="0.25">
      <c r="D226" s="109">
        <v>222</v>
      </c>
      <c r="E226" s="10">
        <v>267</v>
      </c>
      <c r="F226" s="10">
        <v>4</v>
      </c>
      <c r="G226" s="10">
        <v>1</v>
      </c>
      <c r="H226" s="5" t="str">
        <f t="shared" si="12"/>
        <v>det_267</v>
      </c>
      <c r="I226" s="5" t="str">
        <f t="shared" si="10"/>
        <v>W:\Performance Measurement\1. Freeway\1. raw data\2016\data files\det_267.txt</v>
      </c>
      <c r="J226" s="5" t="str">
        <f t="shared" si="11"/>
        <v>W:\Performance Measurement\1. Freeway\1. raw data\2016\data files\det_267.xlsx</v>
      </c>
      <c r="K226" s="5"/>
      <c r="M226" s="108" t="s">
        <v>72</v>
      </c>
      <c r="N226" s="10">
        <v>267</v>
      </c>
      <c r="O226" s="10">
        <v>4</v>
      </c>
      <c r="P226" s="10">
        <v>1</v>
      </c>
    </row>
    <row r="227" spans="4:16" x14ac:dyDescent="0.25">
      <c r="D227" s="109">
        <v>223</v>
      </c>
      <c r="E227" s="10">
        <v>270</v>
      </c>
      <c r="F227" s="10">
        <v>3</v>
      </c>
      <c r="G227" s="10">
        <v>1</v>
      </c>
      <c r="H227" s="5" t="str">
        <f t="shared" si="12"/>
        <v>det_270</v>
      </c>
      <c r="I227" s="5" t="str">
        <f t="shared" si="10"/>
        <v>W:\Performance Measurement\1. Freeway\1. raw data\2016\data files\det_270.txt</v>
      </c>
      <c r="J227" s="5" t="str">
        <f t="shared" si="11"/>
        <v>W:\Performance Measurement\1. Freeway\1. raw data\2016\data files\det_270.xlsx</v>
      </c>
      <c r="K227" s="5"/>
      <c r="M227" s="108" t="s">
        <v>72</v>
      </c>
      <c r="N227" s="10">
        <v>270</v>
      </c>
      <c r="O227" s="10">
        <v>3</v>
      </c>
      <c r="P227" s="10">
        <v>1</v>
      </c>
    </row>
    <row r="228" spans="4:16" x14ac:dyDescent="0.25">
      <c r="D228" s="109">
        <v>224</v>
      </c>
      <c r="E228" s="10">
        <v>271</v>
      </c>
      <c r="F228" s="10">
        <v>3</v>
      </c>
      <c r="G228" s="10">
        <v>0</v>
      </c>
      <c r="H228" s="5" t="str">
        <f t="shared" ref="H228:H259" si="13">"det_"&amp;E228&amp;""</f>
        <v>det_271</v>
      </c>
      <c r="I228" s="5" t="str">
        <f t="shared" si="10"/>
        <v>W:\Performance Measurement\1. Freeway\1. raw data\2016\data files\det_271.txt</v>
      </c>
      <c r="J228" s="5" t="str">
        <f t="shared" si="11"/>
        <v>W:\Performance Measurement\1. Freeway\1. raw data\2016\data files\det_271.xlsx</v>
      </c>
      <c r="K228" s="5"/>
      <c r="M228" s="108" t="s">
        <v>273</v>
      </c>
      <c r="N228" s="10">
        <v>271</v>
      </c>
      <c r="O228" s="10">
        <v>3</v>
      </c>
      <c r="P228" s="10">
        <v>0</v>
      </c>
    </row>
    <row r="229" spans="4:16" x14ac:dyDescent="0.25">
      <c r="D229" s="109">
        <v>225</v>
      </c>
      <c r="E229" s="10">
        <v>256</v>
      </c>
      <c r="F229" s="10">
        <v>3</v>
      </c>
      <c r="G229" s="10">
        <v>1</v>
      </c>
      <c r="H229" s="5" t="str">
        <f t="shared" si="13"/>
        <v>det_256</v>
      </c>
      <c r="I229" s="5" t="str">
        <f t="shared" si="10"/>
        <v>W:\Performance Measurement\1. Freeway\1. raw data\2016\data files\det_256.txt</v>
      </c>
      <c r="J229" s="5" t="str">
        <f t="shared" si="11"/>
        <v>W:\Performance Measurement\1. Freeway\1. raw data\2016\data files\det_256.xlsx</v>
      </c>
      <c r="K229" s="5"/>
      <c r="M229" s="108" t="s">
        <v>72</v>
      </c>
      <c r="N229" s="10">
        <v>256</v>
      </c>
      <c r="O229" s="10">
        <v>3</v>
      </c>
      <c r="P229" s="10">
        <v>1</v>
      </c>
    </row>
    <row r="230" spans="4:16" x14ac:dyDescent="0.25">
      <c r="D230" s="109">
        <v>226</v>
      </c>
      <c r="E230" s="10">
        <v>258</v>
      </c>
      <c r="F230" s="10">
        <v>5</v>
      </c>
      <c r="G230" s="10">
        <v>1</v>
      </c>
      <c r="H230" s="5" t="str">
        <f t="shared" si="13"/>
        <v>det_258</v>
      </c>
      <c r="I230" s="5" t="str">
        <f t="shared" si="10"/>
        <v>W:\Performance Measurement\1. Freeway\1. raw data\2016\data files\det_258.txt</v>
      </c>
      <c r="J230" s="5" t="str">
        <f t="shared" si="11"/>
        <v>W:\Performance Measurement\1. Freeway\1. raw data\2016\data files\det_258.xlsx</v>
      </c>
      <c r="K230" s="5"/>
      <c r="M230" s="108" t="s">
        <v>72</v>
      </c>
      <c r="N230" s="10">
        <v>258</v>
      </c>
      <c r="O230" s="10">
        <v>5</v>
      </c>
      <c r="P230" s="10">
        <v>1</v>
      </c>
    </row>
    <row r="231" spans="4:16" x14ac:dyDescent="0.25">
      <c r="D231" s="109">
        <v>227</v>
      </c>
      <c r="E231" s="10">
        <v>261</v>
      </c>
      <c r="F231" s="10">
        <v>4</v>
      </c>
      <c r="G231" s="10">
        <v>1</v>
      </c>
      <c r="H231" s="5" t="str">
        <f t="shared" si="13"/>
        <v>det_261</v>
      </c>
      <c r="I231" s="5" t="str">
        <f t="shared" si="10"/>
        <v>W:\Performance Measurement\1. Freeway\1. raw data\2016\data files\det_261.txt</v>
      </c>
      <c r="J231" s="5" t="str">
        <f t="shared" si="11"/>
        <v>W:\Performance Measurement\1. Freeway\1. raw data\2016\data files\det_261.xlsx</v>
      </c>
      <c r="K231" s="5"/>
      <c r="M231" s="108" t="s">
        <v>72</v>
      </c>
      <c r="N231" s="10">
        <v>261</v>
      </c>
      <c r="O231" s="10">
        <v>4</v>
      </c>
      <c r="P231" s="10">
        <v>1</v>
      </c>
    </row>
    <row r="232" spans="4:16" x14ac:dyDescent="0.25">
      <c r="D232" s="109">
        <v>228</v>
      </c>
      <c r="E232" s="10">
        <v>263</v>
      </c>
      <c r="F232" s="10">
        <v>4</v>
      </c>
      <c r="G232" s="10">
        <v>1</v>
      </c>
      <c r="H232" s="5" t="str">
        <f t="shared" si="13"/>
        <v>det_263</v>
      </c>
      <c r="I232" s="5" t="str">
        <f t="shared" si="10"/>
        <v>W:\Performance Measurement\1. Freeway\1. raw data\2016\data files\det_263.txt</v>
      </c>
      <c r="J232" s="5" t="str">
        <f t="shared" si="11"/>
        <v>W:\Performance Measurement\1. Freeway\1. raw data\2016\data files\det_263.xlsx</v>
      </c>
      <c r="K232" s="5"/>
      <c r="M232" s="108" t="s">
        <v>72</v>
      </c>
      <c r="N232" s="10">
        <v>263</v>
      </c>
      <c r="O232" s="10">
        <v>4</v>
      </c>
      <c r="P232" s="10">
        <v>1</v>
      </c>
    </row>
    <row r="233" spans="4:16" x14ac:dyDescent="0.25">
      <c r="D233" s="109">
        <v>229</v>
      </c>
      <c r="E233" s="10">
        <v>507</v>
      </c>
      <c r="F233" s="10">
        <v>3</v>
      </c>
      <c r="G233" s="10">
        <v>1</v>
      </c>
      <c r="H233" s="5" t="str">
        <f t="shared" si="13"/>
        <v>det_507</v>
      </c>
      <c r="I233" s="5" t="str">
        <f t="shared" si="10"/>
        <v>W:\Performance Measurement\1. Freeway\1. raw data\2016\data files\det_507.txt</v>
      </c>
      <c r="J233" s="5" t="str">
        <f t="shared" si="11"/>
        <v>W:\Performance Measurement\1. Freeway\1. raw data\2016\data files\det_507.xlsx</v>
      </c>
      <c r="K233" s="5"/>
      <c r="M233" s="108" t="s">
        <v>72</v>
      </c>
      <c r="N233" s="10">
        <v>507</v>
      </c>
      <c r="O233" s="10">
        <v>3</v>
      </c>
      <c r="P233" s="10">
        <v>1</v>
      </c>
    </row>
    <row r="234" spans="4:16" x14ac:dyDescent="0.25">
      <c r="D234" s="109">
        <v>230</v>
      </c>
      <c r="E234" s="10">
        <v>549</v>
      </c>
      <c r="F234" s="10">
        <v>4</v>
      </c>
      <c r="G234" s="10">
        <v>1</v>
      </c>
      <c r="H234" s="5" t="str">
        <f t="shared" si="13"/>
        <v>det_549</v>
      </c>
      <c r="I234" s="5" t="str">
        <f t="shared" si="10"/>
        <v>W:\Performance Measurement\1. Freeway\1. raw data\2016\data files\det_549.txt</v>
      </c>
      <c r="J234" s="5" t="str">
        <f t="shared" si="11"/>
        <v>W:\Performance Measurement\1. Freeway\1. raw data\2016\data files\det_549.xlsx</v>
      </c>
      <c r="K234" s="5"/>
      <c r="M234" s="108" t="s">
        <v>73</v>
      </c>
      <c r="N234" s="10">
        <v>549</v>
      </c>
      <c r="O234" s="10">
        <v>4</v>
      </c>
      <c r="P234" s="10">
        <v>1</v>
      </c>
    </row>
    <row r="235" spans="4:16" x14ac:dyDescent="0.25">
      <c r="D235" s="109">
        <v>231</v>
      </c>
      <c r="E235" s="10">
        <v>550</v>
      </c>
      <c r="F235" s="10">
        <v>3</v>
      </c>
      <c r="G235" s="10">
        <v>1</v>
      </c>
      <c r="H235" s="5" t="str">
        <f t="shared" si="13"/>
        <v>det_550</v>
      </c>
      <c r="I235" s="5" t="str">
        <f t="shared" si="10"/>
        <v>W:\Performance Measurement\1. Freeway\1. raw data\2016\data files\det_550.txt</v>
      </c>
      <c r="J235" s="5" t="str">
        <f t="shared" si="11"/>
        <v>W:\Performance Measurement\1. Freeway\1. raw data\2016\data files\det_550.xlsx</v>
      </c>
      <c r="K235" s="5"/>
      <c r="M235" s="108" t="s">
        <v>74</v>
      </c>
      <c r="N235" s="10">
        <v>550</v>
      </c>
      <c r="O235" s="10">
        <v>3</v>
      </c>
      <c r="P235" s="10">
        <v>1</v>
      </c>
    </row>
    <row r="236" spans="4:16" x14ac:dyDescent="0.25">
      <c r="D236" s="109">
        <v>232</v>
      </c>
      <c r="E236" s="112">
        <v>551</v>
      </c>
      <c r="F236" s="112">
        <v>2</v>
      </c>
      <c r="G236" s="112">
        <v>1</v>
      </c>
      <c r="H236" s="5" t="str">
        <f t="shared" si="13"/>
        <v>det_551</v>
      </c>
      <c r="I236" s="5" t="str">
        <f t="shared" si="10"/>
        <v>W:\Performance Measurement\1. Freeway\1. raw data\2016\data files\det_551.txt</v>
      </c>
      <c r="J236" s="5" t="str">
        <f t="shared" si="11"/>
        <v>W:\Performance Measurement\1. Freeway\1. raw data\2016\data files\det_551.xlsx</v>
      </c>
      <c r="K236" s="5"/>
      <c r="M236" s="108" t="s">
        <v>73</v>
      </c>
      <c r="N236" s="112">
        <v>551</v>
      </c>
      <c r="O236" s="112">
        <v>2</v>
      </c>
      <c r="P236" s="112">
        <v>1</v>
      </c>
    </row>
    <row r="237" spans="4:16" x14ac:dyDescent="0.25">
      <c r="D237" s="109">
        <v>233</v>
      </c>
      <c r="E237" s="10">
        <v>552</v>
      </c>
      <c r="F237" s="10">
        <v>3</v>
      </c>
      <c r="G237" s="10">
        <v>1</v>
      </c>
      <c r="H237" s="5" t="str">
        <f t="shared" si="13"/>
        <v>det_552</v>
      </c>
      <c r="I237" s="5" t="str">
        <f t="shared" si="10"/>
        <v>W:\Performance Measurement\1. Freeway\1. raw data\2016\data files\det_552.txt</v>
      </c>
      <c r="J237" s="5" t="str">
        <f t="shared" si="11"/>
        <v>W:\Performance Measurement\1. Freeway\1. raw data\2016\data files\det_552.xlsx</v>
      </c>
      <c r="K237" s="5"/>
      <c r="M237" s="108" t="s">
        <v>74</v>
      </c>
      <c r="N237" s="10">
        <v>552</v>
      </c>
      <c r="O237" s="10">
        <v>3</v>
      </c>
      <c r="P237" s="10">
        <v>1</v>
      </c>
    </row>
    <row r="238" spans="4:16" x14ac:dyDescent="0.25">
      <c r="D238" s="109">
        <v>234</v>
      </c>
      <c r="E238" s="10">
        <v>553</v>
      </c>
      <c r="F238" s="10">
        <v>3</v>
      </c>
      <c r="G238" s="10">
        <v>1</v>
      </c>
      <c r="H238" s="5" t="str">
        <f t="shared" si="13"/>
        <v>det_553</v>
      </c>
      <c r="I238" s="5" t="str">
        <f t="shared" si="10"/>
        <v>W:\Performance Measurement\1. Freeway\1. raw data\2016\data files\det_553.txt</v>
      </c>
      <c r="J238" s="5" t="str">
        <f t="shared" si="11"/>
        <v>W:\Performance Measurement\1. Freeway\1. raw data\2016\data files\det_553.xlsx</v>
      </c>
      <c r="K238" s="5"/>
      <c r="M238" s="108" t="s">
        <v>73</v>
      </c>
      <c r="N238" s="10">
        <v>553</v>
      </c>
      <c r="O238" s="10">
        <v>3</v>
      </c>
      <c r="P238" s="10">
        <v>1</v>
      </c>
    </row>
    <row r="239" spans="4:16" x14ac:dyDescent="0.25">
      <c r="D239" s="109">
        <v>235</v>
      </c>
      <c r="E239" s="10">
        <v>554</v>
      </c>
      <c r="F239" s="10">
        <v>3</v>
      </c>
      <c r="G239" s="10">
        <v>1</v>
      </c>
      <c r="H239" s="5" t="str">
        <f t="shared" si="13"/>
        <v>det_554</v>
      </c>
      <c r="I239" s="5" t="str">
        <f t="shared" si="10"/>
        <v>W:\Performance Measurement\1. Freeway\1. raw data\2016\data files\det_554.txt</v>
      </c>
      <c r="J239" s="5" t="str">
        <f t="shared" si="11"/>
        <v>W:\Performance Measurement\1. Freeway\1. raw data\2016\data files\det_554.xlsx</v>
      </c>
      <c r="K239" s="5"/>
      <c r="M239" s="108" t="s">
        <v>74</v>
      </c>
      <c r="N239" s="10">
        <v>554</v>
      </c>
      <c r="O239" s="10">
        <v>3</v>
      </c>
      <c r="P239" s="10">
        <v>1</v>
      </c>
    </row>
    <row r="240" spans="4:16" x14ac:dyDescent="0.25">
      <c r="D240" s="109">
        <v>236</v>
      </c>
      <c r="E240" s="10">
        <v>555</v>
      </c>
      <c r="F240" s="10">
        <v>3</v>
      </c>
      <c r="G240" s="10">
        <v>1</v>
      </c>
      <c r="H240" s="5" t="str">
        <f t="shared" si="13"/>
        <v>det_555</v>
      </c>
      <c r="I240" s="5" t="str">
        <f t="shared" si="10"/>
        <v>W:\Performance Measurement\1. Freeway\1. raw data\2016\data files\det_555.txt</v>
      </c>
      <c r="J240" s="5" t="str">
        <f t="shared" si="11"/>
        <v>W:\Performance Measurement\1. Freeway\1. raw data\2016\data files\det_555.xlsx</v>
      </c>
      <c r="K240" s="5"/>
      <c r="M240" s="108" t="s">
        <v>73</v>
      </c>
      <c r="N240" s="10">
        <v>555</v>
      </c>
      <c r="O240" s="10">
        <v>3</v>
      </c>
      <c r="P240" s="10">
        <v>1</v>
      </c>
    </row>
    <row r="241" spans="4:16" x14ac:dyDescent="0.25">
      <c r="D241" s="109">
        <v>237</v>
      </c>
      <c r="E241" s="10">
        <v>556</v>
      </c>
      <c r="F241" s="10">
        <v>3</v>
      </c>
      <c r="G241" s="10">
        <v>1</v>
      </c>
      <c r="H241" s="5" t="str">
        <f t="shared" si="13"/>
        <v>det_556</v>
      </c>
      <c r="I241" s="5" t="str">
        <f t="shared" si="10"/>
        <v>W:\Performance Measurement\1. Freeway\1. raw data\2016\data files\det_556.txt</v>
      </c>
      <c r="J241" s="5" t="str">
        <f t="shared" si="11"/>
        <v>W:\Performance Measurement\1. Freeway\1. raw data\2016\data files\det_556.xlsx</v>
      </c>
      <c r="K241" s="5"/>
      <c r="M241" s="108" t="s">
        <v>74</v>
      </c>
      <c r="N241" s="10">
        <v>556</v>
      </c>
      <c r="O241" s="10">
        <v>3</v>
      </c>
      <c r="P241" s="10">
        <v>1</v>
      </c>
    </row>
    <row r="242" spans="4:16" x14ac:dyDescent="0.25">
      <c r="D242" s="109">
        <v>238</v>
      </c>
      <c r="E242" s="10">
        <v>557</v>
      </c>
      <c r="F242" s="10">
        <v>3</v>
      </c>
      <c r="G242" s="10">
        <v>1</v>
      </c>
      <c r="H242" s="5" t="str">
        <f t="shared" si="13"/>
        <v>det_557</v>
      </c>
      <c r="I242" s="5" t="str">
        <f t="shared" ref="I242:I291" si="14">$B$5&amp;"\"&amp;H242&amp;".txt"</f>
        <v>W:\Performance Measurement\1. Freeway\1. raw data\2016\data files\det_557.txt</v>
      </c>
      <c r="J242" s="5" t="str">
        <f t="shared" ref="J242:J291" si="15">$B$5&amp;"\"&amp;H242&amp;".xlsx"</f>
        <v>W:\Performance Measurement\1. Freeway\1. raw data\2016\data files\det_557.xlsx</v>
      </c>
      <c r="K242" s="5"/>
      <c r="M242" s="108" t="s">
        <v>73</v>
      </c>
      <c r="N242" s="10">
        <v>557</v>
      </c>
      <c r="O242" s="10">
        <v>3</v>
      </c>
      <c r="P242" s="10">
        <v>1</v>
      </c>
    </row>
    <row r="243" spans="4:16" x14ac:dyDescent="0.25">
      <c r="D243" s="109">
        <v>239</v>
      </c>
      <c r="E243" s="10">
        <v>570</v>
      </c>
      <c r="F243" s="10">
        <v>3</v>
      </c>
      <c r="G243" s="10">
        <v>1</v>
      </c>
      <c r="H243" s="5" t="str">
        <f t="shared" si="13"/>
        <v>det_570</v>
      </c>
      <c r="I243" s="5" t="str">
        <f t="shared" si="14"/>
        <v>W:\Performance Measurement\1. Freeway\1. raw data\2016\data files\det_570.txt</v>
      </c>
      <c r="J243" s="5" t="str">
        <f t="shared" si="15"/>
        <v>W:\Performance Measurement\1. Freeway\1. raw data\2016\data files\det_570.xlsx</v>
      </c>
      <c r="K243" s="5"/>
      <c r="M243" s="108" t="s">
        <v>74</v>
      </c>
      <c r="N243" s="10">
        <v>570</v>
      </c>
      <c r="O243" s="10">
        <v>3</v>
      </c>
      <c r="P243" s="10">
        <v>1</v>
      </c>
    </row>
    <row r="244" spans="4:16" x14ac:dyDescent="0.25">
      <c r="D244" s="109">
        <v>240</v>
      </c>
      <c r="E244" s="10">
        <v>571</v>
      </c>
      <c r="F244" s="10">
        <v>3</v>
      </c>
      <c r="G244" s="10">
        <v>1</v>
      </c>
      <c r="H244" s="5" t="str">
        <f t="shared" si="13"/>
        <v>det_571</v>
      </c>
      <c r="I244" s="5" t="str">
        <f t="shared" si="14"/>
        <v>W:\Performance Measurement\1. Freeway\1. raw data\2016\data files\det_571.txt</v>
      </c>
      <c r="J244" s="5" t="str">
        <f t="shared" si="15"/>
        <v>W:\Performance Measurement\1. Freeway\1. raw data\2016\data files\det_571.xlsx</v>
      </c>
      <c r="K244" s="5"/>
      <c r="M244" s="108" t="s">
        <v>74</v>
      </c>
      <c r="N244" s="10">
        <v>571</v>
      </c>
      <c r="O244" s="10">
        <v>3</v>
      </c>
      <c r="P244" s="10">
        <v>1</v>
      </c>
    </row>
    <row r="245" spans="4:16" x14ac:dyDescent="0.25">
      <c r="D245" s="109">
        <v>241</v>
      </c>
      <c r="E245" s="10">
        <v>572</v>
      </c>
      <c r="F245" s="10">
        <v>3</v>
      </c>
      <c r="G245" s="10">
        <v>1</v>
      </c>
      <c r="H245" s="5" t="str">
        <f t="shared" si="13"/>
        <v>det_572</v>
      </c>
      <c r="I245" s="5" t="str">
        <f t="shared" si="14"/>
        <v>W:\Performance Measurement\1. Freeway\1. raw data\2016\data files\det_572.txt</v>
      </c>
      <c r="J245" s="5" t="str">
        <f t="shared" si="15"/>
        <v>W:\Performance Measurement\1. Freeway\1. raw data\2016\data files\det_572.xlsx</v>
      </c>
      <c r="K245" s="5"/>
      <c r="M245" s="108" t="s">
        <v>74</v>
      </c>
      <c r="N245" s="10">
        <v>572</v>
      </c>
      <c r="O245" s="10">
        <v>3</v>
      </c>
      <c r="P245" s="10">
        <v>1</v>
      </c>
    </row>
    <row r="246" spans="4:16" x14ac:dyDescent="0.25">
      <c r="D246" s="109">
        <v>242</v>
      </c>
      <c r="E246" s="10">
        <v>573</v>
      </c>
      <c r="F246" s="10">
        <v>3</v>
      </c>
      <c r="G246" s="10">
        <v>1</v>
      </c>
      <c r="H246" s="5" t="str">
        <f t="shared" si="13"/>
        <v>det_573</v>
      </c>
      <c r="I246" s="5" t="str">
        <f t="shared" si="14"/>
        <v>W:\Performance Measurement\1. Freeway\1. raw data\2016\data files\det_573.txt</v>
      </c>
      <c r="J246" s="5" t="str">
        <f t="shared" si="15"/>
        <v>W:\Performance Measurement\1. Freeway\1. raw data\2016\data files\det_573.xlsx</v>
      </c>
      <c r="K246" s="5"/>
      <c r="M246" s="108" t="s">
        <v>74</v>
      </c>
      <c r="N246" s="10">
        <v>573</v>
      </c>
      <c r="O246" s="10">
        <v>3</v>
      </c>
      <c r="P246" s="10">
        <v>1</v>
      </c>
    </row>
    <row r="247" spans="4:16" x14ac:dyDescent="0.25">
      <c r="D247" s="109">
        <v>243</v>
      </c>
      <c r="E247" s="10">
        <v>574</v>
      </c>
      <c r="F247" s="10">
        <v>3</v>
      </c>
      <c r="G247" s="10">
        <v>1</v>
      </c>
      <c r="H247" s="5" t="str">
        <f t="shared" si="13"/>
        <v>det_574</v>
      </c>
      <c r="I247" s="5" t="str">
        <f t="shared" si="14"/>
        <v>W:\Performance Measurement\1. Freeway\1. raw data\2016\data files\det_574.txt</v>
      </c>
      <c r="J247" s="5" t="str">
        <f t="shared" si="15"/>
        <v>W:\Performance Measurement\1. Freeway\1. raw data\2016\data files\det_574.xlsx</v>
      </c>
      <c r="K247" s="5"/>
      <c r="M247" s="108" t="s">
        <v>74</v>
      </c>
      <c r="N247" s="10">
        <v>574</v>
      </c>
      <c r="O247" s="10">
        <v>3</v>
      </c>
      <c r="P247" s="10">
        <v>1</v>
      </c>
    </row>
    <row r="248" spans="4:16" x14ac:dyDescent="0.25">
      <c r="D248" s="109">
        <v>244</v>
      </c>
      <c r="E248" s="10">
        <v>575</v>
      </c>
      <c r="F248" s="10">
        <v>3</v>
      </c>
      <c r="G248" s="10">
        <v>1</v>
      </c>
      <c r="H248" s="5" t="str">
        <f t="shared" si="13"/>
        <v>det_575</v>
      </c>
      <c r="I248" s="5" t="str">
        <f t="shared" si="14"/>
        <v>W:\Performance Measurement\1. Freeway\1. raw data\2016\data files\det_575.txt</v>
      </c>
      <c r="J248" s="5" t="str">
        <f t="shared" si="15"/>
        <v>W:\Performance Measurement\1. Freeway\1. raw data\2016\data files\det_575.xlsx</v>
      </c>
      <c r="K248" s="5"/>
      <c r="M248" s="108" t="s">
        <v>74</v>
      </c>
      <c r="N248" s="10">
        <v>575</v>
      </c>
      <c r="O248" s="10">
        <v>3</v>
      </c>
      <c r="P248" s="10">
        <v>1</v>
      </c>
    </row>
    <row r="249" spans="4:16" x14ac:dyDescent="0.25">
      <c r="D249" s="109">
        <v>245</v>
      </c>
      <c r="E249" s="10">
        <v>576</v>
      </c>
      <c r="F249" s="10">
        <v>3</v>
      </c>
      <c r="G249" s="10">
        <v>1</v>
      </c>
      <c r="H249" s="5" t="str">
        <f t="shared" si="13"/>
        <v>det_576</v>
      </c>
      <c r="I249" s="5" t="str">
        <f t="shared" si="14"/>
        <v>W:\Performance Measurement\1. Freeway\1. raw data\2016\data files\det_576.txt</v>
      </c>
      <c r="J249" s="5" t="str">
        <f t="shared" si="15"/>
        <v>W:\Performance Measurement\1. Freeway\1. raw data\2016\data files\det_576.xlsx</v>
      </c>
      <c r="K249" s="5"/>
      <c r="M249" s="108" t="s">
        <v>74</v>
      </c>
      <c r="N249" s="10">
        <v>576</v>
      </c>
      <c r="O249" s="10">
        <v>3</v>
      </c>
      <c r="P249" s="10">
        <v>1</v>
      </c>
    </row>
    <row r="250" spans="4:16" x14ac:dyDescent="0.25">
      <c r="D250" s="109">
        <v>246</v>
      </c>
      <c r="E250" s="10">
        <v>577</v>
      </c>
      <c r="F250" s="10">
        <v>3</v>
      </c>
      <c r="G250" s="10">
        <v>1</v>
      </c>
      <c r="H250" s="5" t="str">
        <f t="shared" si="13"/>
        <v>det_577</v>
      </c>
      <c r="I250" s="5" t="str">
        <f t="shared" si="14"/>
        <v>W:\Performance Measurement\1. Freeway\1. raw data\2016\data files\det_577.txt</v>
      </c>
      <c r="J250" s="5" t="str">
        <f t="shared" si="15"/>
        <v>W:\Performance Measurement\1. Freeway\1. raw data\2016\data files\det_577.xlsx</v>
      </c>
      <c r="K250" s="5"/>
      <c r="M250" s="108" t="s">
        <v>74</v>
      </c>
      <c r="N250" s="10">
        <v>577</v>
      </c>
      <c r="O250" s="10">
        <v>3</v>
      </c>
      <c r="P250" s="10">
        <v>1</v>
      </c>
    </row>
    <row r="251" spans="4:16" x14ac:dyDescent="0.25">
      <c r="D251" s="109">
        <v>247</v>
      </c>
      <c r="E251" s="10">
        <v>578</v>
      </c>
      <c r="F251" s="10">
        <v>4</v>
      </c>
      <c r="G251" s="10">
        <v>1</v>
      </c>
      <c r="H251" s="5" t="str">
        <f t="shared" si="13"/>
        <v>det_578</v>
      </c>
      <c r="I251" s="5" t="str">
        <f t="shared" si="14"/>
        <v>W:\Performance Measurement\1. Freeway\1. raw data\2016\data files\det_578.txt</v>
      </c>
      <c r="J251" s="5" t="str">
        <f t="shared" si="15"/>
        <v>W:\Performance Measurement\1. Freeway\1. raw data\2016\data files\det_578.xlsx</v>
      </c>
      <c r="K251" s="5"/>
      <c r="M251" s="108" t="s">
        <v>74</v>
      </c>
      <c r="N251" s="10">
        <v>578</v>
      </c>
      <c r="O251" s="10">
        <v>4</v>
      </c>
      <c r="P251" s="10">
        <v>1</v>
      </c>
    </row>
    <row r="252" spans="4:16" x14ac:dyDescent="0.25">
      <c r="D252" s="109">
        <v>248</v>
      </c>
      <c r="E252" s="10">
        <v>255</v>
      </c>
      <c r="F252" s="10">
        <v>4</v>
      </c>
      <c r="G252" s="10">
        <v>0</v>
      </c>
      <c r="H252" s="5" t="str">
        <f t="shared" si="13"/>
        <v>det_255</v>
      </c>
      <c r="I252" s="5" t="str">
        <f t="shared" si="14"/>
        <v>W:\Performance Measurement\1. Freeway\1. raw data\2016\data files\det_255.txt</v>
      </c>
      <c r="J252" s="5" t="str">
        <f t="shared" si="15"/>
        <v>W:\Performance Measurement\1. Freeway\1. raw data\2016\data files\det_255.xlsx</v>
      </c>
      <c r="K252" s="5"/>
      <c r="M252" s="108" t="s">
        <v>73</v>
      </c>
      <c r="N252" s="10">
        <v>255</v>
      </c>
      <c r="O252" s="10">
        <v>4</v>
      </c>
      <c r="P252" s="10">
        <v>0</v>
      </c>
    </row>
    <row r="253" spans="4:16" x14ac:dyDescent="0.25">
      <c r="D253" s="109">
        <v>249</v>
      </c>
      <c r="E253" s="10">
        <v>558</v>
      </c>
      <c r="F253" s="10">
        <v>3</v>
      </c>
      <c r="G253" s="10">
        <v>1</v>
      </c>
      <c r="H253" s="5" t="str">
        <f t="shared" si="13"/>
        <v>det_558</v>
      </c>
      <c r="I253" s="5" t="str">
        <f t="shared" si="14"/>
        <v>W:\Performance Measurement\1. Freeway\1. raw data\2016\data files\det_558.txt</v>
      </c>
      <c r="J253" s="5" t="str">
        <f t="shared" si="15"/>
        <v>W:\Performance Measurement\1. Freeway\1. raw data\2016\data files\det_558.xlsx</v>
      </c>
      <c r="K253" s="5"/>
      <c r="M253" s="108" t="s">
        <v>75</v>
      </c>
      <c r="N253" s="10">
        <v>558</v>
      </c>
      <c r="O253" s="10">
        <v>3</v>
      </c>
      <c r="P253" s="10">
        <v>1</v>
      </c>
    </row>
    <row r="254" spans="4:16" x14ac:dyDescent="0.25">
      <c r="D254" s="109">
        <v>250</v>
      </c>
      <c r="E254" s="10">
        <v>559</v>
      </c>
      <c r="F254" s="10">
        <v>3</v>
      </c>
      <c r="G254" s="10">
        <v>1</v>
      </c>
      <c r="H254" s="5" t="str">
        <f t="shared" si="13"/>
        <v>det_559</v>
      </c>
      <c r="I254" s="5" t="str">
        <f t="shared" si="14"/>
        <v>W:\Performance Measurement\1. Freeway\1. raw data\2016\data files\det_559.txt</v>
      </c>
      <c r="J254" s="5" t="str">
        <f t="shared" si="15"/>
        <v>W:\Performance Measurement\1. Freeway\1. raw data\2016\data files\det_559.xlsx</v>
      </c>
      <c r="M254" s="108" t="s">
        <v>75</v>
      </c>
      <c r="N254" s="10">
        <v>559</v>
      </c>
      <c r="O254" s="10">
        <v>3</v>
      </c>
      <c r="P254" s="10">
        <v>1</v>
      </c>
    </row>
    <row r="255" spans="4:16" x14ac:dyDescent="0.25">
      <c r="D255" s="109">
        <v>251</v>
      </c>
      <c r="E255" s="10">
        <v>560</v>
      </c>
      <c r="F255" s="10">
        <v>3</v>
      </c>
      <c r="G255" s="10">
        <v>1</v>
      </c>
      <c r="H255" s="5" t="str">
        <f t="shared" si="13"/>
        <v>det_560</v>
      </c>
      <c r="I255" s="5" t="str">
        <f t="shared" si="14"/>
        <v>W:\Performance Measurement\1. Freeway\1. raw data\2016\data files\det_560.txt</v>
      </c>
      <c r="J255" s="5" t="str">
        <f t="shared" si="15"/>
        <v>W:\Performance Measurement\1. Freeway\1. raw data\2016\data files\det_560.xlsx</v>
      </c>
      <c r="M255" s="108" t="s">
        <v>75</v>
      </c>
      <c r="N255" s="10">
        <v>560</v>
      </c>
      <c r="O255" s="10">
        <v>3</v>
      </c>
      <c r="P255" s="10">
        <v>1</v>
      </c>
    </row>
    <row r="256" spans="4:16" x14ac:dyDescent="0.25">
      <c r="D256" s="109">
        <v>252</v>
      </c>
      <c r="E256" s="10">
        <v>561</v>
      </c>
      <c r="F256" s="10">
        <v>4</v>
      </c>
      <c r="G256" s="10">
        <v>1</v>
      </c>
      <c r="H256" s="5" t="str">
        <f t="shared" si="13"/>
        <v>det_561</v>
      </c>
      <c r="I256" s="5" t="str">
        <f t="shared" si="14"/>
        <v>W:\Performance Measurement\1. Freeway\1. raw data\2016\data files\det_561.txt</v>
      </c>
      <c r="J256" s="5" t="str">
        <f t="shared" si="15"/>
        <v>W:\Performance Measurement\1. Freeway\1. raw data\2016\data files\det_561.xlsx</v>
      </c>
      <c r="M256" s="108" t="s">
        <v>75</v>
      </c>
      <c r="N256" s="10">
        <v>561</v>
      </c>
      <c r="O256" s="10">
        <v>4</v>
      </c>
      <c r="P256" s="10">
        <v>1</v>
      </c>
    </row>
    <row r="257" spans="4:16" x14ac:dyDescent="0.25">
      <c r="D257" s="109">
        <v>253</v>
      </c>
      <c r="E257" s="10">
        <v>562</v>
      </c>
      <c r="F257" s="10">
        <v>3</v>
      </c>
      <c r="G257" s="10">
        <v>1</v>
      </c>
      <c r="H257" s="5" t="str">
        <f t="shared" si="13"/>
        <v>det_562</v>
      </c>
      <c r="I257" s="5" t="str">
        <f t="shared" si="14"/>
        <v>W:\Performance Measurement\1. Freeway\1. raw data\2016\data files\det_562.txt</v>
      </c>
      <c r="J257" s="5" t="str">
        <f t="shared" si="15"/>
        <v>W:\Performance Measurement\1. Freeway\1. raw data\2016\data files\det_562.xlsx</v>
      </c>
      <c r="M257" s="108" t="s">
        <v>75</v>
      </c>
      <c r="N257" s="10">
        <v>562</v>
      </c>
      <c r="O257" s="10">
        <v>3</v>
      </c>
      <c r="P257" s="10">
        <v>1</v>
      </c>
    </row>
    <row r="258" spans="4:16" x14ac:dyDescent="0.25">
      <c r="D258" s="109">
        <v>254</v>
      </c>
      <c r="E258" s="10">
        <v>563</v>
      </c>
      <c r="F258" s="10">
        <v>4</v>
      </c>
      <c r="G258" s="10">
        <v>1</v>
      </c>
      <c r="H258" s="5" t="str">
        <f t="shared" si="13"/>
        <v>det_563</v>
      </c>
      <c r="I258" s="5" t="str">
        <f t="shared" si="14"/>
        <v>W:\Performance Measurement\1. Freeway\1. raw data\2016\data files\det_563.txt</v>
      </c>
      <c r="J258" s="5" t="str">
        <f t="shared" si="15"/>
        <v>W:\Performance Measurement\1. Freeway\1. raw data\2016\data files\det_563.xlsx</v>
      </c>
      <c r="M258" s="108" t="s">
        <v>75</v>
      </c>
      <c r="N258" s="10">
        <v>563</v>
      </c>
      <c r="O258" s="10">
        <v>4</v>
      </c>
      <c r="P258" s="10">
        <v>1</v>
      </c>
    </row>
    <row r="259" spans="4:16" x14ac:dyDescent="0.25">
      <c r="D259" s="109">
        <v>255</v>
      </c>
      <c r="E259" s="10">
        <v>564</v>
      </c>
      <c r="F259" s="10">
        <v>3</v>
      </c>
      <c r="G259" s="10">
        <v>1</v>
      </c>
      <c r="H259" s="5" t="str">
        <f t="shared" si="13"/>
        <v>det_564</v>
      </c>
      <c r="I259" s="5" t="str">
        <f t="shared" si="14"/>
        <v>W:\Performance Measurement\1. Freeway\1. raw data\2016\data files\det_564.txt</v>
      </c>
      <c r="J259" s="5" t="str">
        <f t="shared" si="15"/>
        <v>W:\Performance Measurement\1. Freeway\1. raw data\2016\data files\det_564.xlsx</v>
      </c>
      <c r="M259" s="108" t="s">
        <v>75</v>
      </c>
      <c r="N259" s="10">
        <v>564</v>
      </c>
      <c r="O259" s="10">
        <v>3</v>
      </c>
      <c r="P259" s="10">
        <v>1</v>
      </c>
    </row>
    <row r="260" spans="4:16" x14ac:dyDescent="0.25">
      <c r="D260" s="109">
        <v>256</v>
      </c>
      <c r="E260" s="10">
        <v>565</v>
      </c>
      <c r="F260" s="10">
        <v>4</v>
      </c>
      <c r="G260" s="10">
        <v>1</v>
      </c>
      <c r="H260" s="5" t="str">
        <f t="shared" ref="H260:H291" si="16">"det_"&amp;E260&amp;""</f>
        <v>det_565</v>
      </c>
      <c r="I260" s="5" t="str">
        <f t="shared" si="14"/>
        <v>W:\Performance Measurement\1. Freeway\1. raw data\2016\data files\det_565.txt</v>
      </c>
      <c r="J260" s="5" t="str">
        <f t="shared" si="15"/>
        <v>W:\Performance Measurement\1. Freeway\1. raw data\2016\data files\det_565.xlsx</v>
      </c>
      <c r="M260" s="108" t="s">
        <v>75</v>
      </c>
      <c r="N260" s="10">
        <v>565</v>
      </c>
      <c r="O260" s="10">
        <v>4</v>
      </c>
      <c r="P260" s="10">
        <v>1</v>
      </c>
    </row>
    <row r="261" spans="4:16" x14ac:dyDescent="0.25">
      <c r="D261" s="109">
        <v>257</v>
      </c>
      <c r="E261" s="10">
        <v>566</v>
      </c>
      <c r="F261" s="10">
        <v>3</v>
      </c>
      <c r="G261" s="10">
        <v>1</v>
      </c>
      <c r="H261" s="5" t="str">
        <f t="shared" si="16"/>
        <v>det_566</v>
      </c>
      <c r="I261" s="5" t="str">
        <f t="shared" si="14"/>
        <v>W:\Performance Measurement\1. Freeway\1. raw data\2016\data files\det_566.txt</v>
      </c>
      <c r="J261" s="5" t="str">
        <f t="shared" si="15"/>
        <v>W:\Performance Measurement\1. Freeway\1. raw data\2016\data files\det_566.xlsx</v>
      </c>
      <c r="M261" s="108" t="s">
        <v>75</v>
      </c>
      <c r="N261" s="10">
        <v>566</v>
      </c>
      <c r="O261" s="10">
        <v>3</v>
      </c>
      <c r="P261" s="10">
        <v>1</v>
      </c>
    </row>
    <row r="262" spans="4:16" x14ac:dyDescent="0.25">
      <c r="D262" s="109">
        <v>258</v>
      </c>
      <c r="E262" s="10">
        <v>567</v>
      </c>
      <c r="F262" s="10">
        <v>4</v>
      </c>
      <c r="G262" s="10">
        <v>1</v>
      </c>
      <c r="H262" s="5" t="str">
        <f t="shared" si="16"/>
        <v>det_567</v>
      </c>
      <c r="I262" s="5" t="str">
        <f t="shared" si="14"/>
        <v>W:\Performance Measurement\1. Freeway\1. raw data\2016\data files\det_567.txt</v>
      </c>
      <c r="J262" s="5" t="str">
        <f t="shared" si="15"/>
        <v>W:\Performance Measurement\1. Freeway\1. raw data\2016\data files\det_567.xlsx</v>
      </c>
      <c r="K262" s="5"/>
      <c r="M262" s="108" t="s">
        <v>75</v>
      </c>
      <c r="N262" s="10">
        <v>567</v>
      </c>
      <c r="O262" s="10">
        <v>4</v>
      </c>
      <c r="P262" s="10">
        <v>1</v>
      </c>
    </row>
    <row r="263" spans="4:16" x14ac:dyDescent="0.25">
      <c r="D263" s="109">
        <v>259</v>
      </c>
      <c r="E263" s="10">
        <v>568</v>
      </c>
      <c r="F263" s="10">
        <v>3</v>
      </c>
      <c r="G263" s="10">
        <v>1</v>
      </c>
      <c r="H263" s="5" t="str">
        <f t="shared" si="16"/>
        <v>det_568</v>
      </c>
      <c r="I263" s="5" t="str">
        <f t="shared" si="14"/>
        <v>W:\Performance Measurement\1. Freeway\1. raw data\2016\data files\det_568.txt</v>
      </c>
      <c r="J263" s="5" t="str">
        <f t="shared" si="15"/>
        <v>W:\Performance Measurement\1. Freeway\1. raw data\2016\data files\det_568.xlsx</v>
      </c>
      <c r="M263" s="108" t="s">
        <v>75</v>
      </c>
      <c r="N263" s="10">
        <v>568</v>
      </c>
      <c r="O263" s="10">
        <v>3</v>
      </c>
      <c r="P263" s="10">
        <v>1</v>
      </c>
    </row>
    <row r="264" spans="4:16" x14ac:dyDescent="0.25">
      <c r="D264" s="109">
        <v>260</v>
      </c>
      <c r="E264" s="10">
        <v>569</v>
      </c>
      <c r="F264" s="10">
        <v>3</v>
      </c>
      <c r="G264" s="10">
        <v>1</v>
      </c>
      <c r="H264" s="5" t="str">
        <f t="shared" si="16"/>
        <v>det_569</v>
      </c>
      <c r="I264" s="5" t="str">
        <f t="shared" si="14"/>
        <v>W:\Performance Measurement\1. Freeway\1. raw data\2016\data files\det_569.txt</v>
      </c>
      <c r="J264" s="5" t="str">
        <f t="shared" si="15"/>
        <v>W:\Performance Measurement\1. Freeway\1. raw data\2016\data files\det_569.xlsx</v>
      </c>
      <c r="M264" s="108" t="s">
        <v>75</v>
      </c>
      <c r="N264" s="10">
        <v>569</v>
      </c>
      <c r="O264" s="10">
        <v>3</v>
      </c>
      <c r="P264" s="10">
        <v>1</v>
      </c>
    </row>
    <row r="265" spans="4:16" x14ac:dyDescent="0.25">
      <c r="D265" s="109">
        <v>261</v>
      </c>
      <c r="E265" s="10">
        <v>601</v>
      </c>
      <c r="F265" s="10">
        <v>4</v>
      </c>
      <c r="G265" s="10">
        <v>0</v>
      </c>
      <c r="H265" s="5" t="str">
        <f t="shared" si="16"/>
        <v>det_601</v>
      </c>
      <c r="I265" s="5" t="str">
        <f t="shared" si="14"/>
        <v>W:\Performance Measurement\1. Freeway\1. raw data\2016\data files\det_601.txt</v>
      </c>
      <c r="J265" s="5" t="str">
        <f t="shared" si="15"/>
        <v>W:\Performance Measurement\1. Freeway\1. raw data\2016\data files\det_601.xlsx</v>
      </c>
      <c r="M265" s="108" t="s">
        <v>76</v>
      </c>
      <c r="N265" s="10">
        <v>601</v>
      </c>
      <c r="O265" s="10">
        <v>4</v>
      </c>
      <c r="P265" s="10">
        <v>0</v>
      </c>
    </row>
    <row r="266" spans="4:16" x14ac:dyDescent="0.25">
      <c r="D266" s="109">
        <v>262</v>
      </c>
      <c r="E266" s="10">
        <v>602</v>
      </c>
      <c r="F266" s="10">
        <v>3</v>
      </c>
      <c r="G266" s="10">
        <v>1</v>
      </c>
      <c r="H266" s="5" t="str">
        <f t="shared" si="16"/>
        <v>det_602</v>
      </c>
      <c r="I266" s="5" t="str">
        <f t="shared" si="14"/>
        <v>W:\Performance Measurement\1. Freeway\1. raw data\2016\data files\det_602.txt</v>
      </c>
      <c r="J266" s="5" t="str">
        <f t="shared" si="15"/>
        <v>W:\Performance Measurement\1. Freeway\1. raw data\2016\data files\det_602.xlsx</v>
      </c>
      <c r="M266" s="108" t="s">
        <v>76</v>
      </c>
      <c r="N266" s="10">
        <v>602</v>
      </c>
      <c r="O266" s="10">
        <v>3</v>
      </c>
      <c r="P266" s="10">
        <v>1</v>
      </c>
    </row>
    <row r="267" spans="4:16" x14ac:dyDescent="0.25">
      <c r="D267" s="109">
        <v>263</v>
      </c>
      <c r="E267" s="10">
        <v>603</v>
      </c>
      <c r="F267" s="10">
        <v>3</v>
      </c>
      <c r="G267" s="10">
        <v>1</v>
      </c>
      <c r="H267" s="5" t="str">
        <f t="shared" si="16"/>
        <v>det_603</v>
      </c>
      <c r="I267" s="5" t="str">
        <f t="shared" si="14"/>
        <v>W:\Performance Measurement\1. Freeway\1. raw data\2016\data files\det_603.txt</v>
      </c>
      <c r="J267" s="5" t="str">
        <f t="shared" si="15"/>
        <v>W:\Performance Measurement\1. Freeway\1. raw data\2016\data files\det_603.xlsx</v>
      </c>
      <c r="M267" s="108" t="s">
        <v>76</v>
      </c>
      <c r="N267" s="10">
        <v>603</v>
      </c>
      <c r="O267" s="10">
        <v>3</v>
      </c>
      <c r="P267" s="10">
        <v>1</v>
      </c>
    </row>
    <row r="268" spans="4:16" x14ac:dyDescent="0.25">
      <c r="D268" s="109">
        <v>264</v>
      </c>
      <c r="E268" s="10">
        <v>604</v>
      </c>
      <c r="F268" s="10">
        <v>3</v>
      </c>
      <c r="G268" s="10">
        <v>1</v>
      </c>
      <c r="H268" s="5" t="str">
        <f t="shared" si="16"/>
        <v>det_604</v>
      </c>
      <c r="I268" s="5" t="str">
        <f t="shared" si="14"/>
        <v>W:\Performance Measurement\1. Freeway\1. raw data\2016\data files\det_604.txt</v>
      </c>
      <c r="J268" s="5" t="str">
        <f t="shared" si="15"/>
        <v>W:\Performance Measurement\1. Freeway\1. raw data\2016\data files\det_604.xlsx</v>
      </c>
      <c r="M268" s="108" t="s">
        <v>76</v>
      </c>
      <c r="N268" s="10">
        <v>604</v>
      </c>
      <c r="O268" s="10">
        <v>3</v>
      </c>
      <c r="P268" s="10">
        <v>1</v>
      </c>
    </row>
    <row r="269" spans="4:16" x14ac:dyDescent="0.25">
      <c r="D269" s="109">
        <v>265</v>
      </c>
      <c r="E269" s="10">
        <v>605</v>
      </c>
      <c r="F269" s="10">
        <v>3</v>
      </c>
      <c r="G269" s="10">
        <v>1</v>
      </c>
      <c r="H269" s="5" t="str">
        <f t="shared" si="16"/>
        <v>det_605</v>
      </c>
      <c r="I269" s="5" t="str">
        <f t="shared" si="14"/>
        <v>W:\Performance Measurement\1. Freeway\1. raw data\2016\data files\det_605.txt</v>
      </c>
      <c r="J269" s="5" t="str">
        <f t="shared" si="15"/>
        <v>W:\Performance Measurement\1. Freeway\1. raw data\2016\data files\det_605.xlsx</v>
      </c>
      <c r="M269" s="108" t="s">
        <v>76</v>
      </c>
      <c r="N269" s="10">
        <v>605</v>
      </c>
      <c r="O269" s="10">
        <v>3</v>
      </c>
      <c r="P269" s="10">
        <v>1</v>
      </c>
    </row>
    <row r="270" spans="4:16" x14ac:dyDescent="0.25">
      <c r="D270" s="109">
        <v>266</v>
      </c>
      <c r="E270" s="10">
        <v>606</v>
      </c>
      <c r="F270" s="10">
        <v>3</v>
      </c>
      <c r="G270" s="10">
        <v>1</v>
      </c>
      <c r="H270" s="5" t="str">
        <f t="shared" si="16"/>
        <v>det_606</v>
      </c>
      <c r="I270" s="5" t="str">
        <f t="shared" si="14"/>
        <v>W:\Performance Measurement\1. Freeway\1. raw data\2016\data files\det_606.txt</v>
      </c>
      <c r="J270" s="5" t="str">
        <f t="shared" si="15"/>
        <v>W:\Performance Measurement\1. Freeway\1. raw data\2016\data files\det_606.xlsx</v>
      </c>
      <c r="M270" s="108" t="s">
        <v>76</v>
      </c>
      <c r="N270" s="10">
        <v>606</v>
      </c>
      <c r="O270" s="10">
        <v>3</v>
      </c>
      <c r="P270" s="10">
        <v>1</v>
      </c>
    </row>
    <row r="271" spans="4:16" x14ac:dyDescent="0.25">
      <c r="D271" s="109">
        <v>267</v>
      </c>
      <c r="E271" s="10">
        <v>594</v>
      </c>
      <c r="F271" s="10">
        <v>3</v>
      </c>
      <c r="G271" s="10">
        <v>1</v>
      </c>
      <c r="H271" s="5" t="str">
        <f t="shared" si="16"/>
        <v>det_594</v>
      </c>
      <c r="I271" s="5" t="str">
        <f t="shared" si="14"/>
        <v>W:\Performance Measurement\1. Freeway\1. raw data\2016\data files\det_594.txt</v>
      </c>
      <c r="J271" s="5" t="str">
        <f t="shared" si="15"/>
        <v>W:\Performance Measurement\1. Freeway\1. raw data\2016\data files\det_594.xlsx</v>
      </c>
      <c r="M271" s="108" t="s">
        <v>76</v>
      </c>
      <c r="N271" s="10">
        <v>594</v>
      </c>
      <c r="O271" s="10">
        <v>3</v>
      </c>
      <c r="P271" s="10">
        <v>1</v>
      </c>
    </row>
    <row r="272" spans="4:16" x14ac:dyDescent="0.25">
      <c r="D272" s="109">
        <v>268</v>
      </c>
      <c r="E272" s="10">
        <v>595</v>
      </c>
      <c r="F272" s="10">
        <v>3</v>
      </c>
      <c r="G272" s="10">
        <v>1</v>
      </c>
      <c r="H272" s="5" t="str">
        <f t="shared" si="16"/>
        <v>det_595</v>
      </c>
      <c r="I272" s="5" t="str">
        <f t="shared" si="14"/>
        <v>W:\Performance Measurement\1. Freeway\1. raw data\2016\data files\det_595.txt</v>
      </c>
      <c r="J272" s="5" t="str">
        <f t="shared" si="15"/>
        <v>W:\Performance Measurement\1. Freeway\1. raw data\2016\data files\det_595.xlsx</v>
      </c>
      <c r="M272" s="108" t="s">
        <v>76</v>
      </c>
      <c r="N272" s="10">
        <v>595</v>
      </c>
      <c r="O272" s="10">
        <v>3</v>
      </c>
      <c r="P272" s="10">
        <v>1</v>
      </c>
    </row>
    <row r="273" spans="4:16" x14ac:dyDescent="0.25">
      <c r="D273" s="109">
        <v>269</v>
      </c>
      <c r="E273" s="10">
        <v>596</v>
      </c>
      <c r="F273" s="10">
        <v>3</v>
      </c>
      <c r="G273" s="10">
        <v>1</v>
      </c>
      <c r="H273" s="5" t="str">
        <f t="shared" si="16"/>
        <v>det_596</v>
      </c>
      <c r="I273" s="5" t="str">
        <f t="shared" si="14"/>
        <v>W:\Performance Measurement\1. Freeway\1. raw data\2016\data files\det_596.txt</v>
      </c>
      <c r="J273" s="5" t="str">
        <f t="shared" si="15"/>
        <v>W:\Performance Measurement\1. Freeway\1. raw data\2016\data files\det_596.xlsx</v>
      </c>
      <c r="M273" s="108" t="s">
        <v>76</v>
      </c>
      <c r="N273" s="10">
        <v>596</v>
      </c>
      <c r="O273" s="10">
        <v>3</v>
      </c>
      <c r="P273" s="10">
        <v>1</v>
      </c>
    </row>
    <row r="274" spans="4:16" x14ac:dyDescent="0.25">
      <c r="D274" s="109">
        <v>270</v>
      </c>
      <c r="E274" s="10">
        <v>597</v>
      </c>
      <c r="F274" s="10">
        <v>3</v>
      </c>
      <c r="G274" s="10">
        <v>1</v>
      </c>
      <c r="H274" s="5" t="str">
        <f t="shared" si="16"/>
        <v>det_597</v>
      </c>
      <c r="I274" s="5" t="str">
        <f t="shared" si="14"/>
        <v>W:\Performance Measurement\1. Freeway\1. raw data\2016\data files\det_597.txt</v>
      </c>
      <c r="J274" s="5" t="str">
        <f t="shared" si="15"/>
        <v>W:\Performance Measurement\1. Freeway\1. raw data\2016\data files\det_597.xlsx</v>
      </c>
      <c r="M274" s="108" t="s">
        <v>76</v>
      </c>
      <c r="N274" s="10">
        <v>597</v>
      </c>
      <c r="O274" s="10">
        <v>3</v>
      </c>
      <c r="P274" s="10">
        <v>1</v>
      </c>
    </row>
    <row r="275" spans="4:16" x14ac:dyDescent="0.25">
      <c r="D275" s="109">
        <v>271</v>
      </c>
      <c r="E275" s="10">
        <v>598</v>
      </c>
      <c r="F275" s="10">
        <v>3</v>
      </c>
      <c r="G275" s="10">
        <v>1</v>
      </c>
      <c r="H275" s="5" t="str">
        <f t="shared" si="16"/>
        <v>det_598</v>
      </c>
      <c r="I275" s="5" t="str">
        <f t="shared" si="14"/>
        <v>W:\Performance Measurement\1. Freeway\1. raw data\2016\data files\det_598.txt</v>
      </c>
      <c r="J275" s="5" t="str">
        <f t="shared" si="15"/>
        <v>W:\Performance Measurement\1. Freeway\1. raw data\2016\data files\det_598.xlsx</v>
      </c>
      <c r="K275" s="5"/>
      <c r="M275" s="108" t="s">
        <v>76</v>
      </c>
      <c r="N275" s="10">
        <v>598</v>
      </c>
      <c r="O275" s="10">
        <v>3</v>
      </c>
      <c r="P275" s="10">
        <v>1</v>
      </c>
    </row>
    <row r="276" spans="4:16" x14ac:dyDescent="0.25">
      <c r="D276" s="109">
        <v>272</v>
      </c>
      <c r="E276" s="10">
        <v>599</v>
      </c>
      <c r="F276" s="10">
        <v>3</v>
      </c>
      <c r="G276" s="10">
        <v>1</v>
      </c>
      <c r="H276" s="5" t="str">
        <f t="shared" si="16"/>
        <v>det_599</v>
      </c>
      <c r="I276" s="5" t="str">
        <f t="shared" si="14"/>
        <v>W:\Performance Measurement\1. Freeway\1. raw data\2016\data files\det_599.txt</v>
      </c>
      <c r="J276" s="5" t="str">
        <f t="shared" si="15"/>
        <v>W:\Performance Measurement\1. Freeway\1. raw data\2016\data files\det_599.xlsx</v>
      </c>
      <c r="K276" s="5"/>
      <c r="M276" s="108" t="s">
        <v>76</v>
      </c>
      <c r="N276" s="10">
        <v>599</v>
      </c>
      <c r="O276" s="10">
        <v>3</v>
      </c>
      <c r="P276" s="10">
        <v>1</v>
      </c>
    </row>
    <row r="277" spans="4:16" x14ac:dyDescent="0.25">
      <c r="D277" s="109">
        <v>273</v>
      </c>
      <c r="E277" s="10">
        <v>600</v>
      </c>
      <c r="F277" s="10">
        <v>3</v>
      </c>
      <c r="G277" s="10">
        <v>1</v>
      </c>
      <c r="H277" s="5" t="str">
        <f t="shared" si="16"/>
        <v>det_600</v>
      </c>
      <c r="I277" s="5" t="str">
        <f t="shared" si="14"/>
        <v>W:\Performance Measurement\1. Freeway\1. raw data\2016\data files\det_600.txt</v>
      </c>
      <c r="J277" s="5" t="str">
        <f t="shared" si="15"/>
        <v>W:\Performance Measurement\1. Freeway\1. raw data\2016\data files\det_600.xlsx</v>
      </c>
      <c r="K277" s="5"/>
      <c r="M277" s="108" t="s">
        <v>76</v>
      </c>
      <c r="N277" s="10">
        <v>600</v>
      </c>
      <c r="O277" s="10">
        <v>3</v>
      </c>
      <c r="P277" s="10">
        <v>1</v>
      </c>
    </row>
    <row r="278" spans="4:16" x14ac:dyDescent="0.25">
      <c r="D278" s="109">
        <v>274</v>
      </c>
      <c r="E278" s="112">
        <v>586</v>
      </c>
      <c r="F278" s="112">
        <v>3</v>
      </c>
      <c r="G278" s="112">
        <v>0</v>
      </c>
      <c r="H278" s="5" t="str">
        <f t="shared" si="16"/>
        <v>det_586</v>
      </c>
      <c r="I278" s="5" t="str">
        <f t="shared" si="14"/>
        <v>W:\Performance Measurement\1. Freeway\1. raw data\2016\data files\det_586.txt</v>
      </c>
      <c r="J278" s="5" t="str">
        <f t="shared" si="15"/>
        <v>W:\Performance Measurement\1. Freeway\1. raw data\2016\data files\det_586.xlsx</v>
      </c>
      <c r="K278" s="5"/>
      <c r="M278" s="108" t="s">
        <v>77</v>
      </c>
      <c r="N278" s="112">
        <v>586</v>
      </c>
      <c r="O278" s="112">
        <v>3</v>
      </c>
      <c r="P278" s="112">
        <v>0</v>
      </c>
    </row>
    <row r="279" spans="4:16" x14ac:dyDescent="0.25">
      <c r="D279" s="109">
        <v>275</v>
      </c>
      <c r="E279" s="10">
        <v>587</v>
      </c>
      <c r="F279" s="10">
        <v>4</v>
      </c>
      <c r="G279" s="10">
        <v>0</v>
      </c>
      <c r="H279" s="5" t="str">
        <f t="shared" si="16"/>
        <v>det_587</v>
      </c>
      <c r="I279" s="5" t="str">
        <f t="shared" si="14"/>
        <v>W:\Performance Measurement\1. Freeway\1. raw data\2016\data files\det_587.txt</v>
      </c>
      <c r="J279" s="5" t="str">
        <f t="shared" si="15"/>
        <v>W:\Performance Measurement\1. Freeway\1. raw data\2016\data files\det_587.xlsx</v>
      </c>
      <c r="K279" s="5"/>
      <c r="M279" s="108" t="s">
        <v>77</v>
      </c>
      <c r="N279" s="10">
        <v>587</v>
      </c>
      <c r="O279" s="10">
        <v>4</v>
      </c>
      <c r="P279" s="10">
        <v>0</v>
      </c>
    </row>
    <row r="280" spans="4:16" x14ac:dyDescent="0.25">
      <c r="D280" s="109">
        <v>276</v>
      </c>
      <c r="E280" s="10">
        <v>588</v>
      </c>
      <c r="F280" s="10">
        <v>4</v>
      </c>
      <c r="G280" s="10">
        <v>0</v>
      </c>
      <c r="H280" s="5" t="str">
        <f t="shared" si="16"/>
        <v>det_588</v>
      </c>
      <c r="I280" s="5" t="str">
        <f t="shared" si="14"/>
        <v>W:\Performance Measurement\1. Freeway\1. raw data\2016\data files\det_588.txt</v>
      </c>
      <c r="J280" s="5" t="str">
        <f t="shared" si="15"/>
        <v>W:\Performance Measurement\1. Freeway\1. raw data\2016\data files\det_588.xlsx</v>
      </c>
      <c r="K280" s="5"/>
      <c r="M280" s="108" t="s">
        <v>77</v>
      </c>
      <c r="N280" s="10">
        <v>588</v>
      </c>
      <c r="O280" s="10">
        <v>4</v>
      </c>
      <c r="P280" s="10">
        <v>0</v>
      </c>
    </row>
    <row r="281" spans="4:16" x14ac:dyDescent="0.25">
      <c r="D281" s="109">
        <v>277</v>
      </c>
      <c r="E281" s="10">
        <v>589</v>
      </c>
      <c r="F281" s="10">
        <v>4</v>
      </c>
      <c r="G281" s="10">
        <v>0</v>
      </c>
      <c r="H281" s="5" t="str">
        <f t="shared" si="16"/>
        <v>det_589</v>
      </c>
      <c r="I281" s="5" t="str">
        <f t="shared" si="14"/>
        <v>W:\Performance Measurement\1. Freeway\1. raw data\2016\data files\det_589.txt</v>
      </c>
      <c r="J281" s="5" t="str">
        <f t="shared" si="15"/>
        <v>W:\Performance Measurement\1. Freeway\1. raw data\2016\data files\det_589.xlsx</v>
      </c>
      <c r="K281" s="5"/>
      <c r="M281" s="108" t="s">
        <v>77</v>
      </c>
      <c r="N281" s="10">
        <v>589</v>
      </c>
      <c r="O281" s="10">
        <v>4</v>
      </c>
      <c r="P281" s="10">
        <v>0</v>
      </c>
    </row>
    <row r="282" spans="4:16" x14ac:dyDescent="0.25">
      <c r="D282" s="109">
        <v>278</v>
      </c>
      <c r="E282" s="10">
        <v>590</v>
      </c>
      <c r="F282" s="10">
        <v>4</v>
      </c>
      <c r="G282" s="10">
        <v>0</v>
      </c>
      <c r="H282" s="5" t="str">
        <f t="shared" si="16"/>
        <v>det_590</v>
      </c>
      <c r="I282" s="5" t="str">
        <f t="shared" si="14"/>
        <v>W:\Performance Measurement\1. Freeway\1. raw data\2016\data files\det_590.txt</v>
      </c>
      <c r="J282" s="5" t="str">
        <f t="shared" si="15"/>
        <v>W:\Performance Measurement\1. Freeway\1. raw data\2016\data files\det_590.xlsx</v>
      </c>
      <c r="K282" s="5"/>
      <c r="M282" s="108" t="s">
        <v>77</v>
      </c>
      <c r="N282" s="10">
        <v>590</v>
      </c>
      <c r="O282" s="10">
        <v>4</v>
      </c>
      <c r="P282" s="10">
        <v>0</v>
      </c>
    </row>
    <row r="283" spans="4:16" x14ac:dyDescent="0.25">
      <c r="D283" s="109">
        <v>279</v>
      </c>
      <c r="E283" s="10">
        <v>591</v>
      </c>
      <c r="F283" s="10">
        <v>4</v>
      </c>
      <c r="G283" s="10">
        <v>0</v>
      </c>
      <c r="H283" s="5" t="str">
        <f t="shared" si="16"/>
        <v>det_591</v>
      </c>
      <c r="I283" s="5" t="str">
        <f t="shared" si="14"/>
        <v>W:\Performance Measurement\1. Freeway\1. raw data\2016\data files\det_591.txt</v>
      </c>
      <c r="J283" s="5" t="str">
        <f t="shared" si="15"/>
        <v>W:\Performance Measurement\1. Freeway\1. raw data\2016\data files\det_591.xlsx</v>
      </c>
      <c r="K283" s="5"/>
      <c r="M283" s="108" t="s">
        <v>77</v>
      </c>
      <c r="N283" s="10">
        <v>591</v>
      </c>
      <c r="O283" s="10">
        <v>4</v>
      </c>
      <c r="P283" s="10">
        <v>0</v>
      </c>
    </row>
    <row r="284" spans="4:16" x14ac:dyDescent="0.25">
      <c r="D284" s="109">
        <v>280</v>
      </c>
      <c r="E284" s="10">
        <v>592</v>
      </c>
      <c r="F284" s="10">
        <v>5</v>
      </c>
      <c r="G284" s="10">
        <v>0</v>
      </c>
      <c r="H284" s="5" t="str">
        <f t="shared" si="16"/>
        <v>det_592</v>
      </c>
      <c r="I284" s="5" t="str">
        <f t="shared" si="14"/>
        <v>W:\Performance Measurement\1. Freeway\1. raw data\2016\data files\det_592.txt</v>
      </c>
      <c r="J284" s="5" t="str">
        <f t="shared" si="15"/>
        <v>W:\Performance Measurement\1. Freeway\1. raw data\2016\data files\det_592.xlsx</v>
      </c>
      <c r="K284" s="5"/>
      <c r="M284" s="108" t="s">
        <v>77</v>
      </c>
      <c r="N284" s="10">
        <v>592</v>
      </c>
      <c r="O284" s="10">
        <v>5</v>
      </c>
      <c r="P284" s="10">
        <v>0</v>
      </c>
    </row>
    <row r="285" spans="4:16" x14ac:dyDescent="0.25">
      <c r="D285" s="109">
        <v>281</v>
      </c>
      <c r="E285" s="10">
        <v>593</v>
      </c>
      <c r="F285" s="10">
        <v>4</v>
      </c>
      <c r="G285" s="10">
        <v>0</v>
      </c>
      <c r="H285" s="5" t="str">
        <f t="shared" si="16"/>
        <v>det_593</v>
      </c>
      <c r="I285" s="5" t="str">
        <f t="shared" si="14"/>
        <v>W:\Performance Measurement\1. Freeway\1. raw data\2016\data files\det_593.txt</v>
      </c>
      <c r="J285" s="5" t="str">
        <f t="shared" si="15"/>
        <v>W:\Performance Measurement\1. Freeway\1. raw data\2016\data files\det_593.xlsx</v>
      </c>
      <c r="K285" s="5"/>
      <c r="M285" s="108" t="s">
        <v>77</v>
      </c>
      <c r="N285" s="10">
        <v>593</v>
      </c>
      <c r="O285" s="10">
        <v>4</v>
      </c>
      <c r="P285" s="10">
        <v>0</v>
      </c>
    </row>
    <row r="286" spans="4:16" x14ac:dyDescent="0.25">
      <c r="D286" s="109">
        <v>282</v>
      </c>
      <c r="E286" s="10">
        <v>579</v>
      </c>
      <c r="F286" s="10">
        <v>4</v>
      </c>
      <c r="G286" s="10">
        <v>0</v>
      </c>
      <c r="H286" s="5" t="str">
        <f t="shared" si="16"/>
        <v>det_579</v>
      </c>
      <c r="I286" s="5" t="str">
        <f t="shared" si="14"/>
        <v>W:\Performance Measurement\1. Freeway\1. raw data\2016\data files\det_579.txt</v>
      </c>
      <c r="J286" s="5" t="str">
        <f t="shared" si="15"/>
        <v>W:\Performance Measurement\1. Freeway\1. raw data\2016\data files\det_579.xlsx</v>
      </c>
      <c r="K286" s="5"/>
      <c r="M286" s="108" t="s">
        <v>77</v>
      </c>
      <c r="N286" s="10">
        <v>579</v>
      </c>
      <c r="O286" s="10">
        <v>4</v>
      </c>
      <c r="P286" s="10">
        <v>0</v>
      </c>
    </row>
    <row r="287" spans="4:16" x14ac:dyDescent="0.25">
      <c r="D287" s="109">
        <v>283</v>
      </c>
      <c r="E287" s="10">
        <v>580</v>
      </c>
      <c r="F287" s="10">
        <v>5</v>
      </c>
      <c r="G287" s="10">
        <v>0</v>
      </c>
      <c r="H287" s="5" t="str">
        <f t="shared" si="16"/>
        <v>det_580</v>
      </c>
      <c r="I287" s="5" t="str">
        <f t="shared" si="14"/>
        <v>W:\Performance Measurement\1. Freeway\1. raw data\2016\data files\det_580.txt</v>
      </c>
      <c r="J287" s="5" t="str">
        <f t="shared" si="15"/>
        <v>W:\Performance Measurement\1. Freeway\1. raw data\2016\data files\det_580.xlsx</v>
      </c>
      <c r="K287" s="5"/>
      <c r="M287" s="108" t="s">
        <v>77</v>
      </c>
      <c r="N287" s="10">
        <v>580</v>
      </c>
      <c r="O287" s="10">
        <v>5</v>
      </c>
      <c r="P287" s="10">
        <v>0</v>
      </c>
    </row>
    <row r="288" spans="4:16" x14ac:dyDescent="0.25">
      <c r="D288" s="109">
        <v>284</v>
      </c>
      <c r="E288" s="10">
        <v>581</v>
      </c>
      <c r="F288" s="10">
        <v>4</v>
      </c>
      <c r="G288" s="10">
        <v>0</v>
      </c>
      <c r="H288" s="5" t="str">
        <f t="shared" si="16"/>
        <v>det_581</v>
      </c>
      <c r="I288" s="5" t="str">
        <f t="shared" si="14"/>
        <v>W:\Performance Measurement\1. Freeway\1. raw data\2016\data files\det_581.txt</v>
      </c>
      <c r="J288" s="5" t="str">
        <f t="shared" si="15"/>
        <v>W:\Performance Measurement\1. Freeway\1. raw data\2016\data files\det_581.xlsx</v>
      </c>
      <c r="K288" s="5"/>
      <c r="M288" s="108" t="s">
        <v>77</v>
      </c>
      <c r="N288" s="10">
        <v>581</v>
      </c>
      <c r="O288" s="10">
        <v>4</v>
      </c>
      <c r="P288" s="10">
        <v>0</v>
      </c>
    </row>
    <row r="289" spans="4:16" x14ac:dyDescent="0.25">
      <c r="D289" s="109">
        <v>285</v>
      </c>
      <c r="E289" s="10">
        <v>582</v>
      </c>
      <c r="F289" s="10">
        <v>4</v>
      </c>
      <c r="G289" s="10">
        <v>0</v>
      </c>
      <c r="H289" s="5" t="str">
        <f t="shared" si="16"/>
        <v>det_582</v>
      </c>
      <c r="I289" s="5" t="str">
        <f t="shared" si="14"/>
        <v>W:\Performance Measurement\1. Freeway\1. raw data\2016\data files\det_582.txt</v>
      </c>
      <c r="J289" s="5" t="str">
        <f t="shared" si="15"/>
        <v>W:\Performance Measurement\1. Freeway\1. raw data\2016\data files\det_582.xlsx</v>
      </c>
      <c r="K289" s="5"/>
      <c r="M289" s="108" t="s">
        <v>77</v>
      </c>
      <c r="N289" s="10">
        <v>582</v>
      </c>
      <c r="O289" s="10">
        <v>4</v>
      </c>
      <c r="P289" s="10">
        <v>0</v>
      </c>
    </row>
    <row r="290" spans="4:16" x14ac:dyDescent="0.25">
      <c r="D290" s="109">
        <v>286</v>
      </c>
      <c r="E290" s="10">
        <v>583</v>
      </c>
      <c r="F290" s="10">
        <v>4</v>
      </c>
      <c r="G290" s="10">
        <v>0</v>
      </c>
      <c r="H290" s="5" t="str">
        <f t="shared" si="16"/>
        <v>det_583</v>
      </c>
      <c r="I290" s="5" t="str">
        <f t="shared" si="14"/>
        <v>W:\Performance Measurement\1. Freeway\1. raw data\2016\data files\det_583.txt</v>
      </c>
      <c r="J290" s="5" t="str">
        <f t="shared" si="15"/>
        <v>W:\Performance Measurement\1. Freeway\1. raw data\2016\data files\det_583.xlsx</v>
      </c>
      <c r="K290" s="5"/>
      <c r="M290" s="108" t="s">
        <v>77</v>
      </c>
      <c r="N290" s="10">
        <v>583</v>
      </c>
      <c r="O290" s="10">
        <v>4</v>
      </c>
      <c r="P290" s="10">
        <v>0</v>
      </c>
    </row>
    <row r="291" spans="4:16" x14ac:dyDescent="0.25">
      <c r="D291" s="109">
        <v>287</v>
      </c>
      <c r="E291" s="10">
        <v>584</v>
      </c>
      <c r="F291" s="10">
        <v>4</v>
      </c>
      <c r="G291" s="10">
        <v>0</v>
      </c>
      <c r="H291" s="5" t="str">
        <f t="shared" si="16"/>
        <v>det_584</v>
      </c>
      <c r="I291" s="5" t="str">
        <f t="shared" si="14"/>
        <v>W:\Performance Measurement\1. Freeway\1. raw data\2016\data files\det_584.txt</v>
      </c>
      <c r="J291" s="5" t="str">
        <f t="shared" si="15"/>
        <v>W:\Performance Measurement\1. Freeway\1. raw data\2016\data files\det_584.xlsx</v>
      </c>
      <c r="K291" s="5"/>
      <c r="M291" s="108" t="s">
        <v>77</v>
      </c>
      <c r="N291" s="10">
        <v>584</v>
      </c>
      <c r="O291" s="10">
        <v>4</v>
      </c>
      <c r="P291" s="10">
        <v>0</v>
      </c>
    </row>
    <row r="292" spans="4:16" x14ac:dyDescent="0.25">
      <c r="D292" s="109">
        <v>288</v>
      </c>
      <c r="E292" s="112">
        <v>585</v>
      </c>
      <c r="F292" s="112">
        <v>3</v>
      </c>
      <c r="G292" s="112">
        <v>0</v>
      </c>
      <c r="H292" s="5" t="str">
        <f t="shared" ref="H292:H323" si="17">"det_"&amp;E292&amp;""</f>
        <v>det_585</v>
      </c>
      <c r="I292" s="5" t="str">
        <f t="shared" ref="I292:I310" si="18">$B$5&amp;"\"&amp;H292&amp;".txt"</f>
        <v>W:\Performance Measurement\1. Freeway\1. raw data\2016\data files\det_585.txt</v>
      </c>
      <c r="J292" s="5" t="str">
        <f t="shared" ref="J292:J310" si="19">$B$5&amp;"\"&amp;H292&amp;".xlsx"</f>
        <v>W:\Performance Measurement\1. Freeway\1. raw data\2016\data files\det_585.xlsx</v>
      </c>
      <c r="K292" s="5"/>
      <c r="M292" s="108" t="s">
        <v>77</v>
      </c>
      <c r="N292" s="112">
        <v>585</v>
      </c>
      <c r="O292" s="112">
        <v>3</v>
      </c>
      <c r="P292" s="112">
        <v>0</v>
      </c>
    </row>
    <row r="293" spans="4:16" x14ac:dyDescent="0.25">
      <c r="D293" s="109">
        <v>289</v>
      </c>
      <c r="E293" s="10">
        <v>650</v>
      </c>
      <c r="F293" s="10">
        <v>3</v>
      </c>
      <c r="G293" s="10">
        <v>1</v>
      </c>
      <c r="H293" s="5" t="str">
        <f t="shared" si="17"/>
        <v>det_650</v>
      </c>
      <c r="I293" s="5" t="str">
        <f t="shared" si="18"/>
        <v>W:\Performance Measurement\1. Freeway\1. raw data\2016\data files\det_650.txt</v>
      </c>
      <c r="J293" s="5" t="str">
        <f t="shared" si="19"/>
        <v>W:\Performance Measurement\1. Freeway\1. raw data\2016\data files\det_650.xlsx</v>
      </c>
      <c r="K293" s="5"/>
      <c r="L293" s="109"/>
      <c r="M293" s="110" t="s">
        <v>78</v>
      </c>
      <c r="N293" s="10">
        <v>650</v>
      </c>
      <c r="O293" s="10">
        <v>3</v>
      </c>
      <c r="P293" s="10">
        <v>1</v>
      </c>
    </row>
    <row r="294" spans="4:16" x14ac:dyDescent="0.25">
      <c r="D294" s="109">
        <v>290</v>
      </c>
      <c r="E294" s="112">
        <v>666</v>
      </c>
      <c r="F294" s="112">
        <v>3</v>
      </c>
      <c r="G294" s="112">
        <v>1</v>
      </c>
      <c r="H294" s="5" t="str">
        <f t="shared" si="17"/>
        <v>det_666</v>
      </c>
      <c r="I294" s="5" t="str">
        <f t="shared" si="18"/>
        <v>W:\Performance Measurement\1. Freeway\1. raw data\2016\data files\det_666.txt</v>
      </c>
      <c r="J294" s="5" t="str">
        <f t="shared" si="19"/>
        <v>W:\Performance Measurement\1. Freeway\1. raw data\2016\data files\det_666.xlsx</v>
      </c>
      <c r="K294" s="5"/>
      <c r="M294" s="108" t="s">
        <v>78</v>
      </c>
      <c r="N294" s="112">
        <v>666</v>
      </c>
      <c r="O294" s="112">
        <v>3</v>
      </c>
      <c r="P294" s="112">
        <v>1</v>
      </c>
    </row>
    <row r="295" spans="4:16" x14ac:dyDescent="0.25">
      <c r="D295" s="109">
        <v>291</v>
      </c>
      <c r="E295" s="10">
        <v>667</v>
      </c>
      <c r="F295" s="10">
        <v>3</v>
      </c>
      <c r="G295" s="10">
        <v>1</v>
      </c>
      <c r="H295" s="5" t="str">
        <f t="shared" si="17"/>
        <v>det_667</v>
      </c>
      <c r="I295" s="5" t="str">
        <f t="shared" si="18"/>
        <v>W:\Performance Measurement\1. Freeway\1. raw data\2016\data files\det_667.txt</v>
      </c>
      <c r="J295" s="5" t="str">
        <f t="shared" si="19"/>
        <v>W:\Performance Measurement\1. Freeway\1. raw data\2016\data files\det_667.xlsx</v>
      </c>
      <c r="K295" s="5"/>
      <c r="M295" s="108" t="s">
        <v>78</v>
      </c>
      <c r="N295" s="10">
        <v>667</v>
      </c>
      <c r="O295" s="10">
        <v>3</v>
      </c>
      <c r="P295" s="10">
        <v>1</v>
      </c>
    </row>
    <row r="296" spans="4:16" x14ac:dyDescent="0.25">
      <c r="D296" s="109">
        <v>292</v>
      </c>
      <c r="E296" s="10">
        <v>668</v>
      </c>
      <c r="F296" s="10">
        <v>3</v>
      </c>
      <c r="G296" s="10">
        <v>1</v>
      </c>
      <c r="H296" s="5" t="str">
        <f t="shared" si="17"/>
        <v>det_668</v>
      </c>
      <c r="I296" s="5" t="str">
        <f t="shared" si="18"/>
        <v>W:\Performance Measurement\1. Freeway\1. raw data\2016\data files\det_668.txt</v>
      </c>
      <c r="J296" s="5" t="str">
        <f t="shared" si="19"/>
        <v>W:\Performance Measurement\1. Freeway\1. raw data\2016\data files\det_668.xlsx</v>
      </c>
      <c r="K296" s="5"/>
      <c r="M296" s="108" t="s">
        <v>78</v>
      </c>
      <c r="N296" s="10">
        <v>668</v>
      </c>
      <c r="O296" s="10">
        <v>3</v>
      </c>
      <c r="P296" s="10">
        <v>1</v>
      </c>
    </row>
    <row r="297" spans="4:16" x14ac:dyDescent="0.25">
      <c r="D297" s="109">
        <v>293</v>
      </c>
      <c r="E297" s="10">
        <v>669</v>
      </c>
      <c r="F297" s="10">
        <v>3</v>
      </c>
      <c r="G297" s="10">
        <v>1</v>
      </c>
      <c r="H297" s="5" t="str">
        <f t="shared" si="17"/>
        <v>det_669</v>
      </c>
      <c r="I297" s="5" t="str">
        <f t="shared" si="18"/>
        <v>W:\Performance Measurement\1. Freeway\1. raw data\2016\data files\det_669.txt</v>
      </c>
      <c r="J297" s="5" t="str">
        <f t="shared" si="19"/>
        <v>W:\Performance Measurement\1. Freeway\1. raw data\2016\data files\det_669.xlsx</v>
      </c>
      <c r="K297" s="5"/>
      <c r="M297" s="108" t="s">
        <v>78</v>
      </c>
      <c r="N297" s="10">
        <v>669</v>
      </c>
      <c r="O297" s="10">
        <v>3</v>
      </c>
      <c r="P297" s="10">
        <v>1</v>
      </c>
    </row>
    <row r="298" spans="4:16" x14ac:dyDescent="0.25">
      <c r="D298" s="109">
        <v>294</v>
      </c>
      <c r="E298" s="112">
        <v>670</v>
      </c>
      <c r="F298" s="112">
        <v>4</v>
      </c>
      <c r="G298" s="112">
        <v>1</v>
      </c>
      <c r="H298" s="5" t="str">
        <f t="shared" si="17"/>
        <v>det_670</v>
      </c>
      <c r="I298" s="5" t="str">
        <f t="shared" si="18"/>
        <v>W:\Performance Measurement\1. Freeway\1. raw data\2016\data files\det_670.txt</v>
      </c>
      <c r="J298" s="5" t="str">
        <f t="shared" si="19"/>
        <v>W:\Performance Measurement\1. Freeway\1. raw data\2016\data files\det_670.xlsx</v>
      </c>
      <c r="K298" s="5"/>
      <c r="M298" s="108" t="s">
        <v>78</v>
      </c>
      <c r="N298" s="112">
        <v>670</v>
      </c>
      <c r="O298" s="112">
        <v>4</v>
      </c>
      <c r="P298" s="112">
        <v>1</v>
      </c>
    </row>
    <row r="299" spans="4:16" x14ac:dyDescent="0.25">
      <c r="D299" s="109">
        <v>295</v>
      </c>
      <c r="E299" s="112">
        <v>671</v>
      </c>
      <c r="F299" s="112">
        <v>4</v>
      </c>
      <c r="G299" s="112">
        <v>1</v>
      </c>
      <c r="H299" s="5" t="str">
        <f t="shared" si="17"/>
        <v>det_671</v>
      </c>
      <c r="I299" s="5" t="str">
        <f t="shared" si="18"/>
        <v>W:\Performance Measurement\1. Freeway\1. raw data\2016\data files\det_671.txt</v>
      </c>
      <c r="J299" s="5" t="str">
        <f t="shared" si="19"/>
        <v>W:\Performance Measurement\1. Freeway\1. raw data\2016\data files\det_671.xlsx</v>
      </c>
      <c r="K299" s="5"/>
      <c r="M299" s="108" t="s">
        <v>78</v>
      </c>
      <c r="N299" s="112">
        <v>671</v>
      </c>
      <c r="O299" s="112">
        <v>4</v>
      </c>
      <c r="P299" s="112">
        <v>1</v>
      </c>
    </row>
    <row r="300" spans="4:16" x14ac:dyDescent="0.25">
      <c r="D300" s="109">
        <v>296</v>
      </c>
      <c r="E300" s="10">
        <v>672</v>
      </c>
      <c r="F300" s="10">
        <v>3</v>
      </c>
      <c r="G300" s="10">
        <v>1</v>
      </c>
      <c r="H300" s="5" t="str">
        <f t="shared" si="17"/>
        <v>det_672</v>
      </c>
      <c r="I300" s="5" t="str">
        <f t="shared" si="18"/>
        <v>W:\Performance Measurement\1. Freeway\1. raw data\2016\data files\det_672.txt</v>
      </c>
      <c r="J300" s="5" t="str">
        <f t="shared" si="19"/>
        <v>W:\Performance Measurement\1. Freeway\1. raw data\2016\data files\det_672.xlsx</v>
      </c>
      <c r="K300" s="5"/>
      <c r="M300" s="108" t="s">
        <v>78</v>
      </c>
      <c r="N300" s="10">
        <v>672</v>
      </c>
      <c r="O300" s="10">
        <v>3</v>
      </c>
      <c r="P300" s="10">
        <v>1</v>
      </c>
    </row>
    <row r="301" spans="4:16" x14ac:dyDescent="0.25">
      <c r="D301" s="109">
        <v>297</v>
      </c>
      <c r="E301" s="112">
        <v>673</v>
      </c>
      <c r="F301" s="112">
        <v>3</v>
      </c>
      <c r="G301" s="112">
        <v>0</v>
      </c>
      <c r="H301" s="5" t="str">
        <f t="shared" si="17"/>
        <v>det_673</v>
      </c>
      <c r="I301" s="5" t="str">
        <f t="shared" si="18"/>
        <v>W:\Performance Measurement\1. Freeway\1. raw data\2016\data files\det_673.txt</v>
      </c>
      <c r="J301" s="5" t="str">
        <f t="shared" si="19"/>
        <v>W:\Performance Measurement\1. Freeway\1. raw data\2016\data files\det_673.xlsx</v>
      </c>
      <c r="K301" s="5"/>
      <c r="M301" s="108" t="s">
        <v>78</v>
      </c>
      <c r="N301" s="112">
        <v>673</v>
      </c>
      <c r="O301" s="112">
        <v>3</v>
      </c>
      <c r="P301" s="112">
        <v>0</v>
      </c>
    </row>
    <row r="302" spans="4:16" x14ac:dyDescent="0.25">
      <c r="D302" s="109">
        <v>298</v>
      </c>
      <c r="E302" s="10">
        <v>674</v>
      </c>
      <c r="F302" s="10">
        <v>3</v>
      </c>
      <c r="G302" s="10">
        <v>1</v>
      </c>
      <c r="H302" s="5" t="str">
        <f t="shared" si="17"/>
        <v>det_674</v>
      </c>
      <c r="I302" s="5" t="str">
        <f t="shared" si="18"/>
        <v>W:\Performance Measurement\1. Freeway\1. raw data\2016\data files\det_674.txt</v>
      </c>
      <c r="J302" s="5" t="str">
        <f t="shared" si="19"/>
        <v>W:\Performance Measurement\1. Freeway\1. raw data\2016\data files\det_674.xlsx</v>
      </c>
      <c r="K302" s="5"/>
      <c r="M302" s="108" t="s">
        <v>78</v>
      </c>
      <c r="N302" s="10">
        <v>674</v>
      </c>
      <c r="O302" s="10">
        <v>3</v>
      </c>
      <c r="P302" s="10">
        <v>1</v>
      </c>
    </row>
    <row r="303" spans="4:16" x14ac:dyDescent="0.25">
      <c r="D303" s="109">
        <v>299</v>
      </c>
      <c r="E303" s="10">
        <v>675</v>
      </c>
      <c r="F303" s="10">
        <v>3</v>
      </c>
      <c r="G303" s="10">
        <v>1</v>
      </c>
      <c r="H303" s="5" t="str">
        <f t="shared" si="17"/>
        <v>det_675</v>
      </c>
      <c r="I303" s="5" t="str">
        <f t="shared" si="18"/>
        <v>W:\Performance Measurement\1. Freeway\1. raw data\2016\data files\det_675.txt</v>
      </c>
      <c r="J303" s="5" t="str">
        <f t="shared" si="19"/>
        <v>W:\Performance Measurement\1. Freeway\1. raw data\2016\data files\det_675.xlsx</v>
      </c>
      <c r="K303" s="5"/>
      <c r="M303" s="108" t="s">
        <v>78</v>
      </c>
      <c r="N303" s="10">
        <v>675</v>
      </c>
      <c r="O303" s="10">
        <v>3</v>
      </c>
      <c r="P303" s="10">
        <v>1</v>
      </c>
    </row>
    <row r="304" spans="4:16" x14ac:dyDescent="0.25">
      <c r="D304" s="109">
        <v>300</v>
      </c>
      <c r="E304" s="10">
        <v>676</v>
      </c>
      <c r="F304" s="10">
        <v>3</v>
      </c>
      <c r="G304" s="10">
        <v>1</v>
      </c>
      <c r="H304" s="5" t="str">
        <f t="shared" si="17"/>
        <v>det_676</v>
      </c>
      <c r="I304" s="5" t="str">
        <f t="shared" si="18"/>
        <v>W:\Performance Measurement\1. Freeway\1. raw data\2016\data files\det_676.txt</v>
      </c>
      <c r="J304" s="5" t="str">
        <f t="shared" si="19"/>
        <v>W:\Performance Measurement\1. Freeway\1. raw data\2016\data files\det_676.xlsx</v>
      </c>
      <c r="K304" s="5"/>
      <c r="M304" s="108" t="s">
        <v>78</v>
      </c>
      <c r="N304" s="10">
        <v>676</v>
      </c>
      <c r="O304" s="10">
        <v>3</v>
      </c>
      <c r="P304" s="10">
        <v>1</v>
      </c>
    </row>
    <row r="305" spans="4:16" x14ac:dyDescent="0.25">
      <c r="D305" s="109">
        <v>301</v>
      </c>
      <c r="E305" s="112">
        <v>677</v>
      </c>
      <c r="F305" s="112">
        <v>4</v>
      </c>
      <c r="G305" s="112">
        <v>1</v>
      </c>
      <c r="H305" s="5" t="str">
        <f t="shared" si="17"/>
        <v>det_677</v>
      </c>
      <c r="I305" s="5" t="str">
        <f t="shared" si="18"/>
        <v>W:\Performance Measurement\1. Freeway\1. raw data\2016\data files\det_677.txt</v>
      </c>
      <c r="J305" s="5" t="str">
        <f t="shared" si="19"/>
        <v>W:\Performance Measurement\1. Freeway\1. raw data\2016\data files\det_677.xlsx</v>
      </c>
      <c r="K305" s="5"/>
      <c r="M305" s="108" t="s">
        <v>78</v>
      </c>
      <c r="N305" s="112">
        <v>677</v>
      </c>
      <c r="O305" s="112">
        <v>4</v>
      </c>
      <c r="P305" s="112">
        <v>1</v>
      </c>
    </row>
    <row r="306" spans="4:16" x14ac:dyDescent="0.25">
      <c r="D306" s="109">
        <v>302</v>
      </c>
      <c r="E306" s="10">
        <v>678</v>
      </c>
      <c r="F306" s="10">
        <v>3</v>
      </c>
      <c r="G306" s="10">
        <v>1</v>
      </c>
      <c r="H306" s="5" t="str">
        <f t="shared" si="17"/>
        <v>det_678</v>
      </c>
      <c r="I306" s="5" t="str">
        <f t="shared" si="18"/>
        <v>W:\Performance Measurement\1. Freeway\1. raw data\2016\data files\det_678.txt</v>
      </c>
      <c r="J306" s="5" t="str">
        <f t="shared" si="19"/>
        <v>W:\Performance Measurement\1. Freeway\1. raw data\2016\data files\det_678.xlsx</v>
      </c>
      <c r="M306" s="108" t="s">
        <v>78</v>
      </c>
      <c r="N306" s="10">
        <v>678</v>
      </c>
      <c r="O306" s="10">
        <v>3</v>
      </c>
      <c r="P306" s="10">
        <v>1</v>
      </c>
    </row>
    <row r="307" spans="4:16" x14ac:dyDescent="0.25">
      <c r="D307" s="109">
        <v>303</v>
      </c>
      <c r="E307" s="10">
        <v>679</v>
      </c>
      <c r="F307" s="10">
        <v>3</v>
      </c>
      <c r="G307" s="10">
        <v>1</v>
      </c>
      <c r="H307" s="5" t="str">
        <f t="shared" si="17"/>
        <v>det_679</v>
      </c>
      <c r="I307" s="5" t="str">
        <f t="shared" si="18"/>
        <v>W:\Performance Measurement\1. Freeway\1. raw data\2016\data files\det_679.txt</v>
      </c>
      <c r="J307" s="5" t="str">
        <f t="shared" si="19"/>
        <v>W:\Performance Measurement\1. Freeway\1. raw data\2016\data files\det_679.xlsx</v>
      </c>
      <c r="M307" s="108" t="s">
        <v>78</v>
      </c>
      <c r="N307" s="10">
        <v>679</v>
      </c>
      <c r="O307" s="10">
        <v>3</v>
      </c>
      <c r="P307" s="10">
        <v>1</v>
      </c>
    </row>
    <row r="308" spans="4:16" x14ac:dyDescent="0.25">
      <c r="D308" s="109">
        <v>304</v>
      </c>
      <c r="E308" s="112">
        <v>680</v>
      </c>
      <c r="F308" s="112">
        <v>3</v>
      </c>
      <c r="G308" s="112">
        <v>0</v>
      </c>
      <c r="H308" s="5" t="str">
        <f t="shared" si="17"/>
        <v>det_680</v>
      </c>
      <c r="I308" s="5" t="str">
        <f t="shared" si="18"/>
        <v>W:\Performance Measurement\1. Freeway\1. raw data\2016\data files\det_680.txt</v>
      </c>
      <c r="J308" s="5" t="str">
        <f t="shared" si="19"/>
        <v>W:\Performance Measurement\1. Freeway\1. raw data\2016\data files\det_680.xlsx</v>
      </c>
      <c r="M308" s="108" t="s">
        <v>78</v>
      </c>
      <c r="N308" s="112">
        <v>680</v>
      </c>
      <c r="O308" s="112">
        <v>3</v>
      </c>
      <c r="P308" s="112">
        <v>0</v>
      </c>
    </row>
    <row r="309" spans="4:16" x14ac:dyDescent="0.25">
      <c r="D309" s="109">
        <v>305</v>
      </c>
      <c r="E309" s="10">
        <v>643</v>
      </c>
      <c r="F309" s="10">
        <v>2</v>
      </c>
      <c r="G309" s="10">
        <v>1</v>
      </c>
      <c r="H309" s="5" t="str">
        <f t="shared" si="17"/>
        <v>det_643</v>
      </c>
      <c r="I309" s="5" t="str">
        <f t="shared" si="18"/>
        <v>W:\Performance Measurement\1. Freeway\1. raw data\2016\data files\det_643.txt</v>
      </c>
      <c r="J309" s="5" t="str">
        <f t="shared" si="19"/>
        <v>W:\Performance Measurement\1. Freeway\1. raw data\2016\data files\det_643.xlsx</v>
      </c>
      <c r="M309" s="108" t="s">
        <v>282</v>
      </c>
      <c r="N309" s="10">
        <v>643</v>
      </c>
      <c r="O309" s="10">
        <v>2</v>
      </c>
      <c r="P309" s="10">
        <v>1</v>
      </c>
    </row>
    <row r="310" spans="4:16" x14ac:dyDescent="0.25">
      <c r="D310" s="109">
        <v>306</v>
      </c>
      <c r="E310" s="10">
        <v>644</v>
      </c>
      <c r="F310" s="10">
        <v>2</v>
      </c>
      <c r="G310" s="10">
        <v>1</v>
      </c>
      <c r="H310" s="5" t="str">
        <f t="shared" si="17"/>
        <v>det_644</v>
      </c>
      <c r="I310" s="5" t="str">
        <f t="shared" si="18"/>
        <v>W:\Performance Measurement\1. Freeway\1. raw data\2016\data files\det_644.txt</v>
      </c>
      <c r="J310" s="5" t="str">
        <f t="shared" si="19"/>
        <v>W:\Performance Measurement\1. Freeway\1. raw data\2016\data files\det_644.xlsx</v>
      </c>
      <c r="M310" s="108" t="s">
        <v>282</v>
      </c>
      <c r="N310" s="10">
        <v>644</v>
      </c>
      <c r="O310" s="10">
        <v>2</v>
      </c>
      <c r="P310" s="10">
        <v>1</v>
      </c>
    </row>
    <row r="311" spans="4:16" x14ac:dyDescent="0.25">
      <c r="D311" s="109">
        <v>307</v>
      </c>
      <c r="E311" s="10">
        <v>645</v>
      </c>
      <c r="F311" s="10">
        <v>2</v>
      </c>
      <c r="G311" s="10">
        <v>1</v>
      </c>
      <c r="H311" s="5" t="str">
        <f t="shared" si="17"/>
        <v>det_645</v>
      </c>
      <c r="I311" s="5" t="str">
        <f t="shared" ref="I311:I363" si="20">$B$5&amp;"\"&amp;H311&amp;".txt"</f>
        <v>W:\Performance Measurement\1. Freeway\1. raw data\2016\data files\det_645.txt</v>
      </c>
      <c r="J311" s="5" t="str">
        <f t="shared" ref="J311:J363" si="21">$B$5&amp;"\"&amp;H311&amp;".xlsx"</f>
        <v>W:\Performance Measurement\1. Freeway\1. raw data\2016\data files\det_645.xlsx</v>
      </c>
      <c r="M311" s="108" t="s">
        <v>282</v>
      </c>
      <c r="N311" s="10">
        <v>645</v>
      </c>
      <c r="O311" s="10">
        <v>2</v>
      </c>
      <c r="P311" s="10">
        <v>1</v>
      </c>
    </row>
    <row r="312" spans="4:16" x14ac:dyDescent="0.25">
      <c r="D312" s="109">
        <v>308</v>
      </c>
      <c r="E312" s="10">
        <v>646</v>
      </c>
      <c r="F312" s="10">
        <v>2</v>
      </c>
      <c r="G312" s="10">
        <v>1</v>
      </c>
      <c r="H312" s="5" t="str">
        <f t="shared" si="17"/>
        <v>det_646</v>
      </c>
      <c r="I312" s="5" t="str">
        <f t="shared" si="20"/>
        <v>W:\Performance Measurement\1. Freeway\1. raw data\2016\data files\det_646.txt</v>
      </c>
      <c r="J312" s="5" t="str">
        <f t="shared" si="21"/>
        <v>W:\Performance Measurement\1. Freeway\1. raw data\2016\data files\det_646.xlsx</v>
      </c>
      <c r="M312" s="108" t="s">
        <v>282</v>
      </c>
      <c r="N312" s="10">
        <v>646</v>
      </c>
      <c r="O312" s="10">
        <v>2</v>
      </c>
      <c r="P312" s="10">
        <v>1</v>
      </c>
    </row>
    <row r="313" spans="4:16" x14ac:dyDescent="0.25">
      <c r="D313" s="109">
        <v>309</v>
      </c>
      <c r="E313" s="10">
        <v>647</v>
      </c>
      <c r="F313" s="10">
        <v>2</v>
      </c>
      <c r="G313" s="10">
        <v>1</v>
      </c>
      <c r="H313" s="5" t="str">
        <f t="shared" si="17"/>
        <v>det_647</v>
      </c>
      <c r="I313" s="5" t="str">
        <f t="shared" si="20"/>
        <v>W:\Performance Measurement\1. Freeway\1. raw data\2016\data files\det_647.txt</v>
      </c>
      <c r="J313" s="5" t="str">
        <f t="shared" si="21"/>
        <v>W:\Performance Measurement\1. Freeway\1. raw data\2016\data files\det_647.xlsx</v>
      </c>
      <c r="M313" s="108" t="s">
        <v>282</v>
      </c>
      <c r="N313" s="10">
        <v>647</v>
      </c>
      <c r="O313" s="10">
        <v>2</v>
      </c>
      <c r="P313" s="10">
        <v>1</v>
      </c>
    </row>
    <row r="314" spans="4:16" x14ac:dyDescent="0.25">
      <c r="D314" s="109">
        <v>310</v>
      </c>
      <c r="E314" s="10">
        <v>648</v>
      </c>
      <c r="F314" s="10">
        <v>2</v>
      </c>
      <c r="G314" s="10">
        <v>1</v>
      </c>
      <c r="H314" s="5" t="str">
        <f t="shared" si="17"/>
        <v>det_648</v>
      </c>
      <c r="I314" s="5" t="str">
        <f t="shared" si="20"/>
        <v>W:\Performance Measurement\1. Freeway\1. raw data\2016\data files\det_648.txt</v>
      </c>
      <c r="J314" s="5" t="str">
        <f t="shared" si="21"/>
        <v>W:\Performance Measurement\1. Freeway\1. raw data\2016\data files\det_648.xlsx</v>
      </c>
      <c r="M314" s="108" t="s">
        <v>282</v>
      </c>
      <c r="N314" s="10">
        <v>648</v>
      </c>
      <c r="O314" s="10">
        <v>2</v>
      </c>
      <c r="P314" s="10">
        <v>1</v>
      </c>
    </row>
    <row r="315" spans="4:16" x14ac:dyDescent="0.25">
      <c r="D315" s="109">
        <v>311</v>
      </c>
      <c r="E315" s="10">
        <v>649</v>
      </c>
      <c r="F315" s="10">
        <v>2</v>
      </c>
      <c r="G315" s="10">
        <v>1</v>
      </c>
      <c r="H315" s="5" t="str">
        <f t="shared" si="17"/>
        <v>det_649</v>
      </c>
      <c r="I315" s="5" t="str">
        <f t="shared" si="20"/>
        <v>W:\Performance Measurement\1. Freeway\1. raw data\2016\data files\det_649.txt</v>
      </c>
      <c r="J315" s="5" t="str">
        <f t="shared" si="21"/>
        <v>W:\Performance Measurement\1. Freeway\1. raw data\2016\data files\det_649.xlsx</v>
      </c>
      <c r="M315" s="108" t="s">
        <v>282</v>
      </c>
      <c r="N315" s="10">
        <v>649</v>
      </c>
      <c r="O315" s="10">
        <v>2</v>
      </c>
      <c r="P315" s="10">
        <v>1</v>
      </c>
    </row>
    <row r="316" spans="4:16" x14ac:dyDescent="0.25">
      <c r="D316" s="109">
        <v>312</v>
      </c>
      <c r="E316" s="10">
        <v>659</v>
      </c>
      <c r="F316" s="10">
        <v>2</v>
      </c>
      <c r="G316" s="10">
        <v>1</v>
      </c>
      <c r="H316" s="5" t="str">
        <f t="shared" si="17"/>
        <v>det_659</v>
      </c>
      <c r="I316" s="5" t="str">
        <f t="shared" si="20"/>
        <v>W:\Performance Measurement\1. Freeway\1. raw data\2016\data files\det_659.txt</v>
      </c>
      <c r="J316" s="5" t="str">
        <f t="shared" si="21"/>
        <v>W:\Performance Measurement\1. Freeway\1. raw data\2016\data files\det_659.xlsx</v>
      </c>
      <c r="M316" s="108" t="s">
        <v>282</v>
      </c>
      <c r="N316" s="10">
        <v>659</v>
      </c>
      <c r="O316" s="10">
        <v>2</v>
      </c>
      <c r="P316" s="10">
        <v>1</v>
      </c>
    </row>
    <row r="317" spans="4:16" x14ac:dyDescent="0.25">
      <c r="D317" s="109">
        <v>313</v>
      </c>
      <c r="E317" s="10">
        <v>660</v>
      </c>
      <c r="F317" s="10">
        <v>2</v>
      </c>
      <c r="G317" s="10">
        <v>1</v>
      </c>
      <c r="H317" s="5" t="str">
        <f t="shared" si="17"/>
        <v>det_660</v>
      </c>
      <c r="I317" s="5" t="str">
        <f t="shared" si="20"/>
        <v>W:\Performance Measurement\1. Freeway\1. raw data\2016\data files\det_660.txt</v>
      </c>
      <c r="J317" s="5" t="str">
        <f t="shared" si="21"/>
        <v>W:\Performance Measurement\1. Freeway\1. raw data\2016\data files\det_660.xlsx</v>
      </c>
      <c r="M317" s="108" t="s">
        <v>282</v>
      </c>
      <c r="N317" s="10">
        <v>660</v>
      </c>
      <c r="O317" s="10">
        <v>2</v>
      </c>
      <c r="P317" s="10">
        <v>1</v>
      </c>
    </row>
    <row r="318" spans="4:16" x14ac:dyDescent="0.25">
      <c r="D318" s="109">
        <v>314</v>
      </c>
      <c r="E318" s="10">
        <v>661</v>
      </c>
      <c r="F318" s="10">
        <v>2</v>
      </c>
      <c r="G318" s="10">
        <v>1</v>
      </c>
      <c r="H318" s="5" t="str">
        <f t="shared" si="17"/>
        <v>det_661</v>
      </c>
      <c r="I318" s="5" t="str">
        <f t="shared" si="20"/>
        <v>W:\Performance Measurement\1. Freeway\1. raw data\2016\data files\det_661.txt</v>
      </c>
      <c r="J318" s="5" t="str">
        <f t="shared" si="21"/>
        <v>W:\Performance Measurement\1. Freeway\1. raw data\2016\data files\det_661.xlsx</v>
      </c>
      <c r="M318" s="108" t="s">
        <v>282</v>
      </c>
      <c r="N318" s="10">
        <v>661</v>
      </c>
      <c r="O318" s="10">
        <v>2</v>
      </c>
      <c r="P318" s="10">
        <v>1</v>
      </c>
    </row>
    <row r="319" spans="4:16" x14ac:dyDescent="0.25">
      <c r="D319" s="109">
        <v>315</v>
      </c>
      <c r="E319" s="10">
        <v>662</v>
      </c>
      <c r="F319" s="10">
        <v>2</v>
      </c>
      <c r="G319" s="10">
        <v>1</v>
      </c>
      <c r="H319" s="5" t="str">
        <f t="shared" si="17"/>
        <v>det_662</v>
      </c>
      <c r="I319" s="5" t="str">
        <f t="shared" si="20"/>
        <v>W:\Performance Measurement\1. Freeway\1. raw data\2016\data files\det_662.txt</v>
      </c>
      <c r="J319" s="5" t="str">
        <f t="shared" si="21"/>
        <v>W:\Performance Measurement\1. Freeway\1. raw data\2016\data files\det_662.xlsx</v>
      </c>
      <c r="M319" s="108" t="s">
        <v>282</v>
      </c>
      <c r="N319" s="10">
        <v>662</v>
      </c>
      <c r="O319" s="10">
        <v>2</v>
      </c>
      <c r="P319" s="10">
        <v>1</v>
      </c>
    </row>
    <row r="320" spans="4:16" x14ac:dyDescent="0.25">
      <c r="D320" s="109">
        <v>316</v>
      </c>
      <c r="E320" s="10">
        <v>663</v>
      </c>
      <c r="F320" s="10">
        <v>2</v>
      </c>
      <c r="G320" s="10">
        <v>1</v>
      </c>
      <c r="H320" s="5" t="str">
        <f t="shared" si="17"/>
        <v>det_663</v>
      </c>
      <c r="I320" s="5" t="str">
        <f t="shared" si="20"/>
        <v>W:\Performance Measurement\1. Freeway\1. raw data\2016\data files\det_663.txt</v>
      </c>
      <c r="J320" s="5" t="str">
        <f t="shared" si="21"/>
        <v>W:\Performance Measurement\1. Freeway\1. raw data\2016\data files\det_663.xlsx</v>
      </c>
      <c r="M320" s="108" t="s">
        <v>282</v>
      </c>
      <c r="N320" s="10">
        <v>663</v>
      </c>
      <c r="O320" s="10">
        <v>2</v>
      </c>
      <c r="P320" s="10">
        <v>1</v>
      </c>
    </row>
    <row r="321" spans="4:16" x14ac:dyDescent="0.25">
      <c r="D321" s="109">
        <v>317</v>
      </c>
      <c r="E321" s="10">
        <v>664</v>
      </c>
      <c r="F321" s="10">
        <v>2</v>
      </c>
      <c r="G321" s="10">
        <v>1</v>
      </c>
      <c r="H321" s="5" t="str">
        <f t="shared" si="17"/>
        <v>det_664</v>
      </c>
      <c r="I321" s="5" t="str">
        <f t="shared" si="20"/>
        <v>W:\Performance Measurement\1. Freeway\1. raw data\2016\data files\det_664.txt</v>
      </c>
      <c r="J321" s="5" t="str">
        <f t="shared" si="21"/>
        <v>W:\Performance Measurement\1. Freeway\1. raw data\2016\data files\det_664.xlsx</v>
      </c>
      <c r="M321" s="108" t="s">
        <v>282</v>
      </c>
      <c r="N321" s="10">
        <v>664</v>
      </c>
      <c r="O321" s="10">
        <v>2</v>
      </c>
      <c r="P321" s="10">
        <v>1</v>
      </c>
    </row>
    <row r="322" spans="4:16" x14ac:dyDescent="0.25">
      <c r="D322" s="109">
        <v>318</v>
      </c>
      <c r="E322" s="10">
        <v>665</v>
      </c>
      <c r="F322" s="10">
        <v>2</v>
      </c>
      <c r="G322" s="10">
        <v>1</v>
      </c>
      <c r="H322" s="5" t="str">
        <f t="shared" si="17"/>
        <v>det_665</v>
      </c>
      <c r="I322" s="5" t="str">
        <f t="shared" si="20"/>
        <v>W:\Performance Measurement\1. Freeway\1. raw data\2016\data files\det_665.txt</v>
      </c>
      <c r="J322" s="5" t="str">
        <f t="shared" si="21"/>
        <v>W:\Performance Measurement\1. Freeway\1. raw data\2016\data files\det_665.xlsx</v>
      </c>
      <c r="M322" s="108" t="s">
        <v>282</v>
      </c>
      <c r="N322" s="10">
        <v>665</v>
      </c>
      <c r="O322" s="10">
        <v>2</v>
      </c>
      <c r="P322" s="10">
        <v>1</v>
      </c>
    </row>
    <row r="323" spans="4:16" x14ac:dyDescent="0.25">
      <c r="D323" s="109">
        <v>319</v>
      </c>
      <c r="E323" s="10">
        <v>635</v>
      </c>
      <c r="F323" s="10">
        <v>2</v>
      </c>
      <c r="G323" s="10">
        <v>0</v>
      </c>
      <c r="H323" s="5" t="str">
        <f t="shared" si="17"/>
        <v>det_635</v>
      </c>
      <c r="I323" s="5" t="str">
        <f t="shared" si="20"/>
        <v>W:\Performance Measurement\1. Freeway\1. raw data\2016\data files\det_635.txt</v>
      </c>
      <c r="J323" s="5" t="str">
        <f t="shared" si="21"/>
        <v>W:\Performance Measurement\1. Freeway\1. raw data\2016\data files\det_635.xlsx</v>
      </c>
      <c r="M323" s="108" t="s">
        <v>283</v>
      </c>
      <c r="N323" s="10">
        <v>635</v>
      </c>
      <c r="O323" s="10">
        <v>2</v>
      </c>
      <c r="P323" s="10">
        <v>0</v>
      </c>
    </row>
    <row r="324" spans="4:16" x14ac:dyDescent="0.25">
      <c r="D324" s="109">
        <v>320</v>
      </c>
      <c r="E324" s="10">
        <v>636</v>
      </c>
      <c r="F324" s="10">
        <v>2</v>
      </c>
      <c r="G324" s="10">
        <v>1</v>
      </c>
      <c r="H324" s="5" t="str">
        <f t="shared" ref="H324:H355" si="22">"det_"&amp;E324&amp;""</f>
        <v>det_636</v>
      </c>
      <c r="I324" s="5" t="str">
        <f t="shared" si="20"/>
        <v>W:\Performance Measurement\1. Freeway\1. raw data\2016\data files\det_636.txt</v>
      </c>
      <c r="J324" s="5" t="str">
        <f t="shared" si="21"/>
        <v>W:\Performance Measurement\1. Freeway\1. raw data\2016\data files\det_636.xlsx</v>
      </c>
      <c r="M324" s="108" t="s">
        <v>283</v>
      </c>
      <c r="N324" s="10">
        <v>636</v>
      </c>
      <c r="O324" s="10">
        <v>2</v>
      </c>
      <c r="P324" s="10">
        <v>1</v>
      </c>
    </row>
    <row r="325" spans="4:16" x14ac:dyDescent="0.25">
      <c r="D325" s="109">
        <v>321</v>
      </c>
      <c r="E325" s="10">
        <v>637</v>
      </c>
      <c r="F325" s="10">
        <v>2</v>
      </c>
      <c r="G325" s="10">
        <v>1</v>
      </c>
      <c r="H325" s="5" t="str">
        <f t="shared" si="22"/>
        <v>det_637</v>
      </c>
      <c r="I325" s="5" t="str">
        <f t="shared" si="20"/>
        <v>W:\Performance Measurement\1. Freeway\1. raw data\2016\data files\det_637.txt</v>
      </c>
      <c r="J325" s="5" t="str">
        <f t="shared" si="21"/>
        <v>W:\Performance Measurement\1. Freeway\1. raw data\2016\data files\det_637.xlsx</v>
      </c>
      <c r="M325" s="108" t="s">
        <v>283</v>
      </c>
      <c r="N325" s="10">
        <v>637</v>
      </c>
      <c r="O325" s="10">
        <v>2</v>
      </c>
      <c r="P325" s="10">
        <v>1</v>
      </c>
    </row>
    <row r="326" spans="4:16" x14ac:dyDescent="0.25">
      <c r="D326" s="109">
        <v>322</v>
      </c>
      <c r="E326" s="10">
        <v>638</v>
      </c>
      <c r="F326" s="10">
        <v>2</v>
      </c>
      <c r="G326" s="10">
        <v>1</v>
      </c>
      <c r="H326" s="5" t="str">
        <f t="shared" si="22"/>
        <v>det_638</v>
      </c>
      <c r="I326" s="5" t="str">
        <f t="shared" si="20"/>
        <v>W:\Performance Measurement\1. Freeway\1. raw data\2016\data files\det_638.txt</v>
      </c>
      <c r="J326" s="5" t="str">
        <f t="shared" si="21"/>
        <v>W:\Performance Measurement\1. Freeway\1. raw data\2016\data files\det_638.xlsx</v>
      </c>
      <c r="M326" s="108" t="s">
        <v>283</v>
      </c>
      <c r="N326" s="10">
        <v>638</v>
      </c>
      <c r="O326" s="10">
        <v>2</v>
      </c>
      <c r="P326" s="10">
        <v>1</v>
      </c>
    </row>
    <row r="327" spans="4:16" x14ac:dyDescent="0.25">
      <c r="D327" s="109">
        <v>323</v>
      </c>
      <c r="E327" s="10">
        <v>639</v>
      </c>
      <c r="F327" s="10">
        <v>2</v>
      </c>
      <c r="G327" s="10">
        <v>1</v>
      </c>
      <c r="H327" s="5" t="str">
        <f t="shared" si="22"/>
        <v>det_639</v>
      </c>
      <c r="I327" s="5" t="str">
        <f t="shared" si="20"/>
        <v>W:\Performance Measurement\1. Freeway\1. raw data\2016\data files\det_639.txt</v>
      </c>
      <c r="J327" s="5" t="str">
        <f t="shared" si="21"/>
        <v>W:\Performance Measurement\1. Freeway\1. raw data\2016\data files\det_639.xlsx</v>
      </c>
      <c r="M327" s="108" t="s">
        <v>283</v>
      </c>
      <c r="N327" s="10">
        <v>639</v>
      </c>
      <c r="O327" s="10">
        <v>2</v>
      </c>
      <c r="P327" s="10">
        <v>1</v>
      </c>
    </row>
    <row r="328" spans="4:16" x14ac:dyDescent="0.25">
      <c r="D328" s="109">
        <v>324</v>
      </c>
      <c r="E328" s="10">
        <v>640</v>
      </c>
      <c r="F328" s="10">
        <v>2</v>
      </c>
      <c r="G328" s="10">
        <v>1</v>
      </c>
      <c r="H328" s="5" t="str">
        <f t="shared" si="22"/>
        <v>det_640</v>
      </c>
      <c r="I328" s="5" t="str">
        <f t="shared" si="20"/>
        <v>W:\Performance Measurement\1. Freeway\1. raw data\2016\data files\det_640.txt</v>
      </c>
      <c r="J328" s="5" t="str">
        <f t="shared" si="21"/>
        <v>W:\Performance Measurement\1. Freeway\1. raw data\2016\data files\det_640.xlsx</v>
      </c>
      <c r="M328" s="108" t="s">
        <v>283</v>
      </c>
      <c r="N328" s="10">
        <v>640</v>
      </c>
      <c r="O328" s="10">
        <v>2</v>
      </c>
      <c r="P328" s="10">
        <v>1</v>
      </c>
    </row>
    <row r="329" spans="4:16" x14ac:dyDescent="0.25">
      <c r="D329" s="109">
        <v>325</v>
      </c>
      <c r="E329" s="10">
        <v>641</v>
      </c>
      <c r="F329" s="10">
        <v>2</v>
      </c>
      <c r="G329" s="10">
        <v>1</v>
      </c>
      <c r="H329" s="5" t="str">
        <f t="shared" si="22"/>
        <v>det_641</v>
      </c>
      <c r="I329" s="5" t="str">
        <f t="shared" si="20"/>
        <v>W:\Performance Measurement\1. Freeway\1. raw data\2016\data files\det_641.txt</v>
      </c>
      <c r="J329" s="5" t="str">
        <f t="shared" si="21"/>
        <v>W:\Performance Measurement\1. Freeway\1. raw data\2016\data files\det_641.xlsx</v>
      </c>
      <c r="M329" s="108" t="s">
        <v>283</v>
      </c>
      <c r="N329" s="10">
        <v>641</v>
      </c>
      <c r="O329" s="10">
        <v>2</v>
      </c>
      <c r="P329" s="10">
        <v>1</v>
      </c>
    </row>
    <row r="330" spans="4:16" x14ac:dyDescent="0.25">
      <c r="D330" s="109">
        <v>326</v>
      </c>
      <c r="E330" s="10">
        <v>642</v>
      </c>
      <c r="F330" s="10">
        <v>2</v>
      </c>
      <c r="G330" s="10">
        <v>1</v>
      </c>
      <c r="H330" s="5" t="str">
        <f t="shared" si="22"/>
        <v>det_642</v>
      </c>
      <c r="I330" s="5" t="str">
        <f t="shared" si="20"/>
        <v>W:\Performance Measurement\1. Freeway\1. raw data\2016\data files\det_642.txt</v>
      </c>
      <c r="J330" s="5" t="str">
        <f t="shared" si="21"/>
        <v>W:\Performance Measurement\1. Freeway\1. raw data\2016\data files\det_642.xlsx</v>
      </c>
      <c r="M330" s="108" t="s">
        <v>283</v>
      </c>
      <c r="N330" s="10">
        <v>642</v>
      </c>
      <c r="O330" s="10">
        <v>2</v>
      </c>
      <c r="P330" s="10">
        <v>1</v>
      </c>
    </row>
    <row r="331" spans="4:16" x14ac:dyDescent="0.25">
      <c r="D331" s="109">
        <v>327</v>
      </c>
      <c r="E331" s="10">
        <v>651</v>
      </c>
      <c r="F331" s="10">
        <v>3</v>
      </c>
      <c r="G331" s="10">
        <v>0</v>
      </c>
      <c r="H331" s="5" t="str">
        <f t="shared" si="22"/>
        <v>det_651</v>
      </c>
      <c r="I331" s="5" t="str">
        <f t="shared" si="20"/>
        <v>W:\Performance Measurement\1. Freeway\1. raw data\2016\data files\det_651.txt</v>
      </c>
      <c r="J331" s="5" t="str">
        <f t="shared" si="21"/>
        <v>W:\Performance Measurement\1. Freeway\1. raw data\2016\data files\det_651.xlsx</v>
      </c>
      <c r="M331" s="108" t="s">
        <v>283</v>
      </c>
      <c r="N331" s="10">
        <v>651</v>
      </c>
      <c r="O331" s="10">
        <v>3</v>
      </c>
      <c r="P331" s="10">
        <v>0</v>
      </c>
    </row>
    <row r="332" spans="4:16" x14ac:dyDescent="0.25">
      <c r="D332" s="109">
        <v>328</v>
      </c>
      <c r="E332" s="10">
        <v>652</v>
      </c>
      <c r="F332" s="10">
        <v>3</v>
      </c>
      <c r="G332" s="10">
        <v>1</v>
      </c>
      <c r="H332" s="5" t="str">
        <f t="shared" si="22"/>
        <v>det_652</v>
      </c>
      <c r="I332" s="5" t="str">
        <f t="shared" si="20"/>
        <v>W:\Performance Measurement\1. Freeway\1. raw data\2016\data files\det_652.txt</v>
      </c>
      <c r="J332" s="5" t="str">
        <f t="shared" si="21"/>
        <v>W:\Performance Measurement\1. Freeway\1. raw data\2016\data files\det_652.xlsx</v>
      </c>
      <c r="M332" s="108" t="s">
        <v>283</v>
      </c>
      <c r="N332" s="10">
        <v>652</v>
      </c>
      <c r="O332" s="10">
        <v>3</v>
      </c>
      <c r="P332" s="10">
        <v>1</v>
      </c>
    </row>
    <row r="333" spans="4:16" x14ac:dyDescent="0.25">
      <c r="D333" s="109">
        <v>329</v>
      </c>
      <c r="E333" s="10">
        <v>653</v>
      </c>
      <c r="F333" s="10">
        <v>3</v>
      </c>
      <c r="G333" s="10">
        <v>1</v>
      </c>
      <c r="H333" s="5" t="str">
        <f t="shared" si="22"/>
        <v>det_653</v>
      </c>
      <c r="I333" s="5" t="str">
        <f t="shared" si="20"/>
        <v>W:\Performance Measurement\1. Freeway\1. raw data\2016\data files\det_653.txt</v>
      </c>
      <c r="J333" s="5" t="str">
        <f t="shared" si="21"/>
        <v>W:\Performance Measurement\1. Freeway\1. raw data\2016\data files\det_653.xlsx</v>
      </c>
      <c r="M333" s="108" t="s">
        <v>283</v>
      </c>
      <c r="N333" s="10">
        <v>653</v>
      </c>
      <c r="O333" s="10">
        <v>3</v>
      </c>
      <c r="P333" s="10">
        <v>1</v>
      </c>
    </row>
    <row r="334" spans="4:16" x14ac:dyDescent="0.25">
      <c r="D334" s="109">
        <v>330</v>
      </c>
      <c r="E334" s="10">
        <v>654</v>
      </c>
      <c r="F334" s="10">
        <v>3</v>
      </c>
      <c r="G334" s="10">
        <v>1</v>
      </c>
      <c r="H334" s="5" t="str">
        <f t="shared" si="22"/>
        <v>det_654</v>
      </c>
      <c r="I334" s="5" t="str">
        <f t="shared" si="20"/>
        <v>W:\Performance Measurement\1. Freeway\1. raw data\2016\data files\det_654.txt</v>
      </c>
      <c r="J334" s="5" t="str">
        <f t="shared" si="21"/>
        <v>W:\Performance Measurement\1. Freeway\1. raw data\2016\data files\det_654.xlsx</v>
      </c>
      <c r="M334" s="108" t="s">
        <v>283</v>
      </c>
      <c r="N334" s="10">
        <v>654</v>
      </c>
      <c r="O334" s="10">
        <v>3</v>
      </c>
      <c r="P334" s="10">
        <v>1</v>
      </c>
    </row>
    <row r="335" spans="4:16" x14ac:dyDescent="0.25">
      <c r="D335" s="109">
        <v>331</v>
      </c>
      <c r="E335" s="10">
        <v>655</v>
      </c>
      <c r="F335" s="10">
        <v>3</v>
      </c>
      <c r="G335" s="10">
        <v>1</v>
      </c>
      <c r="H335" s="5" t="str">
        <f t="shared" si="22"/>
        <v>det_655</v>
      </c>
      <c r="I335" s="5" t="str">
        <f t="shared" si="20"/>
        <v>W:\Performance Measurement\1. Freeway\1. raw data\2016\data files\det_655.txt</v>
      </c>
      <c r="J335" s="5" t="str">
        <f t="shared" si="21"/>
        <v>W:\Performance Measurement\1. Freeway\1. raw data\2016\data files\det_655.xlsx</v>
      </c>
      <c r="M335" s="108" t="s">
        <v>283</v>
      </c>
      <c r="N335" s="10">
        <v>655</v>
      </c>
      <c r="O335" s="10">
        <v>3</v>
      </c>
      <c r="P335" s="10">
        <v>1</v>
      </c>
    </row>
    <row r="336" spans="4:16" x14ac:dyDescent="0.25">
      <c r="D336" s="109">
        <v>332</v>
      </c>
      <c r="E336" s="10">
        <v>656</v>
      </c>
      <c r="F336" s="10">
        <v>3</v>
      </c>
      <c r="G336" s="10">
        <v>1</v>
      </c>
      <c r="H336" s="5" t="str">
        <f t="shared" si="22"/>
        <v>det_656</v>
      </c>
      <c r="I336" s="5" t="str">
        <f t="shared" si="20"/>
        <v>W:\Performance Measurement\1. Freeway\1. raw data\2016\data files\det_656.txt</v>
      </c>
      <c r="J336" s="5" t="str">
        <f t="shared" si="21"/>
        <v>W:\Performance Measurement\1. Freeway\1. raw data\2016\data files\det_656.xlsx</v>
      </c>
      <c r="M336" s="108" t="s">
        <v>283</v>
      </c>
      <c r="N336" s="10">
        <v>656</v>
      </c>
      <c r="O336" s="10">
        <v>3</v>
      </c>
      <c r="P336" s="10">
        <v>1</v>
      </c>
    </row>
    <row r="337" spans="3:16" x14ac:dyDescent="0.25">
      <c r="D337" s="109">
        <v>333</v>
      </c>
      <c r="E337" s="10">
        <v>657</v>
      </c>
      <c r="F337" s="10">
        <v>3</v>
      </c>
      <c r="G337" s="10">
        <v>1</v>
      </c>
      <c r="H337" s="5" t="str">
        <f t="shared" si="22"/>
        <v>det_657</v>
      </c>
      <c r="I337" s="5" t="str">
        <f t="shared" si="20"/>
        <v>W:\Performance Measurement\1. Freeway\1. raw data\2016\data files\det_657.txt</v>
      </c>
      <c r="J337" s="5" t="str">
        <f t="shared" si="21"/>
        <v>W:\Performance Measurement\1. Freeway\1. raw data\2016\data files\det_657.xlsx</v>
      </c>
      <c r="M337" s="108" t="s">
        <v>283</v>
      </c>
      <c r="N337" s="10">
        <v>657</v>
      </c>
      <c r="O337" s="10">
        <v>3</v>
      </c>
      <c r="P337" s="10">
        <v>1</v>
      </c>
    </row>
    <row r="338" spans="3:16" x14ac:dyDescent="0.25">
      <c r="D338" s="109">
        <v>334</v>
      </c>
      <c r="E338" s="10">
        <v>658</v>
      </c>
      <c r="F338" s="10">
        <v>2</v>
      </c>
      <c r="G338" s="10">
        <v>1</v>
      </c>
      <c r="H338" s="5" t="str">
        <f t="shared" si="22"/>
        <v>det_658</v>
      </c>
      <c r="I338" s="5" t="str">
        <f t="shared" si="20"/>
        <v>W:\Performance Measurement\1. Freeway\1. raw data\2016\data files\det_658.txt</v>
      </c>
      <c r="J338" s="5" t="str">
        <f t="shared" si="21"/>
        <v>W:\Performance Measurement\1. Freeway\1. raw data\2016\data files\det_658.xlsx</v>
      </c>
      <c r="M338" s="108" t="s">
        <v>283</v>
      </c>
      <c r="N338" s="10">
        <v>658</v>
      </c>
      <c r="O338" s="10">
        <v>2</v>
      </c>
      <c r="P338" s="10">
        <v>1</v>
      </c>
    </row>
    <row r="339" spans="3:16" x14ac:dyDescent="0.25">
      <c r="C339" s="109"/>
      <c r="D339" s="109">
        <v>335</v>
      </c>
      <c r="E339" s="10">
        <v>624</v>
      </c>
      <c r="F339" s="10">
        <v>3</v>
      </c>
      <c r="G339" s="10">
        <v>1</v>
      </c>
      <c r="H339" s="5" t="str">
        <f t="shared" si="22"/>
        <v>det_624</v>
      </c>
      <c r="I339" s="5" t="str">
        <f t="shared" si="20"/>
        <v>W:\Performance Measurement\1. Freeway\1. raw data\2016\data files\det_624.txt</v>
      </c>
      <c r="J339" s="5" t="str">
        <f t="shared" si="21"/>
        <v>W:\Performance Measurement\1. Freeway\1. raw data\2016\data files\det_624.xlsx</v>
      </c>
      <c r="M339" s="108" t="s">
        <v>284</v>
      </c>
      <c r="N339" s="10">
        <v>624</v>
      </c>
      <c r="O339" s="10">
        <v>3</v>
      </c>
      <c r="P339" s="10">
        <v>1</v>
      </c>
    </row>
    <row r="340" spans="3:16" x14ac:dyDescent="0.25">
      <c r="C340" s="109"/>
      <c r="D340" s="109">
        <v>336</v>
      </c>
      <c r="E340" s="10">
        <v>626</v>
      </c>
      <c r="F340" s="10">
        <v>3</v>
      </c>
      <c r="G340" s="10">
        <v>1</v>
      </c>
      <c r="H340" s="5" t="str">
        <f t="shared" si="22"/>
        <v>det_626</v>
      </c>
      <c r="I340" s="5" t="str">
        <f t="shared" si="20"/>
        <v>W:\Performance Measurement\1. Freeway\1. raw data\2016\data files\det_626.txt</v>
      </c>
      <c r="J340" s="5" t="str">
        <f t="shared" si="21"/>
        <v>W:\Performance Measurement\1. Freeway\1. raw data\2016\data files\det_626.xlsx</v>
      </c>
      <c r="M340" s="108" t="s">
        <v>284</v>
      </c>
      <c r="N340" s="10">
        <v>626</v>
      </c>
      <c r="O340" s="10">
        <v>3</v>
      </c>
      <c r="P340" s="10">
        <v>1</v>
      </c>
    </row>
    <row r="341" spans="3:16" x14ac:dyDescent="0.25">
      <c r="C341" s="109"/>
      <c r="D341" s="109">
        <v>337</v>
      </c>
      <c r="E341" s="10">
        <v>628</v>
      </c>
      <c r="F341" s="10">
        <v>3</v>
      </c>
      <c r="G341" s="10">
        <v>1</v>
      </c>
      <c r="H341" s="5" t="str">
        <f t="shared" si="22"/>
        <v>det_628</v>
      </c>
      <c r="I341" s="5" t="str">
        <f t="shared" si="20"/>
        <v>W:\Performance Measurement\1. Freeway\1. raw data\2016\data files\det_628.txt</v>
      </c>
      <c r="J341" s="5" t="str">
        <f t="shared" si="21"/>
        <v>W:\Performance Measurement\1. Freeway\1. raw data\2016\data files\det_628.xlsx</v>
      </c>
      <c r="M341" s="108" t="s">
        <v>284</v>
      </c>
      <c r="N341" s="10">
        <v>628</v>
      </c>
      <c r="O341" s="10">
        <v>3</v>
      </c>
      <c r="P341" s="10">
        <v>1</v>
      </c>
    </row>
    <row r="342" spans="3:16" x14ac:dyDescent="0.25">
      <c r="C342" s="109"/>
      <c r="D342" s="109">
        <v>338</v>
      </c>
      <c r="E342" s="10">
        <v>630</v>
      </c>
      <c r="F342" s="10">
        <v>3</v>
      </c>
      <c r="G342" s="10">
        <v>1</v>
      </c>
      <c r="H342" s="5" t="str">
        <f t="shared" si="22"/>
        <v>det_630</v>
      </c>
      <c r="I342" s="5" t="str">
        <f t="shared" si="20"/>
        <v>W:\Performance Measurement\1. Freeway\1. raw data\2016\data files\det_630.txt</v>
      </c>
      <c r="J342" s="5" t="str">
        <f t="shared" si="21"/>
        <v>W:\Performance Measurement\1. Freeway\1. raw data\2016\data files\det_630.xlsx</v>
      </c>
      <c r="M342" s="108" t="s">
        <v>284</v>
      </c>
      <c r="N342" s="10">
        <v>630</v>
      </c>
      <c r="O342" s="10">
        <v>3</v>
      </c>
      <c r="P342" s="10">
        <v>1</v>
      </c>
    </row>
    <row r="343" spans="3:16" x14ac:dyDescent="0.25">
      <c r="C343" s="109"/>
      <c r="D343" s="109">
        <v>339</v>
      </c>
      <c r="E343" s="10">
        <v>632</v>
      </c>
      <c r="F343" s="10">
        <v>3</v>
      </c>
      <c r="G343" s="10">
        <v>1</v>
      </c>
      <c r="H343" s="5" t="str">
        <f t="shared" si="22"/>
        <v>det_632</v>
      </c>
      <c r="I343" s="5" t="str">
        <f t="shared" si="20"/>
        <v>W:\Performance Measurement\1. Freeway\1. raw data\2016\data files\det_632.txt</v>
      </c>
      <c r="J343" s="5" t="str">
        <f t="shared" si="21"/>
        <v>W:\Performance Measurement\1. Freeway\1. raw data\2016\data files\det_632.xlsx</v>
      </c>
      <c r="M343" s="108" t="s">
        <v>284</v>
      </c>
      <c r="N343" s="10">
        <v>632</v>
      </c>
      <c r="O343" s="10">
        <v>3</v>
      </c>
      <c r="P343" s="10">
        <v>1</v>
      </c>
    </row>
    <row r="344" spans="3:16" x14ac:dyDescent="0.25">
      <c r="C344" s="109"/>
      <c r="D344" s="109">
        <v>340</v>
      </c>
      <c r="E344" s="10">
        <v>634</v>
      </c>
      <c r="F344" s="10">
        <v>3</v>
      </c>
      <c r="G344" s="10">
        <v>1</v>
      </c>
      <c r="H344" s="5" t="str">
        <f t="shared" si="22"/>
        <v>det_634</v>
      </c>
      <c r="I344" s="5" t="str">
        <f t="shared" si="20"/>
        <v>W:\Performance Measurement\1. Freeway\1. raw data\2016\data files\det_634.txt</v>
      </c>
      <c r="J344" s="5" t="str">
        <f t="shared" si="21"/>
        <v>W:\Performance Measurement\1. Freeway\1. raw data\2016\data files\det_634.xlsx</v>
      </c>
      <c r="M344" s="108" t="s">
        <v>284</v>
      </c>
      <c r="N344" s="10">
        <v>634</v>
      </c>
      <c r="O344" s="10">
        <v>3</v>
      </c>
      <c r="P344" s="10">
        <v>1</v>
      </c>
    </row>
    <row r="345" spans="3:16" x14ac:dyDescent="0.25">
      <c r="C345" s="109"/>
      <c r="D345" s="109">
        <v>341</v>
      </c>
      <c r="E345" s="10">
        <v>625</v>
      </c>
      <c r="F345" s="10">
        <v>3</v>
      </c>
      <c r="G345" s="10">
        <v>1</v>
      </c>
      <c r="H345" s="5" t="str">
        <f t="shared" si="22"/>
        <v>det_625</v>
      </c>
      <c r="I345" s="5" t="str">
        <f t="shared" si="20"/>
        <v>W:\Performance Measurement\1. Freeway\1. raw data\2016\data files\det_625.txt</v>
      </c>
      <c r="J345" s="5" t="str">
        <f t="shared" si="21"/>
        <v>W:\Performance Measurement\1. Freeway\1. raw data\2016\data files\det_625.xlsx</v>
      </c>
      <c r="M345" s="108" t="s">
        <v>284</v>
      </c>
      <c r="N345" s="10">
        <v>625</v>
      </c>
      <c r="O345" s="10">
        <v>3</v>
      </c>
      <c r="P345" s="10">
        <v>1</v>
      </c>
    </row>
    <row r="346" spans="3:16" x14ac:dyDescent="0.25">
      <c r="C346" s="109"/>
      <c r="D346" s="109">
        <v>342</v>
      </c>
      <c r="E346" s="10">
        <v>627</v>
      </c>
      <c r="F346" s="10">
        <v>3</v>
      </c>
      <c r="G346" s="10">
        <v>1</v>
      </c>
      <c r="H346" s="5" t="str">
        <f t="shared" si="22"/>
        <v>det_627</v>
      </c>
      <c r="I346" s="5" t="str">
        <f t="shared" si="20"/>
        <v>W:\Performance Measurement\1. Freeway\1. raw data\2016\data files\det_627.txt</v>
      </c>
      <c r="J346" s="5" t="str">
        <f t="shared" si="21"/>
        <v>W:\Performance Measurement\1. Freeway\1. raw data\2016\data files\det_627.xlsx</v>
      </c>
      <c r="M346" s="108" t="s">
        <v>284</v>
      </c>
      <c r="N346" s="10">
        <v>627</v>
      </c>
      <c r="O346" s="10">
        <v>3</v>
      </c>
      <c r="P346" s="10">
        <v>1</v>
      </c>
    </row>
    <row r="347" spans="3:16" x14ac:dyDescent="0.25">
      <c r="C347" s="109"/>
      <c r="D347" s="109">
        <v>343</v>
      </c>
      <c r="E347" s="10">
        <v>629</v>
      </c>
      <c r="F347" s="10">
        <v>3</v>
      </c>
      <c r="G347" s="10">
        <v>1</v>
      </c>
      <c r="H347" s="5" t="str">
        <f t="shared" si="22"/>
        <v>det_629</v>
      </c>
      <c r="I347" s="5" t="str">
        <f t="shared" si="20"/>
        <v>W:\Performance Measurement\1. Freeway\1. raw data\2016\data files\det_629.txt</v>
      </c>
      <c r="J347" s="5" t="str">
        <f t="shared" si="21"/>
        <v>W:\Performance Measurement\1. Freeway\1. raw data\2016\data files\det_629.xlsx</v>
      </c>
      <c r="M347" s="108" t="s">
        <v>284</v>
      </c>
      <c r="N347" s="10">
        <v>629</v>
      </c>
      <c r="O347" s="10">
        <v>3</v>
      </c>
      <c r="P347" s="10">
        <v>1</v>
      </c>
    </row>
    <row r="348" spans="3:16" x14ac:dyDescent="0.25">
      <c r="C348" s="109"/>
      <c r="D348" s="109">
        <v>344</v>
      </c>
      <c r="E348" s="10">
        <v>631</v>
      </c>
      <c r="F348" s="10">
        <v>3</v>
      </c>
      <c r="G348" s="10">
        <v>1</v>
      </c>
      <c r="H348" s="5" t="str">
        <f t="shared" si="22"/>
        <v>det_631</v>
      </c>
      <c r="I348" s="5" t="str">
        <f t="shared" si="20"/>
        <v>W:\Performance Measurement\1. Freeway\1. raw data\2016\data files\det_631.txt</v>
      </c>
      <c r="J348" s="5" t="str">
        <f t="shared" si="21"/>
        <v>W:\Performance Measurement\1. Freeway\1. raw data\2016\data files\det_631.xlsx</v>
      </c>
      <c r="M348" s="108" t="s">
        <v>284</v>
      </c>
      <c r="N348" s="10">
        <v>631</v>
      </c>
      <c r="O348" s="10">
        <v>3</v>
      </c>
      <c r="P348" s="10">
        <v>1</v>
      </c>
    </row>
    <row r="349" spans="3:16" x14ac:dyDescent="0.25">
      <c r="C349" s="109"/>
      <c r="D349" s="109">
        <v>345</v>
      </c>
      <c r="E349" s="10">
        <v>633</v>
      </c>
      <c r="F349" s="10">
        <v>4</v>
      </c>
      <c r="G349" s="10">
        <v>1</v>
      </c>
      <c r="H349" s="5" t="str">
        <f t="shared" si="22"/>
        <v>det_633</v>
      </c>
      <c r="I349" s="5" t="str">
        <f t="shared" si="20"/>
        <v>W:\Performance Measurement\1. Freeway\1. raw data\2016\data files\det_633.txt</v>
      </c>
      <c r="J349" s="5" t="str">
        <f t="shared" si="21"/>
        <v>W:\Performance Measurement\1. Freeway\1. raw data\2016\data files\det_633.xlsx</v>
      </c>
      <c r="M349" s="108" t="s">
        <v>284</v>
      </c>
      <c r="N349" s="10">
        <v>633</v>
      </c>
      <c r="O349" s="10">
        <v>4</v>
      </c>
      <c r="P349" s="10">
        <v>1</v>
      </c>
    </row>
    <row r="350" spans="3:16" x14ac:dyDescent="0.25">
      <c r="C350" s="109"/>
      <c r="D350" s="109">
        <v>346</v>
      </c>
      <c r="E350" s="10">
        <v>607</v>
      </c>
      <c r="F350" s="10">
        <v>4</v>
      </c>
      <c r="G350" s="10">
        <v>0</v>
      </c>
      <c r="H350" s="5" t="str">
        <f t="shared" si="22"/>
        <v>det_607</v>
      </c>
      <c r="I350" s="5" t="str">
        <f t="shared" si="20"/>
        <v>W:\Performance Measurement\1. Freeway\1. raw data\2016\data files\det_607.txt</v>
      </c>
      <c r="J350" s="5" t="str">
        <f t="shared" si="21"/>
        <v>W:\Performance Measurement\1. Freeway\1. raw data\2016\data files\det_607.xlsx</v>
      </c>
      <c r="M350" s="108" t="s">
        <v>79</v>
      </c>
      <c r="N350" s="10">
        <v>607</v>
      </c>
      <c r="O350" s="10">
        <v>4</v>
      </c>
      <c r="P350" s="10">
        <v>0</v>
      </c>
    </row>
    <row r="351" spans="3:16" x14ac:dyDescent="0.25">
      <c r="C351" s="109"/>
      <c r="D351" s="109">
        <v>347</v>
      </c>
      <c r="E351" s="10">
        <v>608</v>
      </c>
      <c r="F351" s="10">
        <v>4</v>
      </c>
      <c r="G351" s="10">
        <v>0</v>
      </c>
      <c r="H351" s="5" t="str">
        <f t="shared" si="22"/>
        <v>det_608</v>
      </c>
      <c r="I351" s="5" t="str">
        <f t="shared" si="20"/>
        <v>W:\Performance Measurement\1. Freeway\1. raw data\2016\data files\det_608.txt</v>
      </c>
      <c r="J351" s="5" t="str">
        <f t="shared" si="21"/>
        <v>W:\Performance Measurement\1. Freeway\1. raw data\2016\data files\det_608.xlsx</v>
      </c>
      <c r="M351" s="108" t="s">
        <v>79</v>
      </c>
      <c r="N351" s="10">
        <v>608</v>
      </c>
      <c r="O351" s="10">
        <v>4</v>
      </c>
      <c r="P351" s="10">
        <v>0</v>
      </c>
    </row>
    <row r="352" spans="3:16" x14ac:dyDescent="0.25">
      <c r="D352" s="109">
        <v>348</v>
      </c>
      <c r="E352" s="10">
        <v>609</v>
      </c>
      <c r="F352" s="10">
        <v>4</v>
      </c>
      <c r="G352" s="10">
        <v>0</v>
      </c>
      <c r="H352" s="5" t="str">
        <f t="shared" si="22"/>
        <v>det_609</v>
      </c>
      <c r="I352" s="5" t="str">
        <f t="shared" si="20"/>
        <v>W:\Performance Measurement\1. Freeway\1. raw data\2016\data files\det_609.txt</v>
      </c>
      <c r="J352" s="5" t="str">
        <f t="shared" si="21"/>
        <v>W:\Performance Measurement\1. Freeway\1. raw data\2016\data files\det_609.xlsx</v>
      </c>
      <c r="M352" s="108" t="s">
        <v>79</v>
      </c>
      <c r="N352" s="10">
        <v>609</v>
      </c>
      <c r="O352" s="10">
        <v>4</v>
      </c>
      <c r="P352" s="10">
        <v>0</v>
      </c>
    </row>
    <row r="353" spans="4:16" x14ac:dyDescent="0.25">
      <c r="D353" s="109">
        <v>349</v>
      </c>
      <c r="E353" s="10">
        <v>610</v>
      </c>
      <c r="F353" s="10">
        <v>4</v>
      </c>
      <c r="G353" s="10">
        <v>0</v>
      </c>
      <c r="H353" s="5" t="str">
        <f t="shared" si="22"/>
        <v>det_610</v>
      </c>
      <c r="I353" s="5" t="str">
        <f t="shared" si="20"/>
        <v>W:\Performance Measurement\1. Freeway\1. raw data\2016\data files\det_610.txt</v>
      </c>
      <c r="J353" s="5" t="str">
        <f t="shared" si="21"/>
        <v>W:\Performance Measurement\1. Freeway\1. raw data\2016\data files\det_610.xlsx</v>
      </c>
      <c r="M353" s="108" t="s">
        <v>79</v>
      </c>
      <c r="N353" s="10">
        <v>610</v>
      </c>
      <c r="O353" s="10">
        <v>4</v>
      </c>
      <c r="P353" s="10">
        <v>0</v>
      </c>
    </row>
    <row r="354" spans="4:16" x14ac:dyDescent="0.25">
      <c r="D354" s="109">
        <v>350</v>
      </c>
      <c r="E354" s="10">
        <v>611</v>
      </c>
      <c r="F354" s="10">
        <v>4</v>
      </c>
      <c r="G354" s="10">
        <v>0</v>
      </c>
      <c r="H354" s="5" t="str">
        <f t="shared" si="22"/>
        <v>det_611</v>
      </c>
      <c r="I354" s="5" t="str">
        <f t="shared" si="20"/>
        <v>W:\Performance Measurement\1. Freeway\1. raw data\2016\data files\det_611.txt</v>
      </c>
      <c r="J354" s="5" t="str">
        <f t="shared" si="21"/>
        <v>W:\Performance Measurement\1. Freeway\1. raw data\2016\data files\det_611.xlsx</v>
      </c>
      <c r="M354" s="108" t="s">
        <v>79</v>
      </c>
      <c r="N354" s="10">
        <v>611</v>
      </c>
      <c r="O354" s="10">
        <v>4</v>
      </c>
      <c r="P354" s="10">
        <v>0</v>
      </c>
    </row>
    <row r="355" spans="4:16" x14ac:dyDescent="0.25">
      <c r="D355" s="109">
        <v>351</v>
      </c>
      <c r="E355" s="10">
        <v>612</v>
      </c>
      <c r="F355" s="10">
        <v>4</v>
      </c>
      <c r="G355" s="10">
        <v>0</v>
      </c>
      <c r="H355" s="5" t="str">
        <f t="shared" si="22"/>
        <v>det_612</v>
      </c>
      <c r="I355" s="5" t="str">
        <f t="shared" si="20"/>
        <v>W:\Performance Measurement\1. Freeway\1. raw data\2016\data files\det_612.txt</v>
      </c>
      <c r="J355" s="5" t="str">
        <f t="shared" si="21"/>
        <v>W:\Performance Measurement\1. Freeway\1. raw data\2016\data files\det_612.xlsx</v>
      </c>
      <c r="M355" s="108" t="s">
        <v>79</v>
      </c>
      <c r="N355" s="10">
        <v>612</v>
      </c>
      <c r="O355" s="10">
        <v>4</v>
      </c>
      <c r="P355" s="10">
        <v>0</v>
      </c>
    </row>
    <row r="356" spans="4:16" x14ac:dyDescent="0.25">
      <c r="D356" s="109">
        <v>352</v>
      </c>
      <c r="E356" s="10">
        <v>613</v>
      </c>
      <c r="F356" s="10">
        <v>4</v>
      </c>
      <c r="G356" s="10">
        <v>0</v>
      </c>
      <c r="H356" s="5" t="str">
        <f t="shared" ref="H356:H363" si="23">"det_"&amp;E356&amp;""</f>
        <v>det_613</v>
      </c>
      <c r="I356" s="5" t="str">
        <f t="shared" si="20"/>
        <v>W:\Performance Measurement\1. Freeway\1. raw data\2016\data files\det_613.txt</v>
      </c>
      <c r="J356" s="5" t="str">
        <f t="shared" si="21"/>
        <v>W:\Performance Measurement\1. Freeway\1. raw data\2016\data files\det_613.xlsx</v>
      </c>
      <c r="M356" s="108" t="s">
        <v>79</v>
      </c>
      <c r="N356" s="10">
        <v>613</v>
      </c>
      <c r="O356" s="10">
        <v>4</v>
      </c>
      <c r="P356" s="10">
        <v>0</v>
      </c>
    </row>
    <row r="357" spans="4:16" x14ac:dyDescent="0.25">
      <c r="D357" s="109">
        <v>353</v>
      </c>
      <c r="E357" s="10">
        <v>614</v>
      </c>
      <c r="F357" s="10">
        <v>4</v>
      </c>
      <c r="G357" s="10">
        <v>0</v>
      </c>
      <c r="H357" s="5" t="str">
        <f t="shared" si="23"/>
        <v>det_614</v>
      </c>
      <c r="I357" s="5" t="str">
        <f t="shared" si="20"/>
        <v>W:\Performance Measurement\1. Freeway\1. raw data\2016\data files\det_614.txt</v>
      </c>
      <c r="J357" s="5" t="str">
        <f t="shared" si="21"/>
        <v>W:\Performance Measurement\1. Freeway\1. raw data\2016\data files\det_614.xlsx</v>
      </c>
      <c r="M357" s="108" t="s">
        <v>79</v>
      </c>
      <c r="N357" s="10">
        <v>614</v>
      </c>
      <c r="O357" s="10">
        <v>4</v>
      </c>
      <c r="P357" s="10">
        <v>0</v>
      </c>
    </row>
    <row r="358" spans="4:16" x14ac:dyDescent="0.25">
      <c r="D358" s="109">
        <v>354</v>
      </c>
      <c r="E358" s="10">
        <v>615</v>
      </c>
      <c r="F358" s="10">
        <v>4</v>
      </c>
      <c r="G358" s="10">
        <v>0</v>
      </c>
      <c r="H358" s="5" t="str">
        <f t="shared" si="23"/>
        <v>det_615</v>
      </c>
      <c r="I358" s="5" t="str">
        <f t="shared" si="20"/>
        <v>W:\Performance Measurement\1. Freeway\1. raw data\2016\data files\det_615.txt</v>
      </c>
      <c r="J358" s="5" t="str">
        <f t="shared" si="21"/>
        <v>W:\Performance Measurement\1. Freeway\1. raw data\2016\data files\det_615.xlsx</v>
      </c>
      <c r="M358" s="108" t="s">
        <v>79</v>
      </c>
      <c r="N358" s="10">
        <v>615</v>
      </c>
      <c r="O358" s="10">
        <v>4</v>
      </c>
      <c r="P358" s="10">
        <v>0</v>
      </c>
    </row>
    <row r="359" spans="4:16" x14ac:dyDescent="0.25">
      <c r="D359" s="109">
        <v>355</v>
      </c>
      <c r="E359" s="10">
        <v>616</v>
      </c>
      <c r="F359" s="10">
        <v>4</v>
      </c>
      <c r="G359" s="10">
        <v>0</v>
      </c>
      <c r="H359" s="5" t="str">
        <f t="shared" si="23"/>
        <v>det_616</v>
      </c>
      <c r="I359" s="5" t="str">
        <f t="shared" si="20"/>
        <v>W:\Performance Measurement\1. Freeway\1. raw data\2016\data files\det_616.txt</v>
      </c>
      <c r="J359" s="5" t="str">
        <f t="shared" si="21"/>
        <v>W:\Performance Measurement\1. Freeway\1. raw data\2016\data files\det_616.xlsx</v>
      </c>
      <c r="M359" s="108" t="s">
        <v>79</v>
      </c>
      <c r="N359" s="10">
        <v>616</v>
      </c>
      <c r="O359" s="10">
        <v>4</v>
      </c>
      <c r="P359" s="10">
        <v>0</v>
      </c>
    </row>
    <row r="360" spans="4:16" x14ac:dyDescent="0.25">
      <c r="D360" s="109">
        <v>356</v>
      </c>
      <c r="E360" s="10">
        <v>617</v>
      </c>
      <c r="F360" s="10">
        <v>4</v>
      </c>
      <c r="G360" s="10">
        <v>0</v>
      </c>
      <c r="H360" s="5" t="str">
        <f t="shared" si="23"/>
        <v>det_617</v>
      </c>
      <c r="I360" s="5" t="str">
        <f t="shared" si="20"/>
        <v>W:\Performance Measurement\1. Freeway\1. raw data\2016\data files\det_617.txt</v>
      </c>
      <c r="J360" s="5" t="str">
        <f t="shared" si="21"/>
        <v>W:\Performance Measurement\1. Freeway\1. raw data\2016\data files\det_617.xlsx</v>
      </c>
      <c r="M360" s="108" t="s">
        <v>79</v>
      </c>
      <c r="N360" s="10">
        <v>617</v>
      </c>
      <c r="O360" s="10">
        <v>4</v>
      </c>
      <c r="P360" s="10">
        <v>0</v>
      </c>
    </row>
    <row r="361" spans="4:16" x14ac:dyDescent="0.25">
      <c r="D361" s="109">
        <v>357</v>
      </c>
      <c r="E361" s="10">
        <v>618</v>
      </c>
      <c r="F361" s="10">
        <v>4</v>
      </c>
      <c r="G361" s="10">
        <v>0</v>
      </c>
      <c r="H361" s="5" t="str">
        <f t="shared" si="23"/>
        <v>det_618</v>
      </c>
      <c r="I361" s="5" t="str">
        <f t="shared" si="20"/>
        <v>W:\Performance Measurement\1. Freeway\1. raw data\2016\data files\det_618.txt</v>
      </c>
      <c r="J361" s="5" t="str">
        <f t="shared" si="21"/>
        <v>W:\Performance Measurement\1. Freeway\1. raw data\2016\data files\det_618.xlsx</v>
      </c>
      <c r="M361" s="108" t="s">
        <v>79</v>
      </c>
      <c r="N361" s="10">
        <v>618</v>
      </c>
      <c r="O361" s="10">
        <v>4</v>
      </c>
      <c r="P361" s="10">
        <v>0</v>
      </c>
    </row>
    <row r="362" spans="4:16" x14ac:dyDescent="0.25">
      <c r="D362" s="109">
        <v>358</v>
      </c>
      <c r="E362" s="10">
        <v>619</v>
      </c>
      <c r="F362" s="10">
        <v>4</v>
      </c>
      <c r="G362" s="10">
        <v>0</v>
      </c>
      <c r="H362" s="5" t="str">
        <f t="shared" si="23"/>
        <v>det_619</v>
      </c>
      <c r="I362" s="5" t="str">
        <f t="shared" si="20"/>
        <v>W:\Performance Measurement\1. Freeway\1. raw data\2016\data files\det_619.txt</v>
      </c>
      <c r="J362" s="5" t="str">
        <f t="shared" si="21"/>
        <v>W:\Performance Measurement\1. Freeway\1. raw data\2016\data files\det_619.xlsx</v>
      </c>
      <c r="M362" s="108" t="s">
        <v>79</v>
      </c>
      <c r="N362" s="10">
        <v>619</v>
      </c>
      <c r="O362" s="10">
        <v>4</v>
      </c>
      <c r="P362" s="10">
        <v>0</v>
      </c>
    </row>
    <row r="363" spans="4:16" x14ac:dyDescent="0.25">
      <c r="D363" s="109">
        <v>359</v>
      </c>
      <c r="E363" s="10">
        <v>620</v>
      </c>
      <c r="F363" s="10">
        <v>4</v>
      </c>
      <c r="G363" s="10">
        <v>0</v>
      </c>
      <c r="H363" s="5" t="str">
        <f t="shared" si="23"/>
        <v>det_620</v>
      </c>
      <c r="I363" s="5" t="str">
        <f t="shared" si="20"/>
        <v>W:\Performance Measurement\1. Freeway\1. raw data\2016\data files\det_620.txt</v>
      </c>
      <c r="J363" s="5" t="str">
        <f t="shared" si="21"/>
        <v>W:\Performance Measurement\1. Freeway\1. raw data\2016\data files\det_620.xlsx</v>
      </c>
      <c r="M363" s="108" t="s">
        <v>79</v>
      </c>
      <c r="N363" s="10">
        <v>620</v>
      </c>
      <c r="O363" s="10">
        <v>4</v>
      </c>
      <c r="P363" s="10">
        <v>0</v>
      </c>
    </row>
    <row r="364" spans="4:16" x14ac:dyDescent="0.25">
      <c r="D364" s="109">
        <v>360</v>
      </c>
      <c r="N364" s="10"/>
      <c r="O364" s="10"/>
      <c r="P364" s="10"/>
    </row>
    <row r="365" spans="4:16" x14ac:dyDescent="0.25">
      <c r="N365" s="10"/>
      <c r="O365" s="10"/>
      <c r="P365" s="10"/>
    </row>
    <row r="366" spans="4:16" x14ac:dyDescent="0.25">
      <c r="N366" s="10"/>
      <c r="O366" s="10"/>
      <c r="P366" s="10"/>
    </row>
    <row r="367" spans="4:16" x14ac:dyDescent="0.25">
      <c r="N367" s="10"/>
      <c r="O367" s="10"/>
      <c r="P367" s="10"/>
    </row>
    <row r="368" spans="4:16" x14ac:dyDescent="0.25">
      <c r="N368" s="10"/>
      <c r="O368" s="10"/>
      <c r="P368" s="10"/>
    </row>
    <row r="369" spans="14:16" x14ac:dyDescent="0.25">
      <c r="N369" s="10"/>
      <c r="O369" s="10"/>
      <c r="P369" s="10"/>
    </row>
    <row r="370" spans="14:16" x14ac:dyDescent="0.25">
      <c r="N370" s="10"/>
      <c r="O370" s="10"/>
      <c r="P370" s="10"/>
    </row>
    <row r="371" spans="14:16" x14ac:dyDescent="0.25">
      <c r="N371" s="10"/>
      <c r="O371" s="10"/>
      <c r="P371" s="10"/>
    </row>
    <row r="372" spans="14:16" x14ac:dyDescent="0.25">
      <c r="N372" s="10"/>
      <c r="O372" s="10"/>
      <c r="P372" s="10"/>
    </row>
    <row r="373" spans="14:16" x14ac:dyDescent="0.25">
      <c r="N373" s="10"/>
      <c r="O373" s="10"/>
      <c r="P373" s="10"/>
    </row>
    <row r="374" spans="14:16" x14ac:dyDescent="0.25">
      <c r="N374" s="10"/>
      <c r="O374" s="10"/>
      <c r="P374" s="10"/>
    </row>
    <row r="375" spans="14:16" x14ac:dyDescent="0.25">
      <c r="N375" s="10"/>
      <c r="O375" s="10"/>
      <c r="P375" s="10"/>
    </row>
    <row r="376" spans="14:16" x14ac:dyDescent="0.25">
      <c r="N376" s="10"/>
      <c r="O376" s="10"/>
      <c r="P376" s="10"/>
    </row>
    <row r="377" spans="14:16" x14ac:dyDescent="0.25">
      <c r="N377" s="10"/>
      <c r="O377" s="10"/>
      <c r="P377" s="10"/>
    </row>
    <row r="378" spans="14:16" x14ac:dyDescent="0.25">
      <c r="N378" s="10"/>
      <c r="O378" s="10"/>
      <c r="P378" s="10"/>
    </row>
    <row r="379" spans="14:16" x14ac:dyDescent="0.25">
      <c r="N379" s="10"/>
      <c r="O379" s="10"/>
      <c r="P379" s="10"/>
    </row>
    <row r="380" spans="14:16" x14ac:dyDescent="0.25">
      <c r="N380" s="10"/>
      <c r="O380" s="10"/>
      <c r="P380" s="10"/>
    </row>
    <row r="381" spans="14:16" x14ac:dyDescent="0.25">
      <c r="N381" s="10"/>
      <c r="O381" s="10"/>
      <c r="P381" s="10"/>
    </row>
    <row r="382" spans="14:16" x14ac:dyDescent="0.25">
      <c r="N382" s="10"/>
      <c r="O382" s="10"/>
      <c r="P382" s="10"/>
    </row>
    <row r="383" spans="14:16" x14ac:dyDescent="0.25">
      <c r="N383" s="10"/>
      <c r="O383" s="10"/>
      <c r="P383" s="10"/>
    </row>
    <row r="384" spans="14:16" x14ac:dyDescent="0.25">
      <c r="N384" s="10"/>
      <c r="O384" s="10"/>
      <c r="P384" s="10"/>
    </row>
    <row r="385" spans="14:16" x14ac:dyDescent="0.25">
      <c r="N385" s="10"/>
      <c r="O385" s="10"/>
      <c r="P385" s="10"/>
    </row>
    <row r="386" spans="14:16" x14ac:dyDescent="0.25">
      <c r="N386" s="10"/>
      <c r="O386" s="10"/>
      <c r="P386" s="10"/>
    </row>
    <row r="387" spans="14:16" x14ac:dyDescent="0.25">
      <c r="N387" s="10"/>
      <c r="O387" s="10"/>
      <c r="P387" s="10"/>
    </row>
    <row r="388" spans="14:16" x14ac:dyDescent="0.25">
      <c r="N388" s="10"/>
      <c r="O388" s="10"/>
      <c r="P388" s="10"/>
    </row>
    <row r="389" spans="14:16" x14ac:dyDescent="0.25">
      <c r="N389" s="10"/>
      <c r="O389" s="10"/>
      <c r="P389" s="10"/>
    </row>
    <row r="390" spans="14:16" x14ac:dyDescent="0.25">
      <c r="N390" s="10"/>
      <c r="O390" s="10"/>
      <c r="P390" s="10"/>
    </row>
    <row r="391" spans="14:16" x14ac:dyDescent="0.25">
      <c r="N391" s="10"/>
      <c r="O391" s="10"/>
      <c r="P391" s="10"/>
    </row>
    <row r="392" spans="14:16" x14ac:dyDescent="0.25">
      <c r="N392" s="10"/>
      <c r="O392" s="10"/>
      <c r="P392" s="10"/>
    </row>
    <row r="393" spans="14:16" x14ac:dyDescent="0.25">
      <c r="N393" s="10"/>
      <c r="O393" s="10"/>
      <c r="P393" s="10"/>
    </row>
    <row r="394" spans="14:16" x14ac:dyDescent="0.25">
      <c r="N394" s="10"/>
      <c r="O394" s="10"/>
      <c r="P394" s="10"/>
    </row>
    <row r="395" spans="14:16" x14ac:dyDescent="0.25">
      <c r="N395" s="10"/>
      <c r="O395" s="10"/>
      <c r="P395" s="10"/>
    </row>
    <row r="396" spans="14:16" x14ac:dyDescent="0.25">
      <c r="N396" s="10"/>
      <c r="O396" s="10"/>
      <c r="P396" s="10"/>
    </row>
    <row r="397" spans="14:16" x14ac:dyDescent="0.25">
      <c r="N397" s="10"/>
      <c r="O397" s="10"/>
      <c r="P397" s="10"/>
    </row>
    <row r="398" spans="14:16" x14ac:dyDescent="0.25">
      <c r="N398" s="10"/>
      <c r="O398" s="10"/>
      <c r="P398" s="10"/>
    </row>
    <row r="399" spans="14:16" x14ac:dyDescent="0.25">
      <c r="N399" s="10"/>
      <c r="O399" s="10"/>
      <c r="P399" s="10"/>
    </row>
    <row r="400" spans="14:16" x14ac:dyDescent="0.25">
      <c r="N400" s="10"/>
      <c r="O400" s="10"/>
      <c r="P400" s="10"/>
    </row>
    <row r="401" spans="14:16" x14ac:dyDescent="0.25">
      <c r="N401" s="10"/>
      <c r="O401" s="10"/>
      <c r="P401" s="10"/>
    </row>
    <row r="402" spans="14:16" x14ac:dyDescent="0.25">
      <c r="N402" s="10"/>
      <c r="O402" s="10"/>
      <c r="P402" s="10"/>
    </row>
    <row r="403" spans="14:16" x14ac:dyDescent="0.25">
      <c r="N403" s="10"/>
      <c r="O403" s="10"/>
      <c r="P403" s="10"/>
    </row>
    <row r="404" spans="14:16" x14ac:dyDescent="0.25">
      <c r="N404" s="10"/>
      <c r="O404" s="10"/>
      <c r="P404" s="10"/>
    </row>
    <row r="405" spans="14:16" x14ac:dyDescent="0.25">
      <c r="N405" s="10"/>
      <c r="O405" s="10"/>
      <c r="P405" s="10"/>
    </row>
    <row r="406" spans="14:16" x14ac:dyDescent="0.25">
      <c r="N406" s="10"/>
      <c r="O406" s="10"/>
      <c r="P406" s="10"/>
    </row>
    <row r="407" spans="14:16" x14ac:dyDescent="0.25">
      <c r="N407" s="10"/>
      <c r="O407" s="10"/>
      <c r="P407" s="10"/>
    </row>
    <row r="408" spans="14:16" x14ac:dyDescent="0.25">
      <c r="N408" s="10"/>
      <c r="O408" s="10"/>
      <c r="P408" s="10"/>
    </row>
    <row r="409" spans="14:16" x14ac:dyDescent="0.25">
      <c r="N409" s="10"/>
      <c r="O409" s="10"/>
      <c r="P409" s="10"/>
    </row>
    <row r="410" spans="14:16" x14ac:dyDescent="0.25">
      <c r="N410" s="10"/>
      <c r="O410" s="10"/>
      <c r="P410" s="10"/>
    </row>
    <row r="411" spans="14:16" x14ac:dyDescent="0.25">
      <c r="N411" s="10"/>
      <c r="O411" s="10"/>
      <c r="P411" s="10"/>
    </row>
    <row r="412" spans="14:16" x14ac:dyDescent="0.25">
      <c r="N412" s="10"/>
      <c r="O412" s="10"/>
      <c r="P412" s="10"/>
    </row>
    <row r="413" spans="14:16" x14ac:dyDescent="0.25">
      <c r="N413" s="10"/>
      <c r="O413" s="10"/>
      <c r="P413" s="10"/>
    </row>
    <row r="414" spans="14:16" x14ac:dyDescent="0.25">
      <c r="N414" s="10"/>
      <c r="O414" s="10"/>
      <c r="P414" s="10"/>
    </row>
    <row r="415" spans="14:16" x14ac:dyDescent="0.25">
      <c r="N415" s="10"/>
      <c r="O415" s="10"/>
      <c r="P415" s="10"/>
    </row>
    <row r="416" spans="14:16" x14ac:dyDescent="0.25">
      <c r="N416" s="10"/>
      <c r="O416" s="10"/>
      <c r="P416" s="10"/>
    </row>
    <row r="417" spans="14:16" x14ac:dyDescent="0.25">
      <c r="N417" s="10"/>
      <c r="O417" s="10"/>
      <c r="P417" s="10"/>
    </row>
    <row r="418" spans="14:16" x14ac:dyDescent="0.25">
      <c r="N418" s="10"/>
      <c r="O418" s="10"/>
      <c r="P418" s="10"/>
    </row>
    <row r="419" spans="14:16" x14ac:dyDescent="0.25">
      <c r="N419" s="10"/>
      <c r="O419" s="10"/>
      <c r="P419" s="10"/>
    </row>
    <row r="420" spans="14:16" x14ac:dyDescent="0.25">
      <c r="N420" s="10"/>
      <c r="O420" s="10"/>
      <c r="P420" s="10"/>
    </row>
    <row r="421" spans="14:16" x14ac:dyDescent="0.25">
      <c r="N421" s="10"/>
      <c r="O421" s="10"/>
      <c r="P421" s="10"/>
    </row>
    <row r="422" spans="14:16" x14ac:dyDescent="0.25">
      <c r="N422" s="10"/>
      <c r="O422" s="10"/>
      <c r="P422" s="10"/>
    </row>
    <row r="423" spans="14:16" x14ac:dyDescent="0.25">
      <c r="N423" s="10"/>
      <c r="O423" s="10"/>
      <c r="P423" s="10"/>
    </row>
    <row r="424" spans="14:16" x14ac:dyDescent="0.25">
      <c r="N424" s="10"/>
      <c r="O424" s="10"/>
      <c r="P424" s="10"/>
    </row>
    <row r="425" spans="14:16" x14ac:dyDescent="0.25">
      <c r="N425" s="10"/>
      <c r="O425" s="10"/>
      <c r="P425" s="10"/>
    </row>
    <row r="426" spans="14:16" x14ac:dyDescent="0.25">
      <c r="N426" s="10"/>
      <c r="O426" s="10"/>
      <c r="P426" s="10"/>
    </row>
    <row r="427" spans="14:16" x14ac:dyDescent="0.25">
      <c r="N427" s="10"/>
      <c r="O427" s="10"/>
      <c r="P427" s="10"/>
    </row>
    <row r="428" spans="14:16" x14ac:dyDescent="0.25">
      <c r="N428" s="10"/>
      <c r="O428" s="10"/>
      <c r="P428" s="10"/>
    </row>
    <row r="429" spans="14:16" x14ac:dyDescent="0.25">
      <c r="N429" s="10"/>
      <c r="O429" s="10"/>
      <c r="P429" s="10"/>
    </row>
    <row r="430" spans="14:16" x14ac:dyDescent="0.25">
      <c r="N430" s="10"/>
      <c r="O430" s="10"/>
      <c r="P430" s="10"/>
    </row>
    <row r="431" spans="14:16" x14ac:dyDescent="0.25">
      <c r="N431" s="10"/>
      <c r="O431" s="10"/>
      <c r="P431" s="10"/>
    </row>
    <row r="432" spans="14:16" x14ac:dyDescent="0.25">
      <c r="N432" s="10"/>
      <c r="O432" s="10"/>
      <c r="P432" s="10"/>
    </row>
    <row r="433" spans="14:16" x14ac:dyDescent="0.25">
      <c r="N433" s="10"/>
      <c r="O433" s="10"/>
      <c r="P433" s="10"/>
    </row>
    <row r="434" spans="14:16" x14ac:dyDescent="0.25">
      <c r="N434" s="10"/>
      <c r="O434" s="10"/>
      <c r="P434" s="10"/>
    </row>
    <row r="435" spans="14:16" x14ac:dyDescent="0.25">
      <c r="N435" s="10"/>
      <c r="O435" s="10"/>
      <c r="P435" s="10"/>
    </row>
    <row r="436" spans="14:16" x14ac:dyDescent="0.25">
      <c r="N436" s="10"/>
      <c r="O436" s="10"/>
      <c r="P436" s="10"/>
    </row>
    <row r="437" spans="14:16" x14ac:dyDescent="0.25">
      <c r="N437" s="10"/>
      <c r="O437" s="10"/>
      <c r="P437" s="10"/>
    </row>
    <row r="438" spans="14:16" x14ac:dyDescent="0.25">
      <c r="N438" s="10"/>
      <c r="O438" s="10"/>
      <c r="P438" s="10"/>
    </row>
    <row r="439" spans="14:16" x14ac:dyDescent="0.25">
      <c r="N439" s="10"/>
      <c r="O439" s="10"/>
      <c r="P439" s="10"/>
    </row>
    <row r="440" spans="14:16" x14ac:dyDescent="0.25">
      <c r="N440" s="10"/>
      <c r="O440" s="10"/>
      <c r="P440" s="10"/>
    </row>
    <row r="441" spans="14:16" x14ac:dyDescent="0.25">
      <c r="N441" s="10"/>
      <c r="O441" s="10"/>
      <c r="P441" s="10"/>
    </row>
    <row r="442" spans="14:16" x14ac:dyDescent="0.25">
      <c r="N442" s="10"/>
      <c r="O442" s="10"/>
      <c r="P442" s="10"/>
    </row>
    <row r="443" spans="14:16" x14ac:dyDescent="0.25">
      <c r="N443" s="10"/>
      <c r="O443" s="10"/>
      <c r="P443" s="10"/>
    </row>
    <row r="444" spans="14:16" x14ac:dyDescent="0.25">
      <c r="N444" s="10"/>
      <c r="O444" s="10"/>
      <c r="P444" s="10"/>
    </row>
    <row r="445" spans="14:16" x14ac:dyDescent="0.25">
      <c r="N445" s="10"/>
      <c r="O445" s="10"/>
      <c r="P445" s="10"/>
    </row>
    <row r="446" spans="14:16" x14ac:dyDescent="0.25">
      <c r="N446" s="10"/>
      <c r="O446" s="10"/>
      <c r="P446" s="10"/>
    </row>
    <row r="447" spans="14:16" x14ac:dyDescent="0.25">
      <c r="N447" s="10"/>
      <c r="O447" s="10"/>
      <c r="P447" s="10"/>
    </row>
    <row r="448" spans="14:16" x14ac:dyDescent="0.25">
      <c r="N448" s="10"/>
      <c r="O448" s="10"/>
      <c r="P448" s="10"/>
    </row>
    <row r="449" spans="14:16" x14ac:dyDescent="0.25">
      <c r="N449" s="10"/>
      <c r="O449" s="10"/>
      <c r="P449" s="10"/>
    </row>
    <row r="450" spans="14:16" x14ac:dyDescent="0.25">
      <c r="N450" s="10"/>
      <c r="O450" s="10"/>
      <c r="P450" s="10"/>
    </row>
    <row r="451" spans="14:16" x14ac:dyDescent="0.25">
      <c r="N451" s="10"/>
      <c r="O451" s="10"/>
      <c r="P451" s="10"/>
    </row>
    <row r="452" spans="14:16" x14ac:dyDescent="0.25">
      <c r="N452" s="10"/>
      <c r="O452" s="10"/>
      <c r="P452" s="10"/>
    </row>
    <row r="453" spans="14:16" x14ac:dyDescent="0.25">
      <c r="N453" s="10"/>
      <c r="O453" s="10"/>
      <c r="P453" s="10"/>
    </row>
    <row r="454" spans="14:16" x14ac:dyDescent="0.25">
      <c r="N454" s="10"/>
      <c r="O454" s="10"/>
      <c r="P454" s="10"/>
    </row>
    <row r="455" spans="14:16" x14ac:dyDescent="0.25">
      <c r="N455" s="10"/>
      <c r="O455" s="10"/>
      <c r="P455" s="10"/>
    </row>
    <row r="456" spans="14:16" x14ac:dyDescent="0.25">
      <c r="N456" s="10"/>
      <c r="O456" s="10"/>
      <c r="P456" s="10"/>
    </row>
    <row r="457" spans="14:16" x14ac:dyDescent="0.25">
      <c r="N457" s="10"/>
      <c r="O457" s="10"/>
      <c r="P457" s="10"/>
    </row>
    <row r="458" spans="14:16" x14ac:dyDescent="0.25">
      <c r="N458" s="10"/>
      <c r="O458" s="10"/>
      <c r="P458" s="10"/>
    </row>
    <row r="459" spans="14:16" x14ac:dyDescent="0.25">
      <c r="N459" s="10"/>
      <c r="O459" s="10"/>
      <c r="P459" s="10"/>
    </row>
    <row r="460" spans="14:16" x14ac:dyDescent="0.25">
      <c r="N460" s="10"/>
      <c r="O460" s="10"/>
      <c r="P460" s="10"/>
    </row>
    <row r="461" spans="14:16" x14ac:dyDescent="0.25">
      <c r="N461" s="10"/>
      <c r="O461" s="10"/>
      <c r="P461" s="10"/>
    </row>
    <row r="462" spans="14:16" x14ac:dyDescent="0.25">
      <c r="N462" s="10"/>
      <c r="O462" s="10"/>
      <c r="P462" s="10"/>
    </row>
    <row r="463" spans="14:16" x14ac:dyDescent="0.25">
      <c r="N463" s="10"/>
      <c r="O463" s="10"/>
      <c r="P463" s="10"/>
    </row>
    <row r="464" spans="14:16" x14ac:dyDescent="0.25">
      <c r="N464" s="10"/>
      <c r="O464" s="10"/>
      <c r="P464" s="10"/>
    </row>
    <row r="465" spans="14:16" x14ac:dyDescent="0.25">
      <c r="N465" s="10"/>
      <c r="O465" s="10"/>
      <c r="P465" s="10"/>
    </row>
    <row r="466" spans="14:16" x14ac:dyDescent="0.25">
      <c r="N466" s="10"/>
      <c r="O466" s="10"/>
      <c r="P466" s="10"/>
    </row>
    <row r="467" spans="14:16" x14ac:dyDescent="0.25">
      <c r="N467" s="10"/>
      <c r="O467" s="10"/>
      <c r="P467" s="10"/>
    </row>
    <row r="468" spans="14:16" x14ac:dyDescent="0.25">
      <c r="N468" s="10"/>
      <c r="O468" s="10"/>
      <c r="P468" s="10"/>
    </row>
    <row r="469" spans="14:16" x14ac:dyDescent="0.25">
      <c r="N469" s="10"/>
      <c r="O469" s="10"/>
      <c r="P469" s="10"/>
    </row>
    <row r="470" spans="14:16" x14ac:dyDescent="0.25">
      <c r="N470" s="10"/>
      <c r="O470" s="10"/>
      <c r="P470" s="10"/>
    </row>
    <row r="471" spans="14:16" x14ac:dyDescent="0.25">
      <c r="N471" s="10"/>
      <c r="O471" s="10"/>
      <c r="P471" s="10"/>
    </row>
    <row r="472" spans="14:16" x14ac:dyDescent="0.25">
      <c r="N472" s="10"/>
      <c r="O472" s="10"/>
      <c r="P472" s="10"/>
    </row>
    <row r="473" spans="14:16" x14ac:dyDescent="0.25">
      <c r="N473" s="10"/>
      <c r="O473" s="10"/>
      <c r="P473" s="10"/>
    </row>
    <row r="474" spans="14:16" x14ac:dyDescent="0.25">
      <c r="N474" s="10"/>
      <c r="O474" s="10"/>
      <c r="P474" s="10"/>
    </row>
    <row r="475" spans="14:16" x14ac:dyDescent="0.25">
      <c r="N475" s="10"/>
      <c r="O475" s="10"/>
      <c r="P475" s="10"/>
    </row>
    <row r="476" spans="14:16" x14ac:dyDescent="0.25">
      <c r="N476" s="10"/>
      <c r="O476" s="10"/>
      <c r="P476" s="10"/>
    </row>
    <row r="477" spans="14:16" x14ac:dyDescent="0.25">
      <c r="N477" s="10"/>
      <c r="O477" s="10"/>
      <c r="P477" s="10"/>
    </row>
    <row r="478" spans="14:16" x14ac:dyDescent="0.25">
      <c r="N478" s="10"/>
      <c r="O478" s="10"/>
      <c r="P478" s="10"/>
    </row>
    <row r="479" spans="14:16" x14ac:dyDescent="0.25">
      <c r="N479" s="10"/>
      <c r="O479" s="10"/>
      <c r="P479" s="10"/>
    </row>
    <row r="480" spans="14:16" x14ac:dyDescent="0.25">
      <c r="N480" s="10"/>
      <c r="O480" s="10"/>
      <c r="P480" s="10"/>
    </row>
    <row r="481" spans="14:16" x14ac:dyDescent="0.25">
      <c r="N481" s="10"/>
      <c r="O481" s="10"/>
      <c r="P481" s="10"/>
    </row>
    <row r="482" spans="14:16" x14ac:dyDescent="0.25">
      <c r="N482" s="10"/>
      <c r="O482" s="10"/>
      <c r="P482" s="10"/>
    </row>
    <row r="483" spans="14:16" x14ac:dyDescent="0.25">
      <c r="N483" s="10"/>
      <c r="O483" s="10"/>
      <c r="P483" s="10"/>
    </row>
    <row r="484" spans="14:16" x14ac:dyDescent="0.25">
      <c r="N484" s="10"/>
      <c r="O484" s="10"/>
      <c r="P484" s="10"/>
    </row>
    <row r="485" spans="14:16" x14ac:dyDescent="0.25">
      <c r="N485" s="10"/>
      <c r="O485" s="10"/>
      <c r="P485" s="10"/>
    </row>
    <row r="486" spans="14:16" x14ac:dyDescent="0.25">
      <c r="N486" s="10"/>
      <c r="O486" s="10"/>
      <c r="P486" s="10"/>
    </row>
    <row r="487" spans="14:16" x14ac:dyDescent="0.25">
      <c r="N487" s="10"/>
      <c r="O487" s="10"/>
      <c r="P487" s="10"/>
    </row>
    <row r="488" spans="14:16" x14ac:dyDescent="0.25">
      <c r="N488" s="10"/>
      <c r="O488" s="10"/>
      <c r="P488" s="10"/>
    </row>
    <row r="489" spans="14:16" x14ac:dyDescent="0.25">
      <c r="N489" s="10"/>
      <c r="O489" s="10"/>
      <c r="P489" s="10"/>
    </row>
    <row r="490" spans="14:16" x14ac:dyDescent="0.25">
      <c r="N490" s="10"/>
      <c r="O490" s="10"/>
      <c r="P490" s="10"/>
    </row>
    <row r="491" spans="14:16" x14ac:dyDescent="0.25">
      <c r="N491" s="10"/>
      <c r="O491" s="10"/>
      <c r="P491" s="10"/>
    </row>
    <row r="492" spans="14:16" x14ac:dyDescent="0.25">
      <c r="N492" s="10"/>
      <c r="O492" s="10"/>
      <c r="P492" s="10"/>
    </row>
    <row r="493" spans="14:16" x14ac:dyDescent="0.25">
      <c r="N493" s="10"/>
      <c r="O493" s="10"/>
      <c r="P493" s="10"/>
    </row>
    <row r="494" spans="14:16" x14ac:dyDescent="0.25">
      <c r="N494" s="10"/>
      <c r="O494" s="10"/>
      <c r="P494" s="10"/>
    </row>
    <row r="495" spans="14:16" x14ac:dyDescent="0.25">
      <c r="N495" s="10"/>
      <c r="O495" s="10"/>
      <c r="P495" s="10"/>
    </row>
    <row r="496" spans="14:16" x14ac:dyDescent="0.25">
      <c r="N496" s="10"/>
      <c r="O496" s="10"/>
      <c r="P496" s="10"/>
    </row>
    <row r="497" spans="14:16" x14ac:dyDescent="0.25">
      <c r="N497" s="10"/>
      <c r="O497" s="10"/>
      <c r="P497" s="10"/>
    </row>
    <row r="498" spans="14:16" x14ac:dyDescent="0.25">
      <c r="N498" s="10"/>
      <c r="O498" s="10"/>
      <c r="P498" s="10"/>
    </row>
    <row r="499" spans="14:16" x14ac:dyDescent="0.25">
      <c r="N499" s="10"/>
      <c r="O499" s="10"/>
      <c r="P499" s="10"/>
    </row>
    <row r="500" spans="14:16" x14ac:dyDescent="0.25">
      <c r="N500" s="10"/>
      <c r="O500" s="10"/>
      <c r="P500" s="10"/>
    </row>
    <row r="501" spans="14:16" x14ac:dyDescent="0.25">
      <c r="N501" s="10"/>
      <c r="O501" s="10"/>
      <c r="P501" s="10"/>
    </row>
    <row r="502" spans="14:16" x14ac:dyDescent="0.25">
      <c r="N502" s="10"/>
      <c r="O502" s="10"/>
      <c r="P502" s="10"/>
    </row>
    <row r="503" spans="14:16" x14ac:dyDescent="0.25">
      <c r="N503" s="10"/>
      <c r="O503" s="10"/>
      <c r="P503" s="10"/>
    </row>
    <row r="504" spans="14:16" x14ac:dyDescent="0.25">
      <c r="N504" s="10"/>
      <c r="O504" s="10"/>
      <c r="P504" s="10"/>
    </row>
    <row r="505" spans="14:16" x14ac:dyDescent="0.25">
      <c r="N505" s="10"/>
      <c r="O505" s="10"/>
      <c r="P505" s="10"/>
    </row>
    <row r="506" spans="14:16" x14ac:dyDescent="0.25">
      <c r="N506" s="10"/>
      <c r="O506" s="10"/>
      <c r="P506" s="10"/>
    </row>
    <row r="507" spans="14:16" x14ac:dyDescent="0.25">
      <c r="N507" s="10"/>
      <c r="O507" s="10"/>
      <c r="P507" s="10"/>
    </row>
    <row r="508" spans="14:16" x14ac:dyDescent="0.25">
      <c r="N508" s="10"/>
      <c r="O508" s="10"/>
      <c r="P508" s="10"/>
    </row>
    <row r="509" spans="14:16" x14ac:dyDescent="0.25">
      <c r="N509" s="10"/>
      <c r="O509" s="10"/>
      <c r="P509"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locked="0" defaultSize="0" print="0" autoFill="0" autoPict="0" macro="[0]!Step3">
                <anchor moveWithCells="1" sizeWithCells="1">
                  <from>
                    <xdr:col>1</xdr:col>
                    <xdr:colOff>0</xdr:colOff>
                    <xdr:row>2</xdr:row>
                    <xdr:rowOff>0</xdr:rowOff>
                  </from>
                  <to>
                    <xdr:col>2</xdr:col>
                    <xdr:colOff>638175</xdr:colOff>
                    <xdr:row>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P509"/>
  <sheetViews>
    <sheetView topLeftCell="A205" zoomScaleNormal="100" workbookViewId="0">
      <pane ySplit="6975" activePane="bottomLeft"/>
      <selection activeCell="E216" sqref="E216:G216"/>
      <selection pane="bottomLeft" activeCell="E11" sqref="E11"/>
    </sheetView>
  </sheetViews>
  <sheetFormatPr defaultRowHeight="15" x14ac:dyDescent="0.25"/>
  <cols>
    <col min="1" max="1" width="4.140625" style="109" customWidth="1"/>
    <col min="2" max="2" width="10.7109375" style="109" customWidth="1"/>
    <col min="3" max="3" width="21.7109375" style="109" customWidth="1"/>
    <col min="4" max="4" width="8.7109375" style="109" customWidth="1"/>
    <col min="5" max="8" width="10.7109375" style="109" customWidth="1"/>
    <col min="9" max="9" width="76" style="109" customWidth="1"/>
    <col min="10" max="10" width="24" style="109" customWidth="1"/>
    <col min="11" max="11" width="10.5703125" style="109" customWidth="1"/>
    <col min="12" max="12" width="41" style="109" customWidth="1"/>
    <col min="13" max="16384" width="9.140625" style="109"/>
  </cols>
  <sheetData>
    <row r="1" spans="2:16" ht="18.75" x14ac:dyDescent="0.3">
      <c r="B1" s="13" t="s">
        <v>21</v>
      </c>
      <c r="C1" s="13"/>
      <c r="D1" s="13"/>
      <c r="E1" s="13"/>
      <c r="H1" s="13"/>
      <c r="I1" s="12" t="s">
        <v>20</v>
      </c>
    </row>
    <row r="2" spans="2:16" x14ac:dyDescent="0.25">
      <c r="E2" s="6"/>
      <c r="F2" s="6"/>
      <c r="G2" s="6"/>
      <c r="H2" s="6"/>
      <c r="I2" s="6"/>
      <c r="J2" s="6"/>
      <c r="K2" s="6"/>
    </row>
    <row r="3" spans="2:16" x14ac:dyDescent="0.25">
      <c r="E3" s="6"/>
      <c r="F3" s="6"/>
      <c r="G3" s="6"/>
      <c r="M3" s="109" t="s">
        <v>279</v>
      </c>
    </row>
    <row r="4" spans="2:16" x14ac:dyDescent="0.25">
      <c r="D4" s="109" t="s">
        <v>19</v>
      </c>
      <c r="E4" s="109" t="s">
        <v>18</v>
      </c>
      <c r="F4" s="109" t="s">
        <v>38</v>
      </c>
      <c r="G4" s="109" t="s">
        <v>39</v>
      </c>
      <c r="H4" s="109" t="s">
        <v>17</v>
      </c>
      <c r="I4" s="109" t="s">
        <v>16</v>
      </c>
      <c r="J4" s="109" t="s">
        <v>15</v>
      </c>
      <c r="M4" s="109" t="s">
        <v>275</v>
      </c>
      <c r="N4" s="109" t="s">
        <v>18</v>
      </c>
      <c r="O4" s="109" t="s">
        <v>38</v>
      </c>
      <c r="P4" s="109" t="s">
        <v>39</v>
      </c>
    </row>
    <row r="5" spans="2:16" x14ac:dyDescent="0.25">
      <c r="B5" s="2" t="s">
        <v>289</v>
      </c>
      <c r="C5" s="109" t="s">
        <v>14</v>
      </c>
      <c r="D5" s="109">
        <v>1</v>
      </c>
      <c r="E5" s="112">
        <v>2</v>
      </c>
      <c r="F5" s="112">
        <v>4</v>
      </c>
      <c r="G5" s="112">
        <v>0</v>
      </c>
      <c r="H5" s="5" t="str">
        <f t="shared" ref="H5:H68" si="0">"det_"&amp;E5&amp;""</f>
        <v>det_2</v>
      </c>
      <c r="I5" s="5" t="str">
        <f t="shared" ref="I5:I68" si="1">$B$5&amp;"\"&amp;H5&amp;".txt"</f>
        <v>W:\Performance Measurement\1. Freeway\1. raw data\2017\data files\det_2.txt</v>
      </c>
      <c r="J5" s="5" t="str">
        <f t="shared" ref="J5:J68" si="2">$B$5&amp;"\"&amp;H5&amp;".xlsx"</f>
        <v>W:\Performance Measurement\1. Freeway\1. raw data\2017\data files\det_2.xlsx</v>
      </c>
      <c r="K5" s="5"/>
      <c r="M5" s="117" t="s">
        <v>58</v>
      </c>
      <c r="N5" s="112">
        <v>2</v>
      </c>
      <c r="O5" s="112">
        <v>4</v>
      </c>
      <c r="P5" s="112">
        <v>0</v>
      </c>
    </row>
    <row r="6" spans="2:16" x14ac:dyDescent="0.25">
      <c r="B6" s="2" t="s">
        <v>47</v>
      </c>
      <c r="C6" s="109" t="s">
        <v>13</v>
      </c>
      <c r="D6" s="109">
        <v>2</v>
      </c>
      <c r="E6" s="10">
        <v>8</v>
      </c>
      <c r="F6" s="10">
        <v>4</v>
      </c>
      <c r="G6" s="10">
        <v>1</v>
      </c>
      <c r="H6" s="5" t="str">
        <f t="shared" si="0"/>
        <v>det_8</v>
      </c>
      <c r="I6" s="5" t="str">
        <f t="shared" si="1"/>
        <v>W:\Performance Measurement\1. Freeway\1. raw data\2017\data files\det_8.txt</v>
      </c>
      <c r="J6" s="5" t="str">
        <f t="shared" si="2"/>
        <v>W:\Performance Measurement\1. Freeway\1. raw data\2017\data files\det_8.xlsx</v>
      </c>
      <c r="K6" s="5"/>
      <c r="M6" s="117" t="s">
        <v>58</v>
      </c>
      <c r="N6" s="10">
        <v>8</v>
      </c>
      <c r="O6" s="10">
        <v>4</v>
      </c>
      <c r="P6" s="10">
        <v>1</v>
      </c>
    </row>
    <row r="7" spans="2:16" x14ac:dyDescent="0.25">
      <c r="B7" s="2" t="s">
        <v>290</v>
      </c>
      <c r="C7" s="109" t="s">
        <v>11</v>
      </c>
      <c r="D7" s="109">
        <v>3</v>
      </c>
      <c r="E7" s="10">
        <v>14</v>
      </c>
      <c r="F7" s="10">
        <v>4</v>
      </c>
      <c r="G7" s="10">
        <v>1</v>
      </c>
      <c r="H7" s="5" t="str">
        <f t="shared" si="0"/>
        <v>det_14</v>
      </c>
      <c r="I7" s="5" t="str">
        <f t="shared" si="1"/>
        <v>W:\Performance Measurement\1. Freeway\1. raw data\2017\data files\det_14.txt</v>
      </c>
      <c r="J7" s="5" t="str">
        <f t="shared" si="2"/>
        <v>W:\Performance Measurement\1. Freeway\1. raw data\2017\data files\det_14.xlsx</v>
      </c>
      <c r="K7" s="5"/>
      <c r="M7" s="117" t="s">
        <v>58</v>
      </c>
      <c r="N7" s="10">
        <v>14</v>
      </c>
      <c r="O7" s="10">
        <v>4</v>
      </c>
      <c r="P7" s="10">
        <v>1</v>
      </c>
    </row>
    <row r="8" spans="2:16" x14ac:dyDescent="0.25">
      <c r="B8" s="2" t="s">
        <v>260</v>
      </c>
      <c r="C8" s="1" t="s">
        <v>10</v>
      </c>
      <c r="D8" s="109">
        <v>4</v>
      </c>
      <c r="E8" s="10">
        <v>20</v>
      </c>
      <c r="F8" s="10">
        <v>4</v>
      </c>
      <c r="G8" s="10">
        <v>1</v>
      </c>
      <c r="H8" s="5" t="str">
        <f t="shared" si="0"/>
        <v>det_20</v>
      </c>
      <c r="I8" s="5" t="str">
        <f t="shared" si="1"/>
        <v>W:\Performance Measurement\1. Freeway\1. raw data\2017\data files\det_20.txt</v>
      </c>
      <c r="J8" s="5" t="str">
        <f t="shared" si="2"/>
        <v>W:\Performance Measurement\1. Freeway\1. raw data\2017\data files\det_20.xlsx</v>
      </c>
      <c r="K8" s="5"/>
      <c r="M8" s="117" t="s">
        <v>58</v>
      </c>
      <c r="N8" s="10">
        <v>20</v>
      </c>
      <c r="O8" s="10">
        <v>4</v>
      </c>
      <c r="P8" s="10">
        <v>1</v>
      </c>
    </row>
    <row r="9" spans="2:16" x14ac:dyDescent="0.25">
      <c r="D9" s="109">
        <v>5</v>
      </c>
      <c r="E9" s="10">
        <v>25</v>
      </c>
      <c r="F9" s="10">
        <v>4</v>
      </c>
      <c r="G9" s="10">
        <v>1</v>
      </c>
      <c r="H9" s="5" t="str">
        <f t="shared" si="0"/>
        <v>det_25</v>
      </c>
      <c r="I9" s="5" t="str">
        <f t="shared" si="1"/>
        <v>W:\Performance Measurement\1. Freeway\1. raw data\2017\data files\det_25.txt</v>
      </c>
      <c r="J9" s="5" t="str">
        <f t="shared" si="2"/>
        <v>W:\Performance Measurement\1. Freeway\1. raw data\2017\data files\det_25.xlsx</v>
      </c>
      <c r="K9" s="5"/>
      <c r="M9" s="117" t="s">
        <v>58</v>
      </c>
      <c r="N9" s="10">
        <v>25</v>
      </c>
      <c r="O9" s="10">
        <v>4</v>
      </c>
      <c r="P9" s="10">
        <v>1</v>
      </c>
    </row>
    <row r="10" spans="2:16" x14ac:dyDescent="0.25">
      <c r="B10" s="3">
        <v>2017</v>
      </c>
      <c r="C10" s="109" t="s">
        <v>9</v>
      </c>
      <c r="D10" s="109">
        <v>6</v>
      </c>
      <c r="E10" s="10">
        <v>30</v>
      </c>
      <c r="F10" s="10">
        <v>4</v>
      </c>
      <c r="G10" s="10">
        <v>1</v>
      </c>
      <c r="H10" s="5" t="str">
        <f t="shared" si="0"/>
        <v>det_30</v>
      </c>
      <c r="I10" s="5" t="str">
        <f t="shared" si="1"/>
        <v>W:\Performance Measurement\1. Freeway\1. raw data\2017\data files\det_30.txt</v>
      </c>
      <c r="J10" s="5" t="str">
        <f t="shared" si="2"/>
        <v>W:\Performance Measurement\1. Freeway\1. raw data\2017\data files\det_30.xlsx</v>
      </c>
      <c r="K10" s="5"/>
      <c r="M10" s="117" t="s">
        <v>58</v>
      </c>
      <c r="N10" s="10">
        <v>30</v>
      </c>
      <c r="O10" s="10">
        <v>4</v>
      </c>
      <c r="P10" s="10">
        <v>1</v>
      </c>
    </row>
    <row r="11" spans="2:16" x14ac:dyDescent="0.25">
      <c r="B11" s="3">
        <v>365</v>
      </c>
      <c r="C11" s="109" t="s">
        <v>0</v>
      </c>
      <c r="D11" s="109">
        <v>7</v>
      </c>
      <c r="E11" s="10">
        <v>68</v>
      </c>
      <c r="F11" s="10">
        <v>4</v>
      </c>
      <c r="G11" s="10">
        <v>1</v>
      </c>
      <c r="H11" s="5" t="str">
        <f t="shared" si="0"/>
        <v>det_68</v>
      </c>
      <c r="I11" s="5" t="str">
        <f t="shared" si="1"/>
        <v>W:\Performance Measurement\1. Freeway\1. raw data\2017\data files\det_68.txt</v>
      </c>
      <c r="J11" s="5" t="str">
        <f t="shared" si="2"/>
        <v>W:\Performance Measurement\1. Freeway\1. raw data\2017\data files\det_68.xlsx</v>
      </c>
      <c r="K11" s="5"/>
      <c r="M11" s="117" t="s">
        <v>58</v>
      </c>
      <c r="N11" s="10">
        <v>68</v>
      </c>
      <c r="O11" s="10">
        <v>4</v>
      </c>
      <c r="P11" s="10">
        <v>1</v>
      </c>
    </row>
    <row r="12" spans="2:16" x14ac:dyDescent="0.25">
      <c r="B12" s="3">
        <v>250</v>
      </c>
      <c r="C12" s="109" t="s">
        <v>1</v>
      </c>
      <c r="D12" s="109">
        <v>8</v>
      </c>
      <c r="E12" s="10">
        <v>133</v>
      </c>
      <c r="F12" s="10">
        <v>5</v>
      </c>
      <c r="G12" s="10">
        <v>1</v>
      </c>
      <c r="H12" s="5" t="str">
        <f t="shared" si="0"/>
        <v>det_133</v>
      </c>
      <c r="I12" s="5" t="str">
        <f t="shared" si="1"/>
        <v>W:\Performance Measurement\1. Freeway\1. raw data\2017\data files\det_133.txt</v>
      </c>
      <c r="J12" s="5" t="str">
        <f t="shared" si="2"/>
        <v>W:\Performance Measurement\1. Freeway\1. raw data\2017\data files\det_133.xlsx</v>
      </c>
      <c r="K12" s="5"/>
      <c r="M12" s="117" t="s">
        <v>58</v>
      </c>
      <c r="N12" s="10">
        <v>133</v>
      </c>
      <c r="O12" s="10">
        <v>5</v>
      </c>
      <c r="P12" s="10">
        <v>1</v>
      </c>
    </row>
    <row r="13" spans="2:16" x14ac:dyDescent="0.25">
      <c r="D13" s="109">
        <v>9</v>
      </c>
      <c r="E13" s="10">
        <v>73</v>
      </c>
      <c r="F13" s="10">
        <v>5</v>
      </c>
      <c r="G13" s="10">
        <v>1</v>
      </c>
      <c r="H13" s="5" t="str">
        <f t="shared" si="0"/>
        <v>det_73</v>
      </c>
      <c r="I13" s="5" t="str">
        <f t="shared" si="1"/>
        <v>W:\Performance Measurement\1. Freeway\1. raw data\2017\data files\det_73.txt</v>
      </c>
      <c r="J13" s="5" t="str">
        <f t="shared" si="2"/>
        <v>W:\Performance Measurement\1. Freeway\1. raw data\2017\data files\det_73.xlsx</v>
      </c>
      <c r="K13" s="5"/>
      <c r="M13" s="117" t="s">
        <v>58</v>
      </c>
      <c r="N13" s="10">
        <v>73</v>
      </c>
      <c r="O13" s="10">
        <v>5</v>
      </c>
      <c r="P13" s="10">
        <v>1</v>
      </c>
    </row>
    <row r="14" spans="2:16" x14ac:dyDescent="0.25">
      <c r="B14" s="3">
        <v>1</v>
      </c>
      <c r="C14" s="1" t="s">
        <v>8</v>
      </c>
      <c r="D14" s="109">
        <v>10</v>
      </c>
      <c r="E14" s="10">
        <v>35</v>
      </c>
      <c r="F14" s="10">
        <v>4</v>
      </c>
      <c r="G14" s="10">
        <v>1</v>
      </c>
      <c r="H14" s="5" t="str">
        <f t="shared" si="0"/>
        <v>det_35</v>
      </c>
      <c r="I14" s="5" t="str">
        <f t="shared" si="1"/>
        <v>W:\Performance Measurement\1. Freeway\1. raw data\2017\data files\det_35.txt</v>
      </c>
      <c r="J14" s="5" t="str">
        <f t="shared" si="2"/>
        <v>W:\Performance Measurement\1. Freeway\1. raw data\2017\data files\det_35.xlsx</v>
      </c>
      <c r="K14" s="5"/>
      <c r="M14" s="117" t="s">
        <v>58</v>
      </c>
      <c r="N14" s="10">
        <v>35</v>
      </c>
      <c r="O14" s="10">
        <v>4</v>
      </c>
      <c r="P14" s="10">
        <v>1</v>
      </c>
    </row>
    <row r="15" spans="2:16" x14ac:dyDescent="0.25">
      <c r="D15" s="109">
        <v>11</v>
      </c>
      <c r="E15" s="10">
        <v>29</v>
      </c>
      <c r="F15" s="10">
        <v>4</v>
      </c>
      <c r="G15" s="10">
        <v>1</v>
      </c>
      <c r="H15" s="5" t="str">
        <f t="shared" si="0"/>
        <v>det_29</v>
      </c>
      <c r="I15" s="5" t="str">
        <f t="shared" si="1"/>
        <v>W:\Performance Measurement\1. Freeway\1. raw data\2017\data files\det_29.txt</v>
      </c>
      <c r="J15" s="5" t="str">
        <f t="shared" si="2"/>
        <v>W:\Performance Measurement\1. Freeway\1. raw data\2017\data files\det_29.xlsx</v>
      </c>
      <c r="K15" s="5"/>
      <c r="M15" s="117" t="s">
        <v>58</v>
      </c>
      <c r="N15" s="10">
        <v>29</v>
      </c>
      <c r="O15" s="10">
        <v>4</v>
      </c>
      <c r="P15" s="10">
        <v>1</v>
      </c>
    </row>
    <row r="16" spans="2:16" x14ac:dyDescent="0.25">
      <c r="B16" s="3">
        <v>212</v>
      </c>
      <c r="C16" s="109" t="s">
        <v>7</v>
      </c>
      <c r="D16" s="109">
        <v>12</v>
      </c>
      <c r="E16" s="10">
        <v>24</v>
      </c>
      <c r="F16" s="10">
        <v>4</v>
      </c>
      <c r="G16" s="10">
        <v>1</v>
      </c>
      <c r="H16" s="5" t="str">
        <f t="shared" si="0"/>
        <v>det_24</v>
      </c>
      <c r="I16" s="5" t="str">
        <f t="shared" si="1"/>
        <v>W:\Performance Measurement\1. Freeway\1. raw data\2017\data files\det_24.txt</v>
      </c>
      <c r="J16" s="5" t="str">
        <f t="shared" si="2"/>
        <v>W:\Performance Measurement\1. Freeway\1. raw data\2017\data files\det_24.xlsx</v>
      </c>
      <c r="K16" s="5"/>
      <c r="M16" s="117" t="s">
        <v>58</v>
      </c>
      <c r="N16" s="10">
        <v>24</v>
      </c>
      <c r="O16" s="10">
        <v>4</v>
      </c>
      <c r="P16" s="10">
        <v>1</v>
      </c>
    </row>
    <row r="17" spans="1:16" x14ac:dyDescent="0.25">
      <c r="B17" s="3">
        <v>212</v>
      </c>
      <c r="C17" s="109" t="s">
        <v>6</v>
      </c>
      <c r="D17" s="109">
        <v>13</v>
      </c>
      <c r="E17" s="10">
        <v>17</v>
      </c>
      <c r="F17" s="10">
        <v>4</v>
      </c>
      <c r="G17" s="10">
        <v>1</v>
      </c>
      <c r="H17" s="5" t="str">
        <f t="shared" si="0"/>
        <v>det_17</v>
      </c>
      <c r="I17" s="5" t="str">
        <f t="shared" si="1"/>
        <v>W:\Performance Measurement\1. Freeway\1. raw data\2017\data files\det_17.txt</v>
      </c>
      <c r="J17" s="5" t="str">
        <f t="shared" si="2"/>
        <v>W:\Performance Measurement\1. Freeway\1. raw data\2017\data files\det_17.xlsx</v>
      </c>
      <c r="K17" s="5"/>
      <c r="M17" s="117" t="s">
        <v>58</v>
      </c>
      <c r="N17" s="10">
        <v>17</v>
      </c>
      <c r="O17" s="10">
        <v>4</v>
      </c>
      <c r="P17" s="10">
        <v>1</v>
      </c>
    </row>
    <row r="18" spans="1:16" x14ac:dyDescent="0.25">
      <c r="C18" s="1"/>
      <c r="D18" s="109">
        <v>14</v>
      </c>
      <c r="E18" s="10">
        <v>11</v>
      </c>
      <c r="F18" s="10">
        <v>4</v>
      </c>
      <c r="G18" s="10">
        <v>1</v>
      </c>
      <c r="H18" s="5" t="str">
        <f t="shared" si="0"/>
        <v>det_11</v>
      </c>
      <c r="I18" s="5" t="str">
        <f t="shared" si="1"/>
        <v>W:\Performance Measurement\1. Freeway\1. raw data\2017\data files\det_11.txt</v>
      </c>
      <c r="J18" s="5" t="str">
        <f t="shared" si="2"/>
        <v>W:\Performance Measurement\1. Freeway\1. raw data\2017\data files\det_11.xlsx</v>
      </c>
      <c r="K18" s="5"/>
      <c r="M18" s="117" t="s">
        <v>58</v>
      </c>
      <c r="N18" s="10">
        <v>11</v>
      </c>
      <c r="O18" s="10">
        <v>4</v>
      </c>
      <c r="P18" s="10">
        <v>1</v>
      </c>
    </row>
    <row r="19" spans="1:16" x14ac:dyDescent="0.25">
      <c r="B19" s="7" t="str">
        <f>"E1:X"&amp;B$11*36/B14+1</f>
        <v>E1:X13141</v>
      </c>
      <c r="C19" s="1" t="s">
        <v>5</v>
      </c>
      <c r="D19" s="109">
        <v>15</v>
      </c>
      <c r="E19" s="10">
        <v>4</v>
      </c>
      <c r="F19" s="10">
        <v>4</v>
      </c>
      <c r="G19" s="10">
        <v>1</v>
      </c>
      <c r="H19" s="5" t="str">
        <f t="shared" si="0"/>
        <v>det_4</v>
      </c>
      <c r="I19" s="5" t="str">
        <f t="shared" si="1"/>
        <v>W:\Performance Measurement\1. Freeway\1. raw data\2017\data files\det_4.txt</v>
      </c>
      <c r="J19" s="5" t="str">
        <f t="shared" si="2"/>
        <v>W:\Performance Measurement\1. Freeway\1. raw data\2017\data files\det_4.xlsx</v>
      </c>
      <c r="K19" s="5"/>
      <c r="M19" s="117" t="s">
        <v>58</v>
      </c>
      <c r="N19" s="10">
        <v>4</v>
      </c>
      <c r="O19" s="10">
        <v>4</v>
      </c>
      <c r="P19" s="10">
        <v>1</v>
      </c>
    </row>
    <row r="20" spans="1:16" x14ac:dyDescent="0.25">
      <c r="B20" s="7" t="str">
        <f>"E1:X"&amp;B$11*72/B14+1</f>
        <v>E1:X26281</v>
      </c>
      <c r="C20" s="1" t="s">
        <v>4</v>
      </c>
      <c r="D20" s="109">
        <v>16</v>
      </c>
      <c r="E20" s="10">
        <v>1</v>
      </c>
      <c r="F20" s="10">
        <v>4</v>
      </c>
      <c r="G20" s="10">
        <v>1</v>
      </c>
      <c r="H20" s="5" t="str">
        <f t="shared" si="0"/>
        <v>det_1</v>
      </c>
      <c r="I20" s="5" t="str">
        <f t="shared" si="1"/>
        <v>W:\Performance Measurement\1. Freeway\1. raw data\2017\data files\det_1.txt</v>
      </c>
      <c r="J20" s="5" t="str">
        <f t="shared" si="2"/>
        <v>W:\Performance Measurement\1. Freeway\1. raw data\2017\data files\det_1.xlsx</v>
      </c>
      <c r="K20" s="5"/>
      <c r="M20" s="117" t="s">
        <v>58</v>
      </c>
      <c r="N20" s="10">
        <v>1</v>
      </c>
      <c r="O20" s="10">
        <v>4</v>
      </c>
      <c r="P20" s="10">
        <v>1</v>
      </c>
    </row>
    <row r="21" spans="1:16" x14ac:dyDescent="0.25">
      <c r="B21" s="7" t="str">
        <f>"E1:X"&amp;B$11*48/B14+1</f>
        <v>E1:X17521</v>
      </c>
      <c r="C21" s="1" t="s">
        <v>3</v>
      </c>
      <c r="D21" s="109">
        <v>17</v>
      </c>
      <c r="E21" s="10">
        <v>75</v>
      </c>
      <c r="F21" s="10">
        <v>5</v>
      </c>
      <c r="G21" s="10">
        <v>1</v>
      </c>
      <c r="H21" s="5" t="str">
        <f t="shared" si="0"/>
        <v>det_75</v>
      </c>
      <c r="I21" s="5" t="str">
        <f t="shared" si="1"/>
        <v>W:\Performance Measurement\1. Freeway\1. raw data\2017\data files\det_75.txt</v>
      </c>
      <c r="J21" s="5" t="str">
        <f t="shared" si="2"/>
        <v>W:\Performance Measurement\1. Freeway\1. raw data\2017\data files\det_75.xlsx</v>
      </c>
      <c r="K21" s="5"/>
      <c r="M21" s="117" t="s">
        <v>59</v>
      </c>
      <c r="N21" s="10">
        <v>75</v>
      </c>
      <c r="O21" s="10">
        <v>5</v>
      </c>
      <c r="P21" s="10">
        <v>1</v>
      </c>
    </row>
    <row r="22" spans="1:16" x14ac:dyDescent="0.25">
      <c r="B22" s="7" t="str">
        <f>"E1:X"&amp;B$11*132/B14+1</f>
        <v>E1:X48181</v>
      </c>
      <c r="C22" s="1" t="s">
        <v>2</v>
      </c>
      <c r="D22" s="109">
        <v>18</v>
      </c>
      <c r="E22" s="10">
        <v>80</v>
      </c>
      <c r="F22" s="10">
        <v>4</v>
      </c>
      <c r="G22" s="10">
        <v>1</v>
      </c>
      <c r="H22" s="5" t="str">
        <f t="shared" si="0"/>
        <v>det_80</v>
      </c>
      <c r="I22" s="5" t="str">
        <f t="shared" si="1"/>
        <v>W:\Performance Measurement\1. Freeway\1. raw data\2017\data files\det_80.txt</v>
      </c>
      <c r="J22" s="5" t="str">
        <f t="shared" si="2"/>
        <v>W:\Performance Measurement\1. Freeway\1. raw data\2017\data files\det_80.xlsx</v>
      </c>
      <c r="K22" s="5"/>
      <c r="M22" s="117" t="s">
        <v>59</v>
      </c>
      <c r="N22" s="10">
        <v>80</v>
      </c>
      <c r="O22" s="10">
        <v>4</v>
      </c>
      <c r="P22" s="10">
        <v>1</v>
      </c>
    </row>
    <row r="23" spans="1:16" x14ac:dyDescent="0.25">
      <c r="D23" s="109">
        <v>19</v>
      </c>
      <c r="E23" s="10">
        <v>85</v>
      </c>
      <c r="F23" s="10">
        <v>4</v>
      </c>
      <c r="G23" s="10">
        <v>1</v>
      </c>
      <c r="H23" s="5" t="str">
        <f t="shared" si="0"/>
        <v>det_85</v>
      </c>
      <c r="I23" s="5" t="str">
        <f t="shared" si="1"/>
        <v>W:\Performance Measurement\1. Freeway\1. raw data\2017\data files\det_85.txt</v>
      </c>
      <c r="J23" s="5" t="str">
        <f t="shared" si="2"/>
        <v>W:\Performance Measurement\1. Freeway\1. raw data\2017\data files\det_85.xlsx</v>
      </c>
      <c r="K23" s="5"/>
      <c r="M23" s="117" t="s">
        <v>59</v>
      </c>
      <c r="N23" s="10">
        <v>85</v>
      </c>
      <c r="O23" s="10">
        <v>4</v>
      </c>
      <c r="P23" s="10">
        <v>1</v>
      </c>
    </row>
    <row r="24" spans="1:16" x14ac:dyDescent="0.25">
      <c r="B24" s="4" t="str">
        <f>B6&amp;"\"&amp;B7</f>
        <v>W:\Performance Measurement\1. Freeway\2. processed data_quality control\a. template files\blank2017.xlsx</v>
      </c>
      <c r="D24" s="109">
        <v>20</v>
      </c>
      <c r="E24" s="112">
        <v>87</v>
      </c>
      <c r="F24" s="112">
        <v>3</v>
      </c>
      <c r="G24" s="112">
        <v>1</v>
      </c>
      <c r="H24" s="5" t="str">
        <f t="shared" si="0"/>
        <v>det_87</v>
      </c>
      <c r="I24" s="5" t="str">
        <f t="shared" si="1"/>
        <v>W:\Performance Measurement\1. Freeway\1. raw data\2017\data files\det_87.txt</v>
      </c>
      <c r="J24" s="5" t="str">
        <f t="shared" si="2"/>
        <v>W:\Performance Measurement\1. Freeway\1. raw data\2017\data files\det_87.xlsx</v>
      </c>
      <c r="K24" s="5"/>
      <c r="M24" s="117" t="s">
        <v>59</v>
      </c>
      <c r="N24" s="112">
        <v>87</v>
      </c>
      <c r="O24" s="112">
        <v>3</v>
      </c>
      <c r="P24" s="112">
        <v>1</v>
      </c>
    </row>
    <row r="25" spans="1:16" x14ac:dyDescent="0.25">
      <c r="B25" s="4" t="str">
        <f>B6&amp;"\"&amp;B8</f>
        <v>W:\Performance Measurement\1. Freeway\2. processed data_quality control\a. template files\Template.xlsx</v>
      </c>
      <c r="C25" s="1"/>
      <c r="D25" s="109">
        <v>21</v>
      </c>
      <c r="E25" s="10">
        <v>139</v>
      </c>
      <c r="F25" s="10">
        <v>5</v>
      </c>
      <c r="G25" s="10">
        <v>1</v>
      </c>
      <c r="H25" s="5" t="str">
        <f t="shared" si="0"/>
        <v>det_139</v>
      </c>
      <c r="I25" s="5" t="str">
        <f t="shared" si="1"/>
        <v>W:\Performance Measurement\1. Freeway\1. raw data\2017\data files\det_139.txt</v>
      </c>
      <c r="J25" s="5" t="str">
        <f t="shared" si="2"/>
        <v>W:\Performance Measurement\1. Freeway\1. raw data\2017\data files\det_139.xlsx</v>
      </c>
      <c r="K25" s="5"/>
      <c r="M25" s="117" t="s">
        <v>59</v>
      </c>
      <c r="N25" s="10">
        <v>139</v>
      </c>
      <c r="O25" s="10">
        <v>5</v>
      </c>
      <c r="P25" s="10">
        <v>1</v>
      </c>
    </row>
    <row r="26" spans="1:16" x14ac:dyDescent="0.25">
      <c r="B26" s="4"/>
      <c r="D26" s="109">
        <v>22</v>
      </c>
      <c r="E26" s="10">
        <v>84</v>
      </c>
      <c r="F26" s="10">
        <v>4</v>
      </c>
      <c r="G26" s="10">
        <v>1</v>
      </c>
      <c r="H26" s="5" t="str">
        <f t="shared" si="0"/>
        <v>det_84</v>
      </c>
      <c r="I26" s="5" t="str">
        <f t="shared" si="1"/>
        <v>W:\Performance Measurement\1. Freeway\1. raw data\2017\data files\det_84.txt</v>
      </c>
      <c r="J26" s="5" t="str">
        <f t="shared" si="2"/>
        <v>W:\Performance Measurement\1. Freeway\1. raw data\2017\data files\det_84.xlsx</v>
      </c>
      <c r="K26" s="5"/>
      <c r="M26" s="117" t="s">
        <v>59</v>
      </c>
      <c r="N26" s="10">
        <v>84</v>
      </c>
      <c r="O26" s="10">
        <v>4</v>
      </c>
      <c r="P26" s="10">
        <v>1</v>
      </c>
    </row>
    <row r="27" spans="1:16" x14ac:dyDescent="0.25">
      <c r="D27" s="109">
        <v>23</v>
      </c>
      <c r="E27" s="10">
        <v>78</v>
      </c>
      <c r="F27" s="10">
        <v>4</v>
      </c>
      <c r="G27" s="10">
        <v>1</v>
      </c>
      <c r="H27" s="5" t="str">
        <f t="shared" si="0"/>
        <v>det_78</v>
      </c>
      <c r="I27" s="5" t="str">
        <f t="shared" si="1"/>
        <v>W:\Performance Measurement\1. Freeway\1. raw data\2017\data files\det_78.txt</v>
      </c>
      <c r="J27" s="5" t="str">
        <f t="shared" si="2"/>
        <v>W:\Performance Measurement\1. Freeway\1. raw data\2017\data files\det_78.xlsx</v>
      </c>
      <c r="K27" s="5"/>
      <c r="M27" s="117" t="s">
        <v>59</v>
      </c>
      <c r="N27" s="10">
        <v>78</v>
      </c>
      <c r="O27" s="10">
        <v>4</v>
      </c>
      <c r="P27" s="10">
        <v>1</v>
      </c>
    </row>
    <row r="28" spans="1:16" x14ac:dyDescent="0.25">
      <c r="D28" s="109">
        <v>24</v>
      </c>
      <c r="E28" s="10">
        <v>137</v>
      </c>
      <c r="F28" s="10">
        <v>3</v>
      </c>
      <c r="G28" s="10">
        <v>1</v>
      </c>
      <c r="H28" s="5" t="str">
        <f t="shared" si="0"/>
        <v>det_137</v>
      </c>
      <c r="I28" s="5" t="str">
        <f t="shared" si="1"/>
        <v>W:\Performance Measurement\1. Freeway\1. raw data\2017\data files\det_137.txt</v>
      </c>
      <c r="J28" s="5" t="str">
        <f t="shared" si="2"/>
        <v>W:\Performance Measurement\1. Freeway\1. raw data\2017\data files\det_137.xlsx</v>
      </c>
      <c r="K28" s="5"/>
      <c r="M28" s="117" t="s">
        <v>59</v>
      </c>
      <c r="N28" s="10">
        <v>137</v>
      </c>
      <c r="O28" s="10">
        <v>3</v>
      </c>
      <c r="P28" s="10">
        <v>1</v>
      </c>
    </row>
    <row r="29" spans="1:16" x14ac:dyDescent="0.25">
      <c r="A29" s="1"/>
      <c r="C29" s="1"/>
      <c r="D29" s="109">
        <v>25</v>
      </c>
      <c r="E29" s="10">
        <v>89</v>
      </c>
      <c r="F29" s="10">
        <v>4</v>
      </c>
      <c r="G29" s="10">
        <v>1</v>
      </c>
      <c r="H29" s="5" t="str">
        <f t="shared" si="0"/>
        <v>det_89</v>
      </c>
      <c r="I29" s="5" t="str">
        <f t="shared" si="1"/>
        <v>W:\Performance Measurement\1. Freeway\1. raw data\2017\data files\det_89.txt</v>
      </c>
      <c r="J29" s="5" t="str">
        <f t="shared" si="2"/>
        <v>W:\Performance Measurement\1. Freeway\1. raw data\2017\data files\det_89.xlsx</v>
      </c>
      <c r="K29" s="5"/>
      <c r="M29" s="117" t="s">
        <v>60</v>
      </c>
      <c r="N29" s="10">
        <v>89</v>
      </c>
      <c r="O29" s="10">
        <v>4</v>
      </c>
      <c r="P29" s="10">
        <v>1</v>
      </c>
    </row>
    <row r="30" spans="1:16" x14ac:dyDescent="0.25">
      <c r="A30" s="1"/>
      <c r="C30" s="1"/>
      <c r="D30" s="109">
        <v>26</v>
      </c>
      <c r="E30" s="10">
        <v>149</v>
      </c>
      <c r="F30" s="10">
        <v>3</v>
      </c>
      <c r="G30" s="10">
        <v>1</v>
      </c>
      <c r="H30" s="5" t="str">
        <f t="shared" si="0"/>
        <v>det_149</v>
      </c>
      <c r="I30" s="5" t="str">
        <f t="shared" si="1"/>
        <v>W:\Performance Measurement\1. Freeway\1. raw data\2017\data files\det_149.txt</v>
      </c>
      <c r="J30" s="5" t="str">
        <f t="shared" si="2"/>
        <v>W:\Performance Measurement\1. Freeway\1. raw data\2017\data files\det_149.xlsx</v>
      </c>
      <c r="K30" s="5"/>
      <c r="M30" s="117" t="s">
        <v>60</v>
      </c>
      <c r="N30" s="10">
        <v>149</v>
      </c>
      <c r="O30" s="10">
        <v>3</v>
      </c>
      <c r="P30" s="10">
        <v>1</v>
      </c>
    </row>
    <row r="31" spans="1:16" x14ac:dyDescent="0.25">
      <c r="A31" s="1"/>
      <c r="C31" s="1"/>
      <c r="D31" s="109">
        <v>27</v>
      </c>
      <c r="E31" s="10">
        <v>93</v>
      </c>
      <c r="F31" s="10">
        <v>3</v>
      </c>
      <c r="G31" s="10">
        <v>1</v>
      </c>
      <c r="H31" s="5" t="str">
        <f t="shared" si="0"/>
        <v>det_93</v>
      </c>
      <c r="I31" s="5" t="str">
        <f t="shared" si="1"/>
        <v>W:\Performance Measurement\1. Freeway\1. raw data\2017\data files\det_93.txt</v>
      </c>
      <c r="J31" s="5" t="str">
        <f t="shared" si="2"/>
        <v>W:\Performance Measurement\1. Freeway\1. raw data\2017\data files\det_93.xlsx</v>
      </c>
      <c r="K31" s="5"/>
      <c r="M31" s="117" t="s">
        <v>60</v>
      </c>
      <c r="N31" s="10">
        <v>93</v>
      </c>
      <c r="O31" s="10">
        <v>3</v>
      </c>
      <c r="P31" s="10">
        <v>1</v>
      </c>
    </row>
    <row r="32" spans="1:16" x14ac:dyDescent="0.25">
      <c r="A32" s="1"/>
      <c r="C32" s="1"/>
      <c r="D32" s="109">
        <v>28</v>
      </c>
      <c r="E32" s="10">
        <v>40</v>
      </c>
      <c r="F32" s="10">
        <v>5</v>
      </c>
      <c r="G32" s="10">
        <v>1</v>
      </c>
      <c r="H32" s="5" t="str">
        <f t="shared" si="0"/>
        <v>det_40</v>
      </c>
      <c r="I32" s="5" t="str">
        <f t="shared" si="1"/>
        <v>W:\Performance Measurement\1. Freeway\1. raw data\2017\data files\det_40.txt</v>
      </c>
      <c r="J32" s="5" t="str">
        <f t="shared" si="2"/>
        <v>W:\Performance Measurement\1. Freeway\1. raw data\2017\data files\det_40.xlsx</v>
      </c>
      <c r="K32" s="5"/>
      <c r="M32" s="117" t="s">
        <v>60</v>
      </c>
      <c r="N32" s="10">
        <v>40</v>
      </c>
      <c r="O32" s="10">
        <v>5</v>
      </c>
      <c r="P32" s="10">
        <v>1</v>
      </c>
    </row>
    <row r="33" spans="1:16" x14ac:dyDescent="0.25">
      <c r="A33" s="1"/>
      <c r="C33" s="1"/>
      <c r="D33" s="109">
        <v>29</v>
      </c>
      <c r="E33" s="10">
        <v>46</v>
      </c>
      <c r="F33" s="10">
        <v>5</v>
      </c>
      <c r="G33" s="10">
        <v>1</v>
      </c>
      <c r="H33" s="5" t="str">
        <f t="shared" si="0"/>
        <v>det_46</v>
      </c>
      <c r="I33" s="5" t="str">
        <f t="shared" si="1"/>
        <v>W:\Performance Measurement\1. Freeway\1. raw data\2017\data files\det_46.txt</v>
      </c>
      <c r="J33" s="5" t="str">
        <f t="shared" si="2"/>
        <v>W:\Performance Measurement\1. Freeway\1. raw data\2017\data files\det_46.xlsx</v>
      </c>
      <c r="K33" s="5"/>
      <c r="M33" s="117" t="s">
        <v>60</v>
      </c>
      <c r="N33" s="10">
        <v>46</v>
      </c>
      <c r="O33" s="10">
        <v>5</v>
      </c>
      <c r="P33" s="10">
        <v>1</v>
      </c>
    </row>
    <row r="34" spans="1:16" x14ac:dyDescent="0.25">
      <c r="A34" s="1"/>
      <c r="C34" s="1"/>
      <c r="D34" s="109">
        <v>30</v>
      </c>
      <c r="E34" s="10">
        <v>50</v>
      </c>
      <c r="F34" s="10">
        <v>4</v>
      </c>
      <c r="G34" s="10">
        <v>1</v>
      </c>
      <c r="H34" s="5" t="str">
        <f t="shared" si="0"/>
        <v>det_50</v>
      </c>
      <c r="I34" s="5" t="str">
        <f t="shared" si="1"/>
        <v>W:\Performance Measurement\1. Freeway\1. raw data\2017\data files\det_50.txt</v>
      </c>
      <c r="J34" s="5" t="str">
        <f t="shared" si="2"/>
        <v>W:\Performance Measurement\1. Freeway\1. raw data\2017\data files\det_50.xlsx</v>
      </c>
      <c r="K34" s="5"/>
      <c r="M34" s="117" t="s">
        <v>60</v>
      </c>
      <c r="N34" s="10">
        <v>50</v>
      </c>
      <c r="O34" s="10">
        <v>4</v>
      </c>
      <c r="P34" s="10">
        <v>1</v>
      </c>
    </row>
    <row r="35" spans="1:16" x14ac:dyDescent="0.25">
      <c r="A35" s="1"/>
      <c r="C35" s="1"/>
      <c r="D35" s="109">
        <v>31</v>
      </c>
      <c r="E35" s="10">
        <v>55</v>
      </c>
      <c r="F35" s="10">
        <v>5</v>
      </c>
      <c r="G35" s="10">
        <v>1</v>
      </c>
      <c r="H35" s="5" t="str">
        <f t="shared" si="0"/>
        <v>det_55</v>
      </c>
      <c r="I35" s="5" t="str">
        <f t="shared" si="1"/>
        <v>W:\Performance Measurement\1. Freeway\1. raw data\2017\data files\det_55.txt</v>
      </c>
      <c r="J35" s="5" t="str">
        <f t="shared" si="2"/>
        <v>W:\Performance Measurement\1. Freeway\1. raw data\2017\data files\det_55.xlsx</v>
      </c>
      <c r="K35" s="5"/>
      <c r="M35" s="117" t="s">
        <v>60</v>
      </c>
      <c r="N35" s="10">
        <v>55</v>
      </c>
      <c r="O35" s="10">
        <v>5</v>
      </c>
      <c r="P35" s="10">
        <v>1</v>
      </c>
    </row>
    <row r="36" spans="1:16" x14ac:dyDescent="0.25">
      <c r="A36" s="1"/>
      <c r="D36" s="109">
        <v>32</v>
      </c>
      <c r="E36" s="10">
        <v>59</v>
      </c>
      <c r="F36" s="10">
        <v>4</v>
      </c>
      <c r="G36" s="10">
        <v>1</v>
      </c>
      <c r="H36" s="5" t="str">
        <f t="shared" si="0"/>
        <v>det_59</v>
      </c>
      <c r="I36" s="5" t="str">
        <f t="shared" si="1"/>
        <v>W:\Performance Measurement\1. Freeway\1. raw data\2017\data files\det_59.txt</v>
      </c>
      <c r="J36" s="5" t="str">
        <f t="shared" si="2"/>
        <v>W:\Performance Measurement\1. Freeway\1. raw data\2017\data files\det_59.xlsx</v>
      </c>
      <c r="K36" s="5"/>
      <c r="M36" s="117" t="s">
        <v>60</v>
      </c>
      <c r="N36" s="10">
        <v>59</v>
      </c>
      <c r="O36" s="10">
        <v>4</v>
      </c>
      <c r="P36" s="10">
        <v>1</v>
      </c>
    </row>
    <row r="37" spans="1:16" x14ac:dyDescent="0.25">
      <c r="D37" s="109">
        <v>33</v>
      </c>
      <c r="E37" s="10">
        <v>64</v>
      </c>
      <c r="F37" s="10">
        <v>5</v>
      </c>
      <c r="G37" s="10">
        <v>1</v>
      </c>
      <c r="H37" s="5" t="str">
        <f t="shared" si="0"/>
        <v>det_64</v>
      </c>
      <c r="I37" s="5" t="str">
        <f t="shared" si="1"/>
        <v>W:\Performance Measurement\1. Freeway\1. raw data\2017\data files\det_64.txt</v>
      </c>
      <c r="J37" s="5" t="str">
        <f t="shared" si="2"/>
        <v>W:\Performance Measurement\1. Freeway\1. raw data\2017\data files\det_64.xlsx</v>
      </c>
      <c r="K37" s="5"/>
      <c r="M37" s="117" t="s">
        <v>60</v>
      </c>
      <c r="N37" s="10">
        <v>64</v>
      </c>
      <c r="O37" s="10">
        <v>5</v>
      </c>
      <c r="P37" s="10">
        <v>1</v>
      </c>
    </row>
    <row r="38" spans="1:16" x14ac:dyDescent="0.25">
      <c r="D38" s="109">
        <v>34</v>
      </c>
      <c r="E38" s="10">
        <v>393</v>
      </c>
      <c r="F38" s="10">
        <v>3</v>
      </c>
      <c r="G38" s="10">
        <v>1</v>
      </c>
      <c r="H38" s="5" t="str">
        <f t="shared" si="0"/>
        <v>det_393</v>
      </c>
      <c r="I38" s="5" t="str">
        <f t="shared" si="1"/>
        <v>W:\Performance Measurement\1. Freeway\1. raw data\2017\data files\det_393.txt</v>
      </c>
      <c r="J38" s="5" t="str">
        <f t="shared" si="2"/>
        <v>W:\Performance Measurement\1. Freeway\1. raw data\2017\data files\det_393.xlsx</v>
      </c>
      <c r="K38" s="5"/>
      <c r="M38" s="117" t="s">
        <v>60</v>
      </c>
      <c r="N38" s="10">
        <v>393</v>
      </c>
      <c r="O38" s="10">
        <v>3</v>
      </c>
      <c r="P38" s="10">
        <v>1</v>
      </c>
    </row>
    <row r="39" spans="1:16" x14ac:dyDescent="0.25">
      <c r="D39" s="109">
        <v>35</v>
      </c>
      <c r="E39" s="10">
        <v>425</v>
      </c>
      <c r="F39" s="10">
        <v>3</v>
      </c>
      <c r="G39" s="10">
        <v>1</v>
      </c>
      <c r="H39" s="5" t="str">
        <f t="shared" si="0"/>
        <v>det_425</v>
      </c>
      <c r="I39" s="5" t="str">
        <f t="shared" si="1"/>
        <v>W:\Performance Measurement\1. Freeway\1. raw data\2017\data files\det_425.txt</v>
      </c>
      <c r="J39" s="5" t="str">
        <f t="shared" si="2"/>
        <v>W:\Performance Measurement\1. Freeway\1. raw data\2017\data files\det_425.xlsx</v>
      </c>
      <c r="K39" s="5"/>
      <c r="M39" s="117" t="s">
        <v>60</v>
      </c>
      <c r="N39" s="10">
        <v>425</v>
      </c>
      <c r="O39" s="10">
        <v>3</v>
      </c>
      <c r="P39" s="10">
        <v>1</v>
      </c>
    </row>
    <row r="40" spans="1:16" x14ac:dyDescent="0.25">
      <c r="D40" s="109">
        <v>36</v>
      </c>
      <c r="E40" s="10">
        <v>66</v>
      </c>
      <c r="F40" s="10">
        <v>6</v>
      </c>
      <c r="G40" s="10">
        <v>1</v>
      </c>
      <c r="H40" s="5" t="str">
        <f t="shared" si="0"/>
        <v>det_66</v>
      </c>
      <c r="I40" s="5" t="str">
        <f t="shared" si="1"/>
        <v>W:\Performance Measurement\1. Freeway\1. raw data\2017\data files\det_66.txt</v>
      </c>
      <c r="J40" s="5" t="str">
        <f t="shared" si="2"/>
        <v>W:\Performance Measurement\1. Freeway\1. raw data\2017\data files\det_66.xlsx</v>
      </c>
      <c r="K40" s="5"/>
      <c r="M40" s="117" t="s">
        <v>60</v>
      </c>
      <c r="N40" s="10">
        <v>66</v>
      </c>
      <c r="O40" s="10">
        <v>6</v>
      </c>
      <c r="P40" s="10">
        <v>1</v>
      </c>
    </row>
    <row r="41" spans="1:16" x14ac:dyDescent="0.25">
      <c r="D41" s="109">
        <v>37</v>
      </c>
      <c r="E41" s="10">
        <v>63</v>
      </c>
      <c r="F41" s="10">
        <v>4</v>
      </c>
      <c r="G41" s="10">
        <v>1</v>
      </c>
      <c r="H41" s="5" t="str">
        <f t="shared" si="0"/>
        <v>det_63</v>
      </c>
      <c r="I41" s="5" t="str">
        <f t="shared" si="1"/>
        <v>W:\Performance Measurement\1. Freeway\1. raw data\2017\data files\det_63.txt</v>
      </c>
      <c r="J41" s="5" t="str">
        <f t="shared" si="2"/>
        <v>W:\Performance Measurement\1. Freeway\1. raw data\2017\data files\det_63.xlsx</v>
      </c>
      <c r="K41" s="5"/>
      <c r="M41" s="117" t="s">
        <v>60</v>
      </c>
      <c r="N41" s="10">
        <v>63</v>
      </c>
      <c r="O41" s="10">
        <v>4</v>
      </c>
      <c r="P41" s="10">
        <v>1</v>
      </c>
    </row>
    <row r="42" spans="1:16" x14ac:dyDescent="0.25">
      <c r="D42" s="109">
        <v>38</v>
      </c>
      <c r="E42" s="10">
        <v>60</v>
      </c>
      <c r="F42" s="10">
        <v>5</v>
      </c>
      <c r="G42" s="10">
        <v>1</v>
      </c>
      <c r="H42" s="5" t="str">
        <f t="shared" si="0"/>
        <v>det_60</v>
      </c>
      <c r="I42" s="5" t="str">
        <f t="shared" si="1"/>
        <v>W:\Performance Measurement\1. Freeway\1. raw data\2017\data files\det_60.txt</v>
      </c>
      <c r="J42" s="5" t="str">
        <f t="shared" si="2"/>
        <v>W:\Performance Measurement\1. Freeway\1. raw data\2017\data files\det_60.xlsx</v>
      </c>
      <c r="K42" s="5"/>
      <c r="M42" s="117" t="s">
        <v>60</v>
      </c>
      <c r="N42" s="10">
        <v>60</v>
      </c>
      <c r="O42" s="10">
        <v>5</v>
      </c>
      <c r="P42" s="10">
        <v>1</v>
      </c>
    </row>
    <row r="43" spans="1:16" x14ac:dyDescent="0.25">
      <c r="D43" s="109">
        <v>39</v>
      </c>
      <c r="E43" s="10">
        <v>53</v>
      </c>
      <c r="F43" s="10">
        <v>4</v>
      </c>
      <c r="G43" s="10">
        <v>1</v>
      </c>
      <c r="H43" s="5" t="str">
        <f t="shared" si="0"/>
        <v>det_53</v>
      </c>
      <c r="I43" s="5" t="str">
        <f t="shared" si="1"/>
        <v>W:\Performance Measurement\1. Freeway\1. raw data\2017\data files\det_53.txt</v>
      </c>
      <c r="J43" s="5" t="str">
        <f t="shared" si="2"/>
        <v>W:\Performance Measurement\1. Freeway\1. raw data\2017\data files\det_53.xlsx</v>
      </c>
      <c r="K43" s="5"/>
      <c r="M43" s="117" t="s">
        <v>60</v>
      </c>
      <c r="N43" s="10">
        <v>53</v>
      </c>
      <c r="O43" s="10">
        <v>4</v>
      </c>
      <c r="P43" s="10">
        <v>1</v>
      </c>
    </row>
    <row r="44" spans="1:16" x14ac:dyDescent="0.25">
      <c r="D44" s="109">
        <v>40</v>
      </c>
      <c r="E44" s="10">
        <v>47</v>
      </c>
      <c r="F44" s="10">
        <v>5</v>
      </c>
      <c r="G44" s="10">
        <v>1</v>
      </c>
      <c r="H44" s="5" t="str">
        <f t="shared" si="0"/>
        <v>det_47</v>
      </c>
      <c r="I44" s="5" t="str">
        <f t="shared" si="1"/>
        <v>W:\Performance Measurement\1. Freeway\1. raw data\2017\data files\det_47.txt</v>
      </c>
      <c r="J44" s="5" t="str">
        <f t="shared" si="2"/>
        <v>W:\Performance Measurement\1. Freeway\1. raw data\2017\data files\det_47.xlsx</v>
      </c>
      <c r="K44" s="5"/>
      <c r="M44" s="117" t="s">
        <v>60</v>
      </c>
      <c r="N44" s="10">
        <v>47</v>
      </c>
      <c r="O44" s="10">
        <v>5</v>
      </c>
      <c r="P44" s="10">
        <v>1</v>
      </c>
    </row>
    <row r="45" spans="1:16" x14ac:dyDescent="0.25">
      <c r="D45" s="109">
        <v>41</v>
      </c>
      <c r="E45" s="115">
        <v>41</v>
      </c>
      <c r="F45" s="115">
        <v>6</v>
      </c>
      <c r="G45" s="115">
        <v>1</v>
      </c>
      <c r="H45" s="5" t="str">
        <f t="shared" si="0"/>
        <v>det_41</v>
      </c>
      <c r="I45" s="5" t="str">
        <f t="shared" si="1"/>
        <v>W:\Performance Measurement\1. Freeway\1. raw data\2017\data files\det_41.txt</v>
      </c>
      <c r="J45" s="5" t="str">
        <f t="shared" si="2"/>
        <v>W:\Performance Measurement\1. Freeway\1. raw data\2017\data files\det_41.xlsx</v>
      </c>
      <c r="K45" s="5"/>
      <c r="M45" s="117" t="s">
        <v>60</v>
      </c>
      <c r="N45" s="115">
        <v>41</v>
      </c>
      <c r="O45" s="115">
        <v>6</v>
      </c>
      <c r="P45" s="115">
        <v>1</v>
      </c>
    </row>
    <row r="46" spans="1:16" x14ac:dyDescent="0.25">
      <c r="D46" s="109">
        <v>42</v>
      </c>
      <c r="E46" s="10">
        <v>144</v>
      </c>
      <c r="F46" s="10">
        <v>3</v>
      </c>
      <c r="G46" s="10">
        <v>1</v>
      </c>
      <c r="H46" s="5" t="str">
        <f t="shared" si="0"/>
        <v>det_144</v>
      </c>
      <c r="I46" s="5" t="str">
        <f t="shared" si="1"/>
        <v>W:\Performance Measurement\1. Freeway\1. raw data\2017\data files\det_144.txt</v>
      </c>
      <c r="J46" s="5" t="str">
        <f t="shared" si="2"/>
        <v>W:\Performance Measurement\1. Freeway\1. raw data\2017\data files\det_144.xlsx</v>
      </c>
      <c r="K46" s="5"/>
      <c r="M46" s="117" t="s">
        <v>60</v>
      </c>
      <c r="N46" s="10">
        <v>144</v>
      </c>
      <c r="O46" s="10">
        <v>3</v>
      </c>
      <c r="P46" s="10">
        <v>1</v>
      </c>
    </row>
    <row r="47" spans="1:16" x14ac:dyDescent="0.25">
      <c r="D47" s="109">
        <v>43</v>
      </c>
      <c r="E47" s="10">
        <v>92</v>
      </c>
      <c r="F47" s="10">
        <v>3</v>
      </c>
      <c r="G47" s="10">
        <v>1</v>
      </c>
      <c r="H47" s="5" t="str">
        <f t="shared" si="0"/>
        <v>det_92</v>
      </c>
      <c r="I47" s="5" t="str">
        <f t="shared" si="1"/>
        <v>W:\Performance Measurement\1. Freeway\1. raw data\2017\data files\det_92.txt</v>
      </c>
      <c r="J47" s="5" t="str">
        <f t="shared" si="2"/>
        <v>W:\Performance Measurement\1. Freeway\1. raw data\2017\data files\det_92.xlsx</v>
      </c>
      <c r="K47" s="5"/>
      <c r="M47" s="117" t="s">
        <v>60</v>
      </c>
      <c r="N47" s="10">
        <v>92</v>
      </c>
      <c r="O47" s="10">
        <v>3</v>
      </c>
      <c r="P47" s="10">
        <v>1</v>
      </c>
    </row>
    <row r="48" spans="1:16" x14ac:dyDescent="0.25">
      <c r="D48" s="109">
        <v>44</v>
      </c>
      <c r="E48" s="10">
        <v>141</v>
      </c>
      <c r="F48" s="10">
        <v>4</v>
      </c>
      <c r="G48" s="10">
        <v>1</v>
      </c>
      <c r="H48" s="5" t="str">
        <f t="shared" si="0"/>
        <v>det_141</v>
      </c>
      <c r="I48" s="5" t="str">
        <f t="shared" si="1"/>
        <v>W:\Performance Measurement\1. Freeway\1. raw data\2017\data files\det_141.txt</v>
      </c>
      <c r="J48" s="5" t="str">
        <f t="shared" si="2"/>
        <v>W:\Performance Measurement\1. Freeway\1. raw data\2017\data files\det_141.xlsx</v>
      </c>
      <c r="K48" s="5"/>
      <c r="M48" s="117" t="s">
        <v>60</v>
      </c>
      <c r="N48" s="10">
        <v>141</v>
      </c>
      <c r="O48" s="10">
        <v>4</v>
      </c>
      <c r="P48" s="10">
        <v>1</v>
      </c>
    </row>
    <row r="49" spans="4:16" x14ac:dyDescent="0.25">
      <c r="D49" s="109">
        <v>45</v>
      </c>
      <c r="E49" s="10">
        <v>396</v>
      </c>
      <c r="F49" s="10">
        <v>3</v>
      </c>
      <c r="G49" s="10">
        <v>1</v>
      </c>
      <c r="H49" s="5" t="str">
        <f t="shared" si="0"/>
        <v>det_396</v>
      </c>
      <c r="I49" s="5" t="str">
        <f t="shared" si="1"/>
        <v>W:\Performance Measurement\1. Freeway\1. raw data\2017\data files\det_396.txt</v>
      </c>
      <c r="J49" s="5" t="str">
        <f t="shared" si="2"/>
        <v>W:\Performance Measurement\1. Freeway\1. raw data\2017\data files\det_396.xlsx</v>
      </c>
      <c r="K49" s="5"/>
      <c r="M49" s="117" t="s">
        <v>61</v>
      </c>
      <c r="N49" s="10">
        <v>396</v>
      </c>
      <c r="O49" s="10">
        <v>3</v>
      </c>
      <c r="P49" s="10">
        <v>1</v>
      </c>
    </row>
    <row r="50" spans="4:16" x14ac:dyDescent="0.25">
      <c r="D50" s="109">
        <v>46</v>
      </c>
      <c r="E50" s="10">
        <v>397</v>
      </c>
      <c r="F50" s="10">
        <v>4</v>
      </c>
      <c r="G50" s="10">
        <v>1</v>
      </c>
      <c r="H50" s="5" t="str">
        <f t="shared" si="0"/>
        <v>det_397</v>
      </c>
      <c r="I50" s="5" t="str">
        <f t="shared" si="1"/>
        <v>W:\Performance Measurement\1. Freeway\1. raw data\2017\data files\det_397.txt</v>
      </c>
      <c r="J50" s="5" t="str">
        <f t="shared" si="2"/>
        <v>W:\Performance Measurement\1. Freeway\1. raw data\2017\data files\det_397.xlsx</v>
      </c>
      <c r="K50" s="5"/>
      <c r="M50" s="117" t="s">
        <v>61</v>
      </c>
      <c r="N50" s="10">
        <v>397</v>
      </c>
      <c r="O50" s="10">
        <v>4</v>
      </c>
      <c r="P50" s="10">
        <v>1</v>
      </c>
    </row>
    <row r="51" spans="4:16" x14ac:dyDescent="0.25">
      <c r="D51" s="109">
        <v>47</v>
      </c>
      <c r="E51" s="10">
        <v>399</v>
      </c>
      <c r="F51" s="10">
        <v>4</v>
      </c>
      <c r="G51" s="10">
        <v>1</v>
      </c>
      <c r="H51" s="5" t="str">
        <f t="shared" si="0"/>
        <v>det_399</v>
      </c>
      <c r="I51" s="5" t="str">
        <f t="shared" si="1"/>
        <v>W:\Performance Measurement\1. Freeway\1. raw data\2017\data files\det_399.txt</v>
      </c>
      <c r="J51" s="5" t="str">
        <f t="shared" si="2"/>
        <v>W:\Performance Measurement\1. Freeway\1. raw data\2017\data files\det_399.xlsx</v>
      </c>
      <c r="K51" s="5"/>
      <c r="M51" s="117" t="s">
        <v>61</v>
      </c>
      <c r="N51" s="10">
        <v>399</v>
      </c>
      <c r="O51" s="10">
        <v>4</v>
      </c>
      <c r="P51" s="10">
        <v>1</v>
      </c>
    </row>
    <row r="52" spans="4:16" x14ac:dyDescent="0.25">
      <c r="D52" s="109">
        <v>48</v>
      </c>
      <c r="E52" s="10">
        <v>401</v>
      </c>
      <c r="F52" s="10">
        <v>4</v>
      </c>
      <c r="G52" s="10">
        <v>1</v>
      </c>
      <c r="H52" s="5" t="str">
        <f t="shared" si="0"/>
        <v>det_401</v>
      </c>
      <c r="I52" s="5" t="str">
        <f t="shared" si="1"/>
        <v>W:\Performance Measurement\1. Freeway\1. raw data\2017\data files\det_401.txt</v>
      </c>
      <c r="J52" s="5" t="str">
        <f t="shared" si="2"/>
        <v>W:\Performance Measurement\1. Freeway\1. raw data\2017\data files\det_401.xlsx</v>
      </c>
      <c r="K52" s="5"/>
      <c r="M52" s="117" t="s">
        <v>61</v>
      </c>
      <c r="N52" s="10">
        <v>401</v>
      </c>
      <c r="O52" s="10">
        <v>4</v>
      </c>
      <c r="P52" s="10">
        <v>1</v>
      </c>
    </row>
    <row r="53" spans="4:16" x14ac:dyDescent="0.25">
      <c r="D53" s="109">
        <v>49</v>
      </c>
      <c r="E53" s="10">
        <v>403</v>
      </c>
      <c r="F53" s="10">
        <v>3</v>
      </c>
      <c r="G53" s="10">
        <v>1</v>
      </c>
      <c r="H53" s="5" t="str">
        <f t="shared" si="0"/>
        <v>det_403</v>
      </c>
      <c r="I53" s="5" t="str">
        <f t="shared" si="1"/>
        <v>W:\Performance Measurement\1. Freeway\1. raw data\2017\data files\det_403.txt</v>
      </c>
      <c r="J53" s="5" t="str">
        <f t="shared" si="2"/>
        <v>W:\Performance Measurement\1. Freeway\1. raw data\2017\data files\det_403.xlsx</v>
      </c>
      <c r="K53" s="5"/>
      <c r="M53" s="117" t="s">
        <v>61</v>
      </c>
      <c r="N53" s="10">
        <v>403</v>
      </c>
      <c r="O53" s="10">
        <v>3</v>
      </c>
      <c r="P53" s="10">
        <v>1</v>
      </c>
    </row>
    <row r="54" spans="4:16" x14ac:dyDescent="0.25">
      <c r="D54" s="109">
        <v>50</v>
      </c>
      <c r="E54" s="10">
        <v>406</v>
      </c>
      <c r="F54" s="10">
        <v>3</v>
      </c>
      <c r="G54" s="10">
        <v>1</v>
      </c>
      <c r="H54" s="5" t="str">
        <f t="shared" si="0"/>
        <v>det_406</v>
      </c>
      <c r="I54" s="5" t="str">
        <f t="shared" si="1"/>
        <v>W:\Performance Measurement\1. Freeway\1. raw data\2017\data files\det_406.txt</v>
      </c>
      <c r="J54" s="5" t="str">
        <f t="shared" si="2"/>
        <v>W:\Performance Measurement\1. Freeway\1. raw data\2017\data files\det_406.xlsx</v>
      </c>
      <c r="K54" s="5"/>
      <c r="M54" s="117" t="s">
        <v>61</v>
      </c>
      <c r="N54" s="10">
        <v>406</v>
      </c>
      <c r="O54" s="10">
        <v>3</v>
      </c>
      <c r="P54" s="10">
        <v>1</v>
      </c>
    </row>
    <row r="55" spans="4:16" x14ac:dyDescent="0.25">
      <c r="D55" s="109">
        <v>51</v>
      </c>
      <c r="E55" s="10">
        <v>409</v>
      </c>
      <c r="F55" s="10">
        <v>5</v>
      </c>
      <c r="G55" s="10">
        <v>1</v>
      </c>
      <c r="H55" s="5" t="str">
        <f t="shared" si="0"/>
        <v>det_409</v>
      </c>
      <c r="I55" s="5" t="str">
        <f t="shared" si="1"/>
        <v>W:\Performance Measurement\1. Freeway\1. raw data\2017\data files\det_409.txt</v>
      </c>
      <c r="J55" s="5" t="str">
        <f t="shared" si="2"/>
        <v>W:\Performance Measurement\1. Freeway\1. raw data\2017\data files\det_409.xlsx</v>
      </c>
      <c r="K55" s="5"/>
      <c r="M55" s="117" t="s">
        <v>61</v>
      </c>
      <c r="N55" s="10">
        <v>409</v>
      </c>
      <c r="O55" s="10">
        <v>5</v>
      </c>
      <c r="P55" s="10">
        <v>1</v>
      </c>
    </row>
    <row r="56" spans="4:16" x14ac:dyDescent="0.25">
      <c r="D56" s="109">
        <v>52</v>
      </c>
      <c r="E56" s="10">
        <v>410</v>
      </c>
      <c r="F56" s="10">
        <v>2</v>
      </c>
      <c r="G56" s="10">
        <v>0</v>
      </c>
      <c r="H56" s="5" t="str">
        <f t="shared" si="0"/>
        <v>det_410</v>
      </c>
      <c r="I56" s="5" t="str">
        <f t="shared" si="1"/>
        <v>W:\Performance Measurement\1. Freeway\1. raw data\2017\data files\det_410.txt</v>
      </c>
      <c r="J56" s="5" t="str">
        <f t="shared" si="2"/>
        <v>W:\Performance Measurement\1. Freeway\1. raw data\2017\data files\det_410.xlsx</v>
      </c>
      <c r="K56" s="5"/>
      <c r="M56" s="117" t="s">
        <v>61</v>
      </c>
      <c r="N56" s="10">
        <v>410</v>
      </c>
      <c r="O56" s="10">
        <v>2</v>
      </c>
      <c r="P56" s="10">
        <v>0</v>
      </c>
    </row>
    <row r="57" spans="4:16" x14ac:dyDescent="0.25">
      <c r="D57" s="109">
        <v>53</v>
      </c>
      <c r="E57" s="10">
        <v>411</v>
      </c>
      <c r="F57" s="10">
        <v>3</v>
      </c>
      <c r="G57" s="10">
        <v>1</v>
      </c>
      <c r="H57" s="5" t="str">
        <f t="shared" si="0"/>
        <v>det_411</v>
      </c>
      <c r="I57" s="5" t="str">
        <f t="shared" si="1"/>
        <v>W:\Performance Measurement\1. Freeway\1. raw data\2017\data files\det_411.txt</v>
      </c>
      <c r="J57" s="5" t="str">
        <f t="shared" si="2"/>
        <v>W:\Performance Measurement\1. Freeway\1. raw data\2017\data files\det_411.xlsx</v>
      </c>
      <c r="K57" s="5"/>
      <c r="M57" s="117" t="s">
        <v>61</v>
      </c>
      <c r="N57" s="10">
        <v>411</v>
      </c>
      <c r="O57" s="10">
        <v>3</v>
      </c>
      <c r="P57" s="10">
        <v>1</v>
      </c>
    </row>
    <row r="58" spans="4:16" x14ac:dyDescent="0.25">
      <c r="D58" s="109">
        <v>54</v>
      </c>
      <c r="E58" s="10">
        <v>414</v>
      </c>
      <c r="F58" s="10">
        <v>3</v>
      </c>
      <c r="G58" s="10">
        <v>1</v>
      </c>
      <c r="H58" s="5" t="str">
        <f t="shared" si="0"/>
        <v>det_414</v>
      </c>
      <c r="I58" s="5" t="str">
        <f t="shared" si="1"/>
        <v>W:\Performance Measurement\1. Freeway\1. raw data\2017\data files\det_414.txt</v>
      </c>
      <c r="J58" s="5" t="str">
        <f t="shared" si="2"/>
        <v>W:\Performance Measurement\1. Freeway\1. raw data\2017\data files\det_414.xlsx</v>
      </c>
      <c r="K58" s="5"/>
      <c r="M58" s="117" t="s">
        <v>61</v>
      </c>
      <c r="N58" s="10">
        <v>414</v>
      </c>
      <c r="O58" s="10">
        <v>3</v>
      </c>
      <c r="P58" s="10">
        <v>1</v>
      </c>
    </row>
    <row r="59" spans="4:16" x14ac:dyDescent="0.25">
      <c r="D59" s="109">
        <v>55</v>
      </c>
      <c r="E59" s="10">
        <v>417</v>
      </c>
      <c r="F59" s="10">
        <v>3</v>
      </c>
      <c r="G59" s="10">
        <v>1</v>
      </c>
      <c r="H59" s="5" t="str">
        <f t="shared" si="0"/>
        <v>det_417</v>
      </c>
      <c r="I59" s="5" t="str">
        <f t="shared" si="1"/>
        <v>W:\Performance Measurement\1. Freeway\1. raw data\2017\data files\det_417.txt</v>
      </c>
      <c r="J59" s="5" t="str">
        <f t="shared" si="2"/>
        <v>W:\Performance Measurement\1. Freeway\1. raw data\2017\data files\det_417.xlsx</v>
      </c>
      <c r="K59" s="5"/>
      <c r="M59" s="117" t="s">
        <v>61</v>
      </c>
      <c r="N59" s="10">
        <v>417</v>
      </c>
      <c r="O59" s="10">
        <v>3</v>
      </c>
      <c r="P59" s="10">
        <v>1</v>
      </c>
    </row>
    <row r="60" spans="4:16" x14ac:dyDescent="0.25">
      <c r="D60" s="109">
        <v>56</v>
      </c>
      <c r="E60" s="10">
        <v>420</v>
      </c>
      <c r="F60" s="10">
        <v>4</v>
      </c>
      <c r="G60" s="10">
        <v>1</v>
      </c>
      <c r="H60" s="5" t="str">
        <f t="shared" si="0"/>
        <v>det_420</v>
      </c>
      <c r="I60" s="5" t="str">
        <f t="shared" si="1"/>
        <v>W:\Performance Measurement\1. Freeway\1. raw data\2017\data files\det_420.txt</v>
      </c>
      <c r="J60" s="5" t="str">
        <f t="shared" si="2"/>
        <v>W:\Performance Measurement\1. Freeway\1. raw data\2017\data files\det_420.xlsx</v>
      </c>
      <c r="K60" s="5"/>
      <c r="M60" s="117" t="s">
        <v>61</v>
      </c>
      <c r="N60" s="10">
        <v>420</v>
      </c>
      <c r="O60" s="10">
        <v>4</v>
      </c>
      <c r="P60" s="10">
        <v>1</v>
      </c>
    </row>
    <row r="61" spans="4:16" x14ac:dyDescent="0.25">
      <c r="D61" s="109">
        <v>57</v>
      </c>
      <c r="E61" s="116">
        <v>423</v>
      </c>
      <c r="F61" s="116">
        <v>3</v>
      </c>
      <c r="G61" s="116">
        <v>1</v>
      </c>
      <c r="H61" s="5" t="str">
        <f t="shared" si="0"/>
        <v>det_423</v>
      </c>
      <c r="I61" s="5" t="str">
        <f t="shared" si="1"/>
        <v>W:\Performance Measurement\1. Freeway\1. raw data\2017\data files\det_423.txt</v>
      </c>
      <c r="J61" s="5" t="str">
        <f t="shared" si="2"/>
        <v>W:\Performance Measurement\1. Freeway\1. raw data\2017\data files\det_423.xlsx</v>
      </c>
      <c r="K61" s="5"/>
      <c r="M61" s="117" t="s">
        <v>61</v>
      </c>
      <c r="N61" s="115">
        <v>423</v>
      </c>
      <c r="O61" s="115">
        <v>3</v>
      </c>
      <c r="P61" s="115">
        <v>1</v>
      </c>
    </row>
    <row r="62" spans="4:16" x14ac:dyDescent="0.25">
      <c r="D62" s="109">
        <v>58</v>
      </c>
      <c r="E62" s="10">
        <v>39</v>
      </c>
      <c r="F62" s="10">
        <v>3</v>
      </c>
      <c r="G62" s="10">
        <v>0</v>
      </c>
      <c r="H62" s="5" t="str">
        <f t="shared" si="0"/>
        <v>det_39</v>
      </c>
      <c r="I62" s="5" t="str">
        <f t="shared" si="1"/>
        <v>W:\Performance Measurement\1. Freeway\1. raw data\2017\data files\det_39.txt</v>
      </c>
      <c r="J62" s="5" t="str">
        <f t="shared" si="2"/>
        <v>W:\Performance Measurement\1. Freeway\1. raw data\2017\data files\det_39.xlsx</v>
      </c>
      <c r="K62" s="5"/>
      <c r="M62" s="117" t="s">
        <v>62</v>
      </c>
      <c r="N62" s="10">
        <v>39</v>
      </c>
      <c r="O62" s="10">
        <v>3</v>
      </c>
      <c r="P62" s="10">
        <v>0</v>
      </c>
    </row>
    <row r="63" spans="4:16" x14ac:dyDescent="0.25">
      <c r="D63" s="109">
        <v>59</v>
      </c>
      <c r="E63" s="10">
        <v>153</v>
      </c>
      <c r="F63" s="10">
        <v>3</v>
      </c>
      <c r="G63" s="10">
        <v>0</v>
      </c>
      <c r="H63" s="5" t="str">
        <f t="shared" si="0"/>
        <v>det_153</v>
      </c>
      <c r="I63" s="5" t="str">
        <f t="shared" si="1"/>
        <v>W:\Performance Measurement\1. Freeway\1. raw data\2017\data files\det_153.txt</v>
      </c>
      <c r="J63" s="5" t="str">
        <f t="shared" si="2"/>
        <v>W:\Performance Measurement\1. Freeway\1. raw data\2017\data files\det_153.xlsx</v>
      </c>
      <c r="K63" s="5"/>
      <c r="M63" s="117" t="s">
        <v>62</v>
      </c>
      <c r="N63" s="10">
        <v>153</v>
      </c>
      <c r="O63" s="10">
        <v>3</v>
      </c>
      <c r="P63" s="10">
        <v>0</v>
      </c>
    </row>
    <row r="64" spans="4:16" x14ac:dyDescent="0.25">
      <c r="D64" s="109">
        <v>60</v>
      </c>
      <c r="E64" s="10">
        <v>98</v>
      </c>
      <c r="F64" s="10">
        <v>3</v>
      </c>
      <c r="G64" s="10">
        <v>0</v>
      </c>
      <c r="H64" s="5" t="str">
        <f t="shared" si="0"/>
        <v>det_98</v>
      </c>
      <c r="I64" s="5" t="str">
        <f t="shared" si="1"/>
        <v>W:\Performance Measurement\1. Freeway\1. raw data\2017\data files\det_98.txt</v>
      </c>
      <c r="J64" s="5" t="str">
        <f t="shared" si="2"/>
        <v>W:\Performance Measurement\1. Freeway\1. raw data\2017\data files\det_98.xlsx</v>
      </c>
      <c r="K64" s="5"/>
      <c r="M64" s="117" t="s">
        <v>62</v>
      </c>
      <c r="N64" s="10">
        <v>98</v>
      </c>
      <c r="O64" s="10">
        <v>3</v>
      </c>
      <c r="P64" s="10">
        <v>0</v>
      </c>
    </row>
    <row r="65" spans="4:16" x14ac:dyDescent="0.25">
      <c r="D65" s="109">
        <v>61</v>
      </c>
      <c r="E65" s="10">
        <v>104</v>
      </c>
      <c r="F65" s="10">
        <v>3</v>
      </c>
      <c r="G65" s="10">
        <v>0</v>
      </c>
      <c r="H65" s="5" t="str">
        <f t="shared" si="0"/>
        <v>det_104</v>
      </c>
      <c r="I65" s="5" t="str">
        <f t="shared" si="1"/>
        <v>W:\Performance Measurement\1. Freeway\1. raw data\2017\data files\det_104.txt</v>
      </c>
      <c r="J65" s="5" t="str">
        <f t="shared" si="2"/>
        <v>W:\Performance Measurement\1. Freeway\1. raw data\2017\data files\det_104.xlsx</v>
      </c>
      <c r="K65" s="5"/>
      <c r="M65" s="117" t="s">
        <v>62</v>
      </c>
      <c r="N65" s="10">
        <v>104</v>
      </c>
      <c r="O65" s="10">
        <v>3</v>
      </c>
      <c r="P65" s="10">
        <v>0</v>
      </c>
    </row>
    <row r="66" spans="4:16" x14ac:dyDescent="0.25">
      <c r="D66" s="109">
        <v>62</v>
      </c>
      <c r="E66" s="10">
        <v>154</v>
      </c>
      <c r="F66" s="10">
        <v>3</v>
      </c>
      <c r="G66" s="10">
        <v>0</v>
      </c>
      <c r="H66" s="5" t="str">
        <f t="shared" si="0"/>
        <v>det_154</v>
      </c>
      <c r="I66" s="5" t="str">
        <f t="shared" si="1"/>
        <v>W:\Performance Measurement\1. Freeway\1. raw data\2017\data files\det_154.txt</v>
      </c>
      <c r="J66" s="5" t="str">
        <f t="shared" si="2"/>
        <v>W:\Performance Measurement\1. Freeway\1. raw data\2017\data files\det_154.xlsx</v>
      </c>
      <c r="K66" s="5"/>
      <c r="M66" s="117" t="s">
        <v>62</v>
      </c>
      <c r="N66" s="10">
        <v>154</v>
      </c>
      <c r="O66" s="10">
        <v>3</v>
      </c>
      <c r="P66" s="10">
        <v>0</v>
      </c>
    </row>
    <row r="67" spans="4:16" x14ac:dyDescent="0.25">
      <c r="D67" s="109">
        <v>63</v>
      </c>
      <c r="E67" s="10">
        <v>155</v>
      </c>
      <c r="F67" s="10">
        <v>3</v>
      </c>
      <c r="G67" s="10">
        <v>0</v>
      </c>
      <c r="H67" s="5" t="str">
        <f t="shared" si="0"/>
        <v>det_155</v>
      </c>
      <c r="I67" s="5" t="str">
        <f t="shared" si="1"/>
        <v>W:\Performance Measurement\1. Freeway\1. raw data\2017\data files\det_155.txt</v>
      </c>
      <c r="J67" s="5" t="str">
        <f t="shared" si="2"/>
        <v>W:\Performance Measurement\1. Freeway\1. raw data\2017\data files\det_155.xlsx</v>
      </c>
      <c r="K67" s="5"/>
      <c r="M67" s="117" t="s">
        <v>62</v>
      </c>
      <c r="N67" s="10">
        <v>155</v>
      </c>
      <c r="O67" s="10">
        <v>3</v>
      </c>
      <c r="P67" s="10">
        <v>0</v>
      </c>
    </row>
    <row r="68" spans="4:16" x14ac:dyDescent="0.25">
      <c r="D68" s="109">
        <v>64</v>
      </c>
      <c r="E68" s="10">
        <v>156</v>
      </c>
      <c r="F68" s="10">
        <v>3</v>
      </c>
      <c r="G68" s="10">
        <v>0</v>
      </c>
      <c r="H68" s="5" t="str">
        <f t="shared" si="0"/>
        <v>det_156</v>
      </c>
      <c r="I68" s="5" t="str">
        <f t="shared" si="1"/>
        <v>W:\Performance Measurement\1. Freeway\1. raw data\2017\data files\det_156.txt</v>
      </c>
      <c r="J68" s="5" t="str">
        <f t="shared" si="2"/>
        <v>W:\Performance Measurement\1. Freeway\1. raw data\2017\data files\det_156.xlsx</v>
      </c>
      <c r="K68" s="5"/>
      <c r="M68" s="117" t="s">
        <v>62</v>
      </c>
      <c r="N68" s="10">
        <v>156</v>
      </c>
      <c r="O68" s="10">
        <v>3</v>
      </c>
      <c r="P68" s="10">
        <v>0</v>
      </c>
    </row>
    <row r="69" spans="4:16" x14ac:dyDescent="0.25">
      <c r="D69" s="109">
        <v>65</v>
      </c>
      <c r="E69" s="10">
        <v>121</v>
      </c>
      <c r="F69" s="10">
        <v>3</v>
      </c>
      <c r="G69" s="10">
        <v>0</v>
      </c>
      <c r="H69" s="5" t="str">
        <f t="shared" ref="H69:H132" si="3">"det_"&amp;E69&amp;""</f>
        <v>det_121</v>
      </c>
      <c r="I69" s="5" t="str">
        <f t="shared" ref="I69:I132" si="4">$B$5&amp;"\"&amp;H69&amp;".txt"</f>
        <v>W:\Performance Measurement\1. Freeway\1. raw data\2017\data files\det_121.txt</v>
      </c>
      <c r="J69" s="5" t="str">
        <f t="shared" ref="J69:J132" si="5">$B$5&amp;"\"&amp;H69&amp;".xlsx"</f>
        <v>W:\Performance Measurement\1. Freeway\1. raw data\2017\data files\det_121.xlsx</v>
      </c>
      <c r="K69" s="5"/>
      <c r="M69" s="117" t="s">
        <v>62</v>
      </c>
      <c r="N69" s="10">
        <v>121</v>
      </c>
      <c r="O69" s="10">
        <v>3</v>
      </c>
      <c r="P69" s="10">
        <v>0</v>
      </c>
    </row>
    <row r="70" spans="4:16" x14ac:dyDescent="0.25">
      <c r="D70" s="109">
        <v>66</v>
      </c>
      <c r="E70" s="10">
        <v>123</v>
      </c>
      <c r="F70" s="10">
        <v>3</v>
      </c>
      <c r="G70" s="10">
        <v>0</v>
      </c>
      <c r="H70" s="5" t="str">
        <f t="shared" si="3"/>
        <v>det_123</v>
      </c>
      <c r="I70" s="5" t="str">
        <f t="shared" si="4"/>
        <v>W:\Performance Measurement\1. Freeway\1. raw data\2017\data files\det_123.txt</v>
      </c>
      <c r="J70" s="5" t="str">
        <f t="shared" si="5"/>
        <v>W:\Performance Measurement\1. Freeway\1. raw data\2017\data files\det_123.xlsx</v>
      </c>
      <c r="K70" s="5"/>
      <c r="M70" s="117" t="s">
        <v>62</v>
      </c>
      <c r="N70" s="10">
        <v>123</v>
      </c>
      <c r="O70" s="10">
        <v>3</v>
      </c>
      <c r="P70" s="10">
        <v>0</v>
      </c>
    </row>
    <row r="71" spans="4:16" x14ac:dyDescent="0.25">
      <c r="D71" s="109">
        <v>67</v>
      </c>
      <c r="E71" s="10">
        <v>122</v>
      </c>
      <c r="F71" s="10">
        <v>3</v>
      </c>
      <c r="G71" s="10">
        <v>0</v>
      </c>
      <c r="H71" s="5" t="str">
        <f t="shared" si="3"/>
        <v>det_122</v>
      </c>
      <c r="I71" s="5" t="str">
        <f t="shared" si="4"/>
        <v>W:\Performance Measurement\1. Freeway\1. raw data\2017\data files\det_122.txt</v>
      </c>
      <c r="J71" s="5" t="str">
        <f t="shared" si="5"/>
        <v>W:\Performance Measurement\1. Freeway\1. raw data\2017\data files\det_122.xlsx</v>
      </c>
      <c r="K71" s="5"/>
      <c r="M71" s="117" t="s">
        <v>62</v>
      </c>
      <c r="N71" s="10">
        <v>122</v>
      </c>
      <c r="O71" s="10">
        <v>3</v>
      </c>
      <c r="P71" s="10">
        <v>0</v>
      </c>
    </row>
    <row r="72" spans="4:16" x14ac:dyDescent="0.25">
      <c r="D72" s="109">
        <v>68</v>
      </c>
      <c r="E72" s="10">
        <v>118</v>
      </c>
      <c r="F72" s="10">
        <v>3</v>
      </c>
      <c r="G72" s="10">
        <v>0</v>
      </c>
      <c r="H72" s="5" t="str">
        <f t="shared" si="3"/>
        <v>det_118</v>
      </c>
      <c r="I72" s="5" t="str">
        <f t="shared" si="4"/>
        <v>W:\Performance Measurement\1. Freeway\1. raw data\2017\data files\det_118.txt</v>
      </c>
      <c r="J72" s="5" t="str">
        <f t="shared" si="5"/>
        <v>W:\Performance Measurement\1. Freeway\1. raw data\2017\data files\det_118.xlsx</v>
      </c>
      <c r="K72" s="5"/>
      <c r="M72" s="117" t="s">
        <v>62</v>
      </c>
      <c r="N72" s="10">
        <v>118</v>
      </c>
      <c r="O72" s="10">
        <v>3</v>
      </c>
      <c r="P72" s="10">
        <v>0</v>
      </c>
    </row>
    <row r="73" spans="4:16" x14ac:dyDescent="0.25">
      <c r="D73" s="109">
        <v>69</v>
      </c>
      <c r="E73" s="10">
        <v>114</v>
      </c>
      <c r="F73" s="10">
        <v>3</v>
      </c>
      <c r="G73" s="10">
        <v>0</v>
      </c>
      <c r="H73" s="5" t="str">
        <f t="shared" si="3"/>
        <v>det_114</v>
      </c>
      <c r="I73" s="5" t="str">
        <f t="shared" si="4"/>
        <v>W:\Performance Measurement\1. Freeway\1. raw data\2017\data files\det_114.txt</v>
      </c>
      <c r="J73" s="5" t="str">
        <f t="shared" si="5"/>
        <v>W:\Performance Measurement\1. Freeway\1. raw data\2017\data files\det_114.xlsx</v>
      </c>
      <c r="K73" s="5"/>
      <c r="M73" s="117" t="s">
        <v>62</v>
      </c>
      <c r="N73" s="10">
        <v>114</v>
      </c>
      <c r="O73" s="10">
        <v>3</v>
      </c>
      <c r="P73" s="10">
        <v>0</v>
      </c>
    </row>
    <row r="74" spans="4:16" x14ac:dyDescent="0.25">
      <c r="D74" s="109">
        <v>70</v>
      </c>
      <c r="E74" s="10">
        <v>108</v>
      </c>
      <c r="F74" s="10">
        <v>3</v>
      </c>
      <c r="G74" s="10">
        <v>0</v>
      </c>
      <c r="H74" s="5" t="str">
        <f t="shared" si="3"/>
        <v>det_108</v>
      </c>
      <c r="I74" s="5" t="str">
        <f t="shared" si="4"/>
        <v>W:\Performance Measurement\1. Freeway\1. raw data\2017\data files\det_108.txt</v>
      </c>
      <c r="J74" s="5" t="str">
        <f t="shared" si="5"/>
        <v>W:\Performance Measurement\1. Freeway\1. raw data\2017\data files\det_108.xlsx</v>
      </c>
      <c r="K74" s="5"/>
      <c r="M74" s="117" t="s">
        <v>62</v>
      </c>
      <c r="N74" s="10">
        <v>108</v>
      </c>
      <c r="O74" s="10">
        <v>3</v>
      </c>
      <c r="P74" s="10">
        <v>0</v>
      </c>
    </row>
    <row r="75" spans="4:16" x14ac:dyDescent="0.25">
      <c r="D75" s="109">
        <v>71</v>
      </c>
      <c r="E75" s="10">
        <v>103</v>
      </c>
      <c r="F75" s="10">
        <v>3</v>
      </c>
      <c r="G75" s="10">
        <v>0</v>
      </c>
      <c r="H75" s="5" t="str">
        <f t="shared" si="3"/>
        <v>det_103</v>
      </c>
      <c r="I75" s="5" t="str">
        <f t="shared" si="4"/>
        <v>W:\Performance Measurement\1. Freeway\1. raw data\2017\data files\det_103.txt</v>
      </c>
      <c r="J75" s="5" t="str">
        <f t="shared" si="5"/>
        <v>W:\Performance Measurement\1. Freeway\1. raw data\2017\data files\det_103.xlsx</v>
      </c>
      <c r="K75" s="5"/>
      <c r="M75" s="117" t="s">
        <v>62</v>
      </c>
      <c r="N75" s="10">
        <v>103</v>
      </c>
      <c r="O75" s="10">
        <v>3</v>
      </c>
      <c r="P75" s="10">
        <v>0</v>
      </c>
    </row>
    <row r="76" spans="4:16" x14ac:dyDescent="0.25">
      <c r="D76" s="109">
        <v>72</v>
      </c>
      <c r="E76" s="10">
        <v>97</v>
      </c>
      <c r="F76" s="10">
        <v>3</v>
      </c>
      <c r="G76" s="10">
        <v>0</v>
      </c>
      <c r="H76" s="5" t="str">
        <f t="shared" si="3"/>
        <v>det_97</v>
      </c>
      <c r="I76" s="5" t="str">
        <f t="shared" si="4"/>
        <v>W:\Performance Measurement\1. Freeway\1. raw data\2017\data files\det_97.txt</v>
      </c>
      <c r="J76" s="5" t="str">
        <f t="shared" si="5"/>
        <v>W:\Performance Measurement\1. Freeway\1. raw data\2017\data files\det_97.xlsx</v>
      </c>
      <c r="K76" s="5"/>
      <c r="M76" s="117" t="s">
        <v>62</v>
      </c>
      <c r="N76" s="10">
        <v>97</v>
      </c>
      <c r="O76" s="10">
        <v>3</v>
      </c>
      <c r="P76" s="10">
        <v>0</v>
      </c>
    </row>
    <row r="77" spans="4:16" x14ac:dyDescent="0.25">
      <c r="D77" s="109">
        <v>73</v>
      </c>
      <c r="E77" s="10">
        <v>36</v>
      </c>
      <c r="F77" s="10">
        <v>3</v>
      </c>
      <c r="G77" s="10">
        <v>0</v>
      </c>
      <c r="H77" s="5" t="str">
        <f t="shared" si="3"/>
        <v>det_36</v>
      </c>
      <c r="I77" s="5" t="str">
        <f t="shared" si="4"/>
        <v>W:\Performance Measurement\1. Freeway\1. raw data\2017\data files\det_36.txt</v>
      </c>
      <c r="J77" s="5" t="str">
        <f t="shared" si="5"/>
        <v>W:\Performance Measurement\1. Freeway\1. raw data\2017\data files\det_36.xlsx</v>
      </c>
      <c r="K77" s="5"/>
      <c r="M77" s="117" t="s">
        <v>62</v>
      </c>
      <c r="N77" s="10">
        <v>36</v>
      </c>
      <c r="O77" s="10">
        <v>3</v>
      </c>
      <c r="P77" s="10">
        <v>0</v>
      </c>
    </row>
    <row r="78" spans="4:16" x14ac:dyDescent="0.25">
      <c r="D78" s="109">
        <v>74</v>
      </c>
      <c r="E78" s="10">
        <v>161</v>
      </c>
      <c r="F78" s="10">
        <v>2</v>
      </c>
      <c r="G78" s="10">
        <v>0</v>
      </c>
      <c r="H78" s="5" t="str">
        <f t="shared" si="3"/>
        <v>det_161</v>
      </c>
      <c r="I78" s="5" t="str">
        <f t="shared" si="4"/>
        <v>W:\Performance Measurement\1. Freeway\1. raw data\2017\data files\det_161.txt</v>
      </c>
      <c r="J78" s="5" t="str">
        <f t="shared" si="5"/>
        <v>W:\Performance Measurement\1. Freeway\1. raw data\2017\data files\det_161.xlsx</v>
      </c>
      <c r="K78" s="5"/>
      <c r="M78" s="117" t="s">
        <v>63</v>
      </c>
      <c r="N78" s="10">
        <v>161</v>
      </c>
      <c r="O78" s="10">
        <v>2</v>
      </c>
      <c r="P78" s="10">
        <v>0</v>
      </c>
    </row>
    <row r="79" spans="4:16" x14ac:dyDescent="0.25">
      <c r="D79" s="109">
        <v>75</v>
      </c>
      <c r="E79" s="10">
        <v>162</v>
      </c>
      <c r="F79" s="10">
        <v>4</v>
      </c>
      <c r="G79" s="10">
        <v>1</v>
      </c>
      <c r="H79" s="5" t="str">
        <f t="shared" si="3"/>
        <v>det_162</v>
      </c>
      <c r="I79" s="5" t="str">
        <f t="shared" si="4"/>
        <v>W:\Performance Measurement\1. Freeway\1. raw data\2017\data files\det_162.txt</v>
      </c>
      <c r="J79" s="5" t="str">
        <f t="shared" si="5"/>
        <v>W:\Performance Measurement\1. Freeway\1. raw data\2017\data files\det_162.xlsx</v>
      </c>
      <c r="K79" s="5"/>
      <c r="M79" s="117" t="s">
        <v>63</v>
      </c>
      <c r="N79" s="10">
        <v>162</v>
      </c>
      <c r="O79" s="10">
        <v>4</v>
      </c>
      <c r="P79" s="10">
        <v>1</v>
      </c>
    </row>
    <row r="80" spans="4:16" x14ac:dyDescent="0.25">
      <c r="D80" s="109">
        <v>76</v>
      </c>
      <c r="E80" s="10">
        <v>337</v>
      </c>
      <c r="F80" s="10">
        <v>3</v>
      </c>
      <c r="G80" s="10">
        <v>1</v>
      </c>
      <c r="H80" s="5" t="str">
        <f t="shared" si="3"/>
        <v>det_337</v>
      </c>
      <c r="I80" s="5" t="str">
        <f t="shared" si="4"/>
        <v>W:\Performance Measurement\1. Freeway\1. raw data\2017\data files\det_337.txt</v>
      </c>
      <c r="J80" s="5" t="str">
        <f t="shared" si="5"/>
        <v>W:\Performance Measurement\1. Freeway\1. raw data\2017\data files\det_337.xlsx</v>
      </c>
      <c r="K80" s="5"/>
      <c r="M80" s="117" t="s">
        <v>63</v>
      </c>
      <c r="N80" s="10">
        <v>337</v>
      </c>
      <c r="O80" s="10">
        <v>3</v>
      </c>
      <c r="P80" s="10">
        <v>1</v>
      </c>
    </row>
    <row r="81" spans="4:16" x14ac:dyDescent="0.25">
      <c r="D81" s="109">
        <v>77</v>
      </c>
      <c r="E81" s="10">
        <v>340</v>
      </c>
      <c r="F81" s="10">
        <v>3</v>
      </c>
      <c r="G81" s="10">
        <v>1</v>
      </c>
      <c r="H81" s="5" t="str">
        <f t="shared" si="3"/>
        <v>det_340</v>
      </c>
      <c r="I81" s="5" t="str">
        <f t="shared" si="4"/>
        <v>W:\Performance Measurement\1. Freeway\1. raw data\2017\data files\det_340.txt</v>
      </c>
      <c r="J81" s="5" t="str">
        <f t="shared" si="5"/>
        <v>W:\Performance Measurement\1. Freeway\1. raw data\2017\data files\det_340.xlsx</v>
      </c>
      <c r="K81" s="5"/>
      <c r="M81" s="117" t="s">
        <v>63</v>
      </c>
      <c r="N81" s="10">
        <v>340</v>
      </c>
      <c r="O81" s="10">
        <v>3</v>
      </c>
      <c r="P81" s="10">
        <v>1</v>
      </c>
    </row>
    <row r="82" spans="4:16" x14ac:dyDescent="0.25">
      <c r="D82" s="109">
        <v>78</v>
      </c>
      <c r="E82" s="10">
        <v>343</v>
      </c>
      <c r="F82" s="10">
        <v>3</v>
      </c>
      <c r="G82" s="10">
        <v>1</v>
      </c>
      <c r="H82" s="5" t="str">
        <f t="shared" si="3"/>
        <v>det_343</v>
      </c>
      <c r="I82" s="5" t="str">
        <f t="shared" si="4"/>
        <v>W:\Performance Measurement\1. Freeway\1. raw data\2017\data files\det_343.txt</v>
      </c>
      <c r="J82" s="5" t="str">
        <f t="shared" si="5"/>
        <v>W:\Performance Measurement\1. Freeway\1. raw data\2017\data files\det_343.xlsx</v>
      </c>
      <c r="K82" s="5"/>
      <c r="M82" s="117" t="s">
        <v>63</v>
      </c>
      <c r="N82" s="10">
        <v>343</v>
      </c>
      <c r="O82" s="10">
        <v>3</v>
      </c>
      <c r="P82" s="10">
        <v>1</v>
      </c>
    </row>
    <row r="83" spans="4:16" x14ac:dyDescent="0.25">
      <c r="D83" s="109">
        <v>79</v>
      </c>
      <c r="E83" s="10">
        <v>346</v>
      </c>
      <c r="F83" s="10">
        <v>3</v>
      </c>
      <c r="G83" s="10">
        <v>1</v>
      </c>
      <c r="H83" s="5" t="str">
        <f t="shared" si="3"/>
        <v>det_346</v>
      </c>
      <c r="I83" s="5" t="str">
        <f t="shared" si="4"/>
        <v>W:\Performance Measurement\1. Freeway\1. raw data\2017\data files\det_346.txt</v>
      </c>
      <c r="J83" s="5" t="str">
        <f t="shared" si="5"/>
        <v>W:\Performance Measurement\1. Freeway\1. raw data\2017\data files\det_346.xlsx</v>
      </c>
      <c r="K83" s="5"/>
      <c r="M83" s="117" t="s">
        <v>63</v>
      </c>
      <c r="N83" s="10">
        <v>346</v>
      </c>
      <c r="O83" s="10">
        <v>3</v>
      </c>
      <c r="P83" s="10">
        <v>1</v>
      </c>
    </row>
    <row r="84" spans="4:16" x14ac:dyDescent="0.25">
      <c r="D84" s="109">
        <v>80</v>
      </c>
      <c r="E84" s="10">
        <v>349</v>
      </c>
      <c r="F84" s="10">
        <v>3</v>
      </c>
      <c r="G84" s="10">
        <v>1</v>
      </c>
      <c r="H84" s="5" t="str">
        <f t="shared" si="3"/>
        <v>det_349</v>
      </c>
      <c r="I84" s="5" t="str">
        <f t="shared" si="4"/>
        <v>W:\Performance Measurement\1. Freeway\1. raw data\2017\data files\det_349.txt</v>
      </c>
      <c r="J84" s="5" t="str">
        <f t="shared" si="5"/>
        <v>W:\Performance Measurement\1. Freeway\1. raw data\2017\data files\det_349.xlsx</v>
      </c>
      <c r="K84" s="5"/>
      <c r="M84" s="117" t="s">
        <v>63</v>
      </c>
      <c r="N84" s="10">
        <v>349</v>
      </c>
      <c r="O84" s="10">
        <v>3</v>
      </c>
      <c r="P84" s="10">
        <v>1</v>
      </c>
    </row>
    <row r="85" spans="4:16" x14ac:dyDescent="0.25">
      <c r="D85" s="109">
        <v>81</v>
      </c>
      <c r="E85" s="10">
        <v>352</v>
      </c>
      <c r="F85" s="10">
        <v>3</v>
      </c>
      <c r="G85" s="10">
        <v>1</v>
      </c>
      <c r="H85" s="5" t="str">
        <f t="shared" si="3"/>
        <v>det_352</v>
      </c>
      <c r="I85" s="5" t="str">
        <f t="shared" si="4"/>
        <v>W:\Performance Measurement\1. Freeway\1. raw data\2017\data files\det_352.txt</v>
      </c>
      <c r="J85" s="5" t="str">
        <f t="shared" si="5"/>
        <v>W:\Performance Measurement\1. Freeway\1. raw data\2017\data files\det_352.xlsx</v>
      </c>
      <c r="K85" s="5"/>
      <c r="M85" s="117" t="s">
        <v>63</v>
      </c>
      <c r="N85" s="10">
        <v>352</v>
      </c>
      <c r="O85" s="10">
        <v>3</v>
      </c>
      <c r="P85" s="10">
        <v>1</v>
      </c>
    </row>
    <row r="86" spans="4:16" x14ac:dyDescent="0.25">
      <c r="D86" s="109">
        <v>82</v>
      </c>
      <c r="E86" s="10">
        <v>355</v>
      </c>
      <c r="F86" s="10">
        <v>3</v>
      </c>
      <c r="G86" s="10">
        <v>1</v>
      </c>
      <c r="H86" s="5" t="str">
        <f t="shared" si="3"/>
        <v>det_355</v>
      </c>
      <c r="I86" s="5" t="str">
        <f t="shared" si="4"/>
        <v>W:\Performance Measurement\1. Freeway\1. raw data\2017\data files\det_355.txt</v>
      </c>
      <c r="J86" s="5" t="str">
        <f t="shared" si="5"/>
        <v>W:\Performance Measurement\1. Freeway\1. raw data\2017\data files\det_355.xlsx</v>
      </c>
      <c r="K86" s="5"/>
      <c r="M86" s="117" t="s">
        <v>63</v>
      </c>
      <c r="N86" s="10">
        <v>355</v>
      </c>
      <c r="O86" s="10">
        <v>3</v>
      </c>
      <c r="P86" s="10">
        <v>1</v>
      </c>
    </row>
    <row r="87" spans="4:16" x14ac:dyDescent="0.25">
      <c r="D87" s="109">
        <v>83</v>
      </c>
      <c r="E87" s="10">
        <v>357</v>
      </c>
      <c r="F87" s="10">
        <v>3</v>
      </c>
      <c r="G87" s="10">
        <v>1</v>
      </c>
      <c r="H87" s="5" t="str">
        <f t="shared" si="3"/>
        <v>det_357</v>
      </c>
      <c r="I87" s="5" t="str">
        <f t="shared" si="4"/>
        <v>W:\Performance Measurement\1. Freeway\1. raw data\2017\data files\det_357.txt</v>
      </c>
      <c r="J87" s="5" t="str">
        <f t="shared" si="5"/>
        <v>W:\Performance Measurement\1. Freeway\1. raw data\2017\data files\det_357.xlsx</v>
      </c>
      <c r="K87" s="5"/>
      <c r="M87" s="117" t="s">
        <v>63</v>
      </c>
      <c r="N87" s="10">
        <v>357</v>
      </c>
      <c r="O87" s="10">
        <v>3</v>
      </c>
      <c r="P87" s="10">
        <v>1</v>
      </c>
    </row>
    <row r="88" spans="4:16" x14ac:dyDescent="0.25">
      <c r="D88" s="109">
        <v>84</v>
      </c>
      <c r="E88" s="10">
        <v>358</v>
      </c>
      <c r="F88" s="10">
        <v>3</v>
      </c>
      <c r="G88" s="10">
        <v>1</v>
      </c>
      <c r="H88" s="5" t="str">
        <f t="shared" si="3"/>
        <v>det_358</v>
      </c>
      <c r="I88" s="5" t="str">
        <f t="shared" si="4"/>
        <v>W:\Performance Measurement\1. Freeway\1. raw data\2017\data files\det_358.txt</v>
      </c>
      <c r="J88" s="5" t="str">
        <f t="shared" si="5"/>
        <v>W:\Performance Measurement\1. Freeway\1. raw data\2017\data files\det_358.xlsx</v>
      </c>
      <c r="K88" s="5"/>
      <c r="M88" s="117" t="s">
        <v>63</v>
      </c>
      <c r="N88" s="10">
        <v>358</v>
      </c>
      <c r="O88" s="10">
        <v>3</v>
      </c>
      <c r="P88" s="10">
        <v>1</v>
      </c>
    </row>
    <row r="89" spans="4:16" x14ac:dyDescent="0.25">
      <c r="D89" s="109">
        <v>85</v>
      </c>
      <c r="E89" s="10">
        <v>361</v>
      </c>
      <c r="F89" s="10">
        <v>3</v>
      </c>
      <c r="G89" s="10">
        <v>1</v>
      </c>
      <c r="H89" s="5" t="str">
        <f t="shared" si="3"/>
        <v>det_361</v>
      </c>
      <c r="I89" s="5" t="str">
        <f t="shared" si="4"/>
        <v>W:\Performance Measurement\1. Freeway\1. raw data\2017\data files\det_361.txt</v>
      </c>
      <c r="J89" s="5" t="str">
        <f t="shared" si="5"/>
        <v>W:\Performance Measurement\1. Freeway\1. raw data\2017\data files\det_361.xlsx</v>
      </c>
      <c r="K89" s="5"/>
      <c r="M89" s="117" t="s">
        <v>63</v>
      </c>
      <c r="N89" s="10">
        <v>361</v>
      </c>
      <c r="O89" s="10">
        <v>3</v>
      </c>
      <c r="P89" s="10">
        <v>1</v>
      </c>
    </row>
    <row r="90" spans="4:16" x14ac:dyDescent="0.25">
      <c r="D90" s="109">
        <v>86</v>
      </c>
      <c r="E90" s="10">
        <v>364</v>
      </c>
      <c r="F90" s="10">
        <v>3</v>
      </c>
      <c r="G90" s="10">
        <v>1</v>
      </c>
      <c r="H90" s="5" t="str">
        <f t="shared" si="3"/>
        <v>det_364</v>
      </c>
      <c r="I90" s="5" t="str">
        <f t="shared" si="4"/>
        <v>W:\Performance Measurement\1. Freeway\1. raw data\2017\data files\det_364.txt</v>
      </c>
      <c r="J90" s="5" t="str">
        <f t="shared" si="5"/>
        <v>W:\Performance Measurement\1. Freeway\1. raw data\2017\data files\det_364.xlsx</v>
      </c>
      <c r="K90" s="5"/>
      <c r="M90" s="117" t="s">
        <v>63</v>
      </c>
      <c r="N90" s="10">
        <v>364</v>
      </c>
      <c r="O90" s="10">
        <v>3</v>
      </c>
      <c r="P90" s="10">
        <v>1</v>
      </c>
    </row>
    <row r="91" spans="4:16" x14ac:dyDescent="0.25">
      <c r="D91" s="109">
        <v>87</v>
      </c>
      <c r="E91" s="10">
        <v>367</v>
      </c>
      <c r="F91" s="10">
        <v>3</v>
      </c>
      <c r="G91" s="10">
        <v>1</v>
      </c>
      <c r="H91" s="5" t="str">
        <f t="shared" si="3"/>
        <v>det_367</v>
      </c>
      <c r="I91" s="5" t="str">
        <f t="shared" si="4"/>
        <v>W:\Performance Measurement\1. Freeway\1. raw data\2017\data files\det_367.txt</v>
      </c>
      <c r="J91" s="5" t="str">
        <f t="shared" si="5"/>
        <v>W:\Performance Measurement\1. Freeway\1. raw data\2017\data files\det_367.xlsx</v>
      </c>
      <c r="K91" s="5"/>
      <c r="M91" s="117" t="s">
        <v>63</v>
      </c>
      <c r="N91" s="10">
        <v>367</v>
      </c>
      <c r="O91" s="10">
        <v>3</v>
      </c>
      <c r="P91" s="10">
        <v>1</v>
      </c>
    </row>
    <row r="92" spans="4:16" x14ac:dyDescent="0.25">
      <c r="D92" s="109">
        <v>88</v>
      </c>
      <c r="E92" s="10">
        <v>370</v>
      </c>
      <c r="F92" s="10">
        <v>3</v>
      </c>
      <c r="G92" s="10">
        <v>1</v>
      </c>
      <c r="H92" s="5" t="str">
        <f t="shared" si="3"/>
        <v>det_370</v>
      </c>
      <c r="I92" s="5" t="str">
        <f t="shared" si="4"/>
        <v>W:\Performance Measurement\1. Freeway\1. raw data\2017\data files\det_370.txt</v>
      </c>
      <c r="J92" s="5" t="str">
        <f t="shared" si="5"/>
        <v>W:\Performance Measurement\1. Freeway\1. raw data\2017\data files\det_370.xlsx</v>
      </c>
      <c r="K92" s="5"/>
      <c r="M92" s="117" t="s">
        <v>63</v>
      </c>
      <c r="N92" s="10">
        <v>370</v>
      </c>
      <c r="O92" s="10">
        <v>3</v>
      </c>
      <c r="P92" s="10">
        <v>1</v>
      </c>
    </row>
    <row r="93" spans="4:16" x14ac:dyDescent="0.25">
      <c r="D93" s="109">
        <v>89</v>
      </c>
      <c r="E93" s="10">
        <v>373</v>
      </c>
      <c r="F93" s="10">
        <v>3</v>
      </c>
      <c r="G93" s="10">
        <v>1</v>
      </c>
      <c r="H93" s="5" t="str">
        <f t="shared" si="3"/>
        <v>det_373</v>
      </c>
      <c r="I93" s="5" t="str">
        <f t="shared" si="4"/>
        <v>W:\Performance Measurement\1. Freeway\1. raw data\2017\data files\det_373.txt</v>
      </c>
      <c r="J93" s="5" t="str">
        <f t="shared" si="5"/>
        <v>W:\Performance Measurement\1. Freeway\1. raw data\2017\data files\det_373.xlsx</v>
      </c>
      <c r="K93" s="5"/>
      <c r="M93" s="117" t="s">
        <v>63</v>
      </c>
      <c r="N93" s="10">
        <v>373</v>
      </c>
      <c r="O93" s="10">
        <v>3</v>
      </c>
      <c r="P93" s="10">
        <v>1</v>
      </c>
    </row>
    <row r="94" spans="4:16" x14ac:dyDescent="0.25">
      <c r="D94" s="109">
        <v>90</v>
      </c>
      <c r="E94" s="10">
        <v>376</v>
      </c>
      <c r="F94" s="10">
        <v>3</v>
      </c>
      <c r="G94" s="10">
        <v>1</v>
      </c>
      <c r="H94" s="5" t="str">
        <f t="shared" si="3"/>
        <v>det_376</v>
      </c>
      <c r="I94" s="5" t="str">
        <f t="shared" si="4"/>
        <v>W:\Performance Measurement\1. Freeway\1. raw data\2017\data files\det_376.txt</v>
      </c>
      <c r="J94" s="5" t="str">
        <f t="shared" si="5"/>
        <v>W:\Performance Measurement\1. Freeway\1. raw data\2017\data files\det_376.xlsx</v>
      </c>
      <c r="K94" s="5"/>
      <c r="M94" s="117" t="s">
        <v>63</v>
      </c>
      <c r="N94" s="10">
        <v>376</v>
      </c>
      <c r="O94" s="10">
        <v>3</v>
      </c>
      <c r="P94" s="10">
        <v>1</v>
      </c>
    </row>
    <row r="95" spans="4:16" x14ac:dyDescent="0.25">
      <c r="D95" s="109">
        <v>91</v>
      </c>
      <c r="E95" s="10">
        <v>128</v>
      </c>
      <c r="F95" s="10">
        <v>4</v>
      </c>
      <c r="G95" s="10">
        <v>1</v>
      </c>
      <c r="H95" s="5" t="str">
        <f t="shared" si="3"/>
        <v>det_128</v>
      </c>
      <c r="I95" s="5" t="str">
        <f t="shared" si="4"/>
        <v>W:\Performance Measurement\1. Freeway\1. raw data\2017\data files\det_128.txt</v>
      </c>
      <c r="J95" s="5" t="str">
        <f t="shared" si="5"/>
        <v>W:\Performance Measurement\1. Freeway\1. raw data\2017\data files\det_128.xlsx</v>
      </c>
      <c r="K95" s="5"/>
      <c r="M95" s="117" t="s">
        <v>63</v>
      </c>
      <c r="N95" s="10">
        <v>128</v>
      </c>
      <c r="O95" s="10">
        <v>4</v>
      </c>
      <c r="P95" s="10">
        <v>1</v>
      </c>
    </row>
    <row r="96" spans="4:16" x14ac:dyDescent="0.25">
      <c r="D96" s="109">
        <v>92</v>
      </c>
      <c r="E96" s="10">
        <v>163</v>
      </c>
      <c r="F96" s="10">
        <v>0</v>
      </c>
      <c r="G96" s="10">
        <v>0</v>
      </c>
      <c r="H96" s="5" t="str">
        <f t="shared" si="3"/>
        <v>det_163</v>
      </c>
      <c r="I96" s="5" t="str">
        <f t="shared" si="4"/>
        <v>W:\Performance Measurement\1. Freeway\1. raw data\2017\data files\det_163.txt</v>
      </c>
      <c r="J96" s="5" t="str">
        <f t="shared" si="5"/>
        <v>W:\Performance Measurement\1. Freeway\1. raw data\2017\data files\det_163.xlsx</v>
      </c>
      <c r="K96" s="5"/>
      <c r="M96" s="117" t="s">
        <v>64</v>
      </c>
      <c r="N96" s="10">
        <v>163</v>
      </c>
      <c r="O96" s="10">
        <v>0</v>
      </c>
      <c r="P96" s="10">
        <v>0</v>
      </c>
    </row>
    <row r="97" spans="4:16" x14ac:dyDescent="0.25">
      <c r="D97" s="109">
        <v>93</v>
      </c>
      <c r="E97" s="10">
        <v>203</v>
      </c>
      <c r="F97" s="10">
        <v>4</v>
      </c>
      <c r="G97" s="10">
        <v>1</v>
      </c>
      <c r="H97" s="5" t="str">
        <f t="shared" si="3"/>
        <v>det_203</v>
      </c>
      <c r="I97" s="5" t="str">
        <f t="shared" si="4"/>
        <v>W:\Performance Measurement\1. Freeway\1. raw data\2017\data files\det_203.txt</v>
      </c>
      <c r="J97" s="5" t="str">
        <f t="shared" si="5"/>
        <v>W:\Performance Measurement\1. Freeway\1. raw data\2017\data files\det_203.xlsx</v>
      </c>
      <c r="K97" s="5"/>
      <c r="M97" s="117" t="s">
        <v>64</v>
      </c>
      <c r="N97" s="10">
        <v>203</v>
      </c>
      <c r="O97" s="10">
        <v>4</v>
      </c>
      <c r="P97" s="10">
        <v>1</v>
      </c>
    </row>
    <row r="98" spans="4:16" x14ac:dyDescent="0.25">
      <c r="D98" s="109">
        <v>94</v>
      </c>
      <c r="E98" s="10">
        <v>206</v>
      </c>
      <c r="F98" s="10">
        <v>3</v>
      </c>
      <c r="G98" s="10">
        <v>1</v>
      </c>
      <c r="H98" s="5" t="str">
        <f t="shared" si="3"/>
        <v>det_206</v>
      </c>
      <c r="I98" s="5" t="str">
        <f t="shared" si="4"/>
        <v>W:\Performance Measurement\1. Freeway\1. raw data\2017\data files\det_206.txt</v>
      </c>
      <c r="J98" s="5" t="str">
        <f t="shared" si="5"/>
        <v>W:\Performance Measurement\1. Freeway\1. raw data\2017\data files\det_206.xlsx</v>
      </c>
      <c r="K98" s="5"/>
      <c r="M98" s="117" t="s">
        <v>64</v>
      </c>
      <c r="N98" s="10">
        <v>206</v>
      </c>
      <c r="O98" s="10">
        <v>3</v>
      </c>
      <c r="P98" s="10">
        <v>1</v>
      </c>
    </row>
    <row r="99" spans="4:16" x14ac:dyDescent="0.25">
      <c r="D99" s="109">
        <v>95</v>
      </c>
      <c r="E99" s="10">
        <v>209</v>
      </c>
      <c r="F99" s="10">
        <v>3</v>
      </c>
      <c r="G99" s="10">
        <v>1</v>
      </c>
      <c r="H99" s="5" t="str">
        <f t="shared" si="3"/>
        <v>det_209</v>
      </c>
      <c r="I99" s="5" t="str">
        <f t="shared" si="4"/>
        <v>W:\Performance Measurement\1. Freeway\1. raw data\2017\data files\det_209.txt</v>
      </c>
      <c r="J99" s="5" t="str">
        <f t="shared" si="5"/>
        <v>W:\Performance Measurement\1. Freeway\1. raw data\2017\data files\det_209.xlsx</v>
      </c>
      <c r="K99" s="5"/>
      <c r="M99" s="117" t="s">
        <v>64</v>
      </c>
      <c r="N99" s="10">
        <v>209</v>
      </c>
      <c r="O99" s="10">
        <v>3</v>
      </c>
      <c r="P99" s="10">
        <v>1</v>
      </c>
    </row>
    <row r="100" spans="4:16" x14ac:dyDescent="0.25">
      <c r="D100" s="109">
        <v>96</v>
      </c>
      <c r="E100" s="115">
        <v>212</v>
      </c>
      <c r="F100" s="115">
        <v>3</v>
      </c>
      <c r="G100" s="115">
        <v>1</v>
      </c>
      <c r="H100" s="5" t="str">
        <f t="shared" si="3"/>
        <v>det_212</v>
      </c>
      <c r="I100" s="5" t="str">
        <f t="shared" si="4"/>
        <v>W:\Performance Measurement\1. Freeway\1. raw data\2017\data files\det_212.txt</v>
      </c>
      <c r="J100" s="5" t="str">
        <f t="shared" si="5"/>
        <v>W:\Performance Measurement\1. Freeway\1. raw data\2017\data files\det_212.xlsx</v>
      </c>
      <c r="K100" s="5"/>
      <c r="M100" s="117" t="s">
        <v>64</v>
      </c>
      <c r="N100" s="115">
        <v>212</v>
      </c>
      <c r="O100" s="115">
        <v>3</v>
      </c>
      <c r="P100" s="115">
        <v>1</v>
      </c>
    </row>
    <row r="101" spans="4:16" x14ac:dyDescent="0.25">
      <c r="D101" s="109">
        <v>97</v>
      </c>
      <c r="E101" s="10">
        <v>214</v>
      </c>
      <c r="F101" s="10">
        <v>3</v>
      </c>
      <c r="G101" s="10">
        <v>1</v>
      </c>
      <c r="H101" s="5" t="str">
        <f t="shared" si="3"/>
        <v>det_214</v>
      </c>
      <c r="I101" s="5" t="str">
        <f t="shared" si="4"/>
        <v>W:\Performance Measurement\1. Freeway\1. raw data\2017\data files\det_214.txt</v>
      </c>
      <c r="J101" s="5" t="str">
        <f t="shared" si="5"/>
        <v>W:\Performance Measurement\1. Freeway\1. raw data\2017\data files\det_214.xlsx</v>
      </c>
      <c r="K101" s="5"/>
      <c r="M101" s="117" t="s">
        <v>64</v>
      </c>
      <c r="N101" s="10">
        <v>214</v>
      </c>
      <c r="O101" s="10">
        <v>3</v>
      </c>
      <c r="P101" s="10">
        <v>1</v>
      </c>
    </row>
    <row r="102" spans="4:16" x14ac:dyDescent="0.25">
      <c r="D102" s="109">
        <v>98</v>
      </c>
      <c r="E102" s="10">
        <v>201</v>
      </c>
      <c r="F102" s="10">
        <v>3</v>
      </c>
      <c r="G102" s="10">
        <v>1</v>
      </c>
      <c r="H102" s="5" t="str">
        <f t="shared" si="3"/>
        <v>det_201</v>
      </c>
      <c r="I102" s="5" t="str">
        <f t="shared" si="4"/>
        <v>W:\Performance Measurement\1. Freeway\1. raw data\2017\data files\det_201.txt</v>
      </c>
      <c r="J102" s="5" t="str">
        <f t="shared" si="5"/>
        <v>W:\Performance Measurement\1. Freeway\1. raw data\2017\data files\det_201.xlsx</v>
      </c>
      <c r="K102" s="5"/>
      <c r="M102" s="117" t="s">
        <v>64</v>
      </c>
      <c r="N102" s="10">
        <v>201</v>
      </c>
      <c r="O102" s="10">
        <v>3</v>
      </c>
      <c r="P102" s="10">
        <v>1</v>
      </c>
    </row>
    <row r="103" spans="4:16" x14ac:dyDescent="0.25">
      <c r="D103" s="109">
        <v>99</v>
      </c>
      <c r="E103" s="10">
        <v>198</v>
      </c>
      <c r="F103" s="10">
        <v>3</v>
      </c>
      <c r="G103" s="10">
        <v>1</v>
      </c>
      <c r="H103" s="5" t="str">
        <f t="shared" si="3"/>
        <v>det_198</v>
      </c>
      <c r="I103" s="5" t="str">
        <f t="shared" si="4"/>
        <v>W:\Performance Measurement\1. Freeway\1. raw data\2017\data files\det_198.txt</v>
      </c>
      <c r="J103" s="5" t="str">
        <f t="shared" si="5"/>
        <v>W:\Performance Measurement\1. Freeway\1. raw data\2017\data files\det_198.xlsx</v>
      </c>
      <c r="K103" s="5"/>
      <c r="M103" s="117" t="s">
        <v>64</v>
      </c>
      <c r="N103" s="10">
        <v>198</v>
      </c>
      <c r="O103" s="10">
        <v>3</v>
      </c>
      <c r="P103" s="10">
        <v>1</v>
      </c>
    </row>
    <row r="104" spans="4:16" x14ac:dyDescent="0.25">
      <c r="D104" s="109">
        <v>100</v>
      </c>
      <c r="E104" s="10">
        <v>195</v>
      </c>
      <c r="F104" s="10">
        <v>3</v>
      </c>
      <c r="G104" s="10">
        <v>1</v>
      </c>
      <c r="H104" s="5" t="str">
        <f t="shared" si="3"/>
        <v>det_195</v>
      </c>
      <c r="I104" s="5" t="str">
        <f t="shared" si="4"/>
        <v>W:\Performance Measurement\1. Freeway\1. raw data\2017\data files\det_195.txt</v>
      </c>
      <c r="J104" s="5" t="str">
        <f t="shared" si="5"/>
        <v>W:\Performance Measurement\1. Freeway\1. raw data\2017\data files\det_195.xlsx</v>
      </c>
      <c r="K104" s="5"/>
      <c r="M104" s="117" t="s">
        <v>64</v>
      </c>
      <c r="N104" s="10">
        <v>195</v>
      </c>
      <c r="O104" s="10">
        <v>3</v>
      </c>
      <c r="P104" s="10">
        <v>1</v>
      </c>
    </row>
    <row r="105" spans="4:16" x14ac:dyDescent="0.25">
      <c r="D105" s="109">
        <v>101</v>
      </c>
      <c r="E105" s="10">
        <v>193</v>
      </c>
      <c r="F105" s="10">
        <v>3</v>
      </c>
      <c r="G105" s="10">
        <v>1</v>
      </c>
      <c r="H105" s="5" t="str">
        <f t="shared" si="3"/>
        <v>det_193</v>
      </c>
      <c r="I105" s="5" t="str">
        <f t="shared" si="4"/>
        <v>W:\Performance Measurement\1. Freeway\1. raw data\2017\data files\det_193.txt</v>
      </c>
      <c r="J105" s="5" t="str">
        <f t="shared" si="5"/>
        <v>W:\Performance Measurement\1. Freeway\1. raw data\2017\data files\det_193.xlsx</v>
      </c>
      <c r="K105" s="5"/>
      <c r="M105" s="117" t="s">
        <v>64</v>
      </c>
      <c r="N105" s="10">
        <v>193</v>
      </c>
      <c r="O105" s="10">
        <v>3</v>
      </c>
      <c r="P105" s="10">
        <v>1</v>
      </c>
    </row>
    <row r="106" spans="4:16" x14ac:dyDescent="0.25">
      <c r="D106" s="109">
        <v>102</v>
      </c>
      <c r="E106" s="10">
        <v>190</v>
      </c>
      <c r="F106" s="10">
        <v>3</v>
      </c>
      <c r="G106" s="10">
        <v>1</v>
      </c>
      <c r="H106" s="5" t="str">
        <f t="shared" si="3"/>
        <v>det_190</v>
      </c>
      <c r="I106" s="5" t="str">
        <f t="shared" si="4"/>
        <v>W:\Performance Measurement\1. Freeway\1. raw data\2017\data files\det_190.txt</v>
      </c>
      <c r="J106" s="5" t="str">
        <f t="shared" si="5"/>
        <v>W:\Performance Measurement\1. Freeway\1. raw data\2017\data files\det_190.xlsx</v>
      </c>
      <c r="K106" s="5"/>
      <c r="M106" s="117" t="s">
        <v>64</v>
      </c>
      <c r="N106" s="10">
        <v>190</v>
      </c>
      <c r="O106" s="10">
        <v>3</v>
      </c>
      <c r="P106" s="10">
        <v>1</v>
      </c>
    </row>
    <row r="107" spans="4:16" x14ac:dyDescent="0.25">
      <c r="D107" s="109">
        <v>103</v>
      </c>
      <c r="E107" s="10">
        <v>130</v>
      </c>
      <c r="F107" s="10">
        <v>2</v>
      </c>
      <c r="G107" s="10">
        <v>1</v>
      </c>
      <c r="H107" s="5" t="str">
        <f t="shared" si="3"/>
        <v>det_130</v>
      </c>
      <c r="I107" s="5" t="str">
        <f t="shared" si="4"/>
        <v>W:\Performance Measurement\1. Freeway\1. raw data\2017\data files\det_130.txt</v>
      </c>
      <c r="J107" s="5" t="str">
        <f t="shared" si="5"/>
        <v>W:\Performance Measurement\1. Freeway\1. raw data\2017\data files\det_130.xlsx</v>
      </c>
      <c r="K107" s="5"/>
      <c r="M107" s="117" t="s">
        <v>64</v>
      </c>
      <c r="N107" s="10">
        <v>130</v>
      </c>
      <c r="O107" s="10">
        <v>2</v>
      </c>
      <c r="P107" s="10">
        <v>1</v>
      </c>
    </row>
    <row r="108" spans="4:16" x14ac:dyDescent="0.25">
      <c r="D108" s="109">
        <v>104</v>
      </c>
      <c r="E108" s="10">
        <v>313</v>
      </c>
      <c r="F108" s="10">
        <v>3</v>
      </c>
      <c r="G108" s="10">
        <v>1</v>
      </c>
      <c r="H108" s="5" t="str">
        <f t="shared" si="3"/>
        <v>det_313</v>
      </c>
      <c r="I108" s="5" t="str">
        <f t="shared" si="4"/>
        <v>W:\Performance Measurement\1. Freeway\1. raw data\2017\data files\det_313.txt</v>
      </c>
      <c r="J108" s="5" t="str">
        <f t="shared" si="5"/>
        <v>W:\Performance Measurement\1. Freeway\1. raw data\2017\data files\det_313.xlsx</v>
      </c>
      <c r="K108" s="5"/>
      <c r="M108" s="117" t="s">
        <v>65</v>
      </c>
      <c r="N108" s="10">
        <v>313</v>
      </c>
      <c r="O108" s="10">
        <v>3</v>
      </c>
      <c r="P108" s="10">
        <v>1</v>
      </c>
    </row>
    <row r="109" spans="4:16" x14ac:dyDescent="0.25">
      <c r="D109" s="109">
        <v>105</v>
      </c>
      <c r="E109" s="10">
        <v>316</v>
      </c>
      <c r="F109" s="10">
        <v>4</v>
      </c>
      <c r="G109" s="10">
        <v>1</v>
      </c>
      <c r="H109" s="5" t="str">
        <f t="shared" si="3"/>
        <v>det_316</v>
      </c>
      <c r="I109" s="5" t="str">
        <f t="shared" si="4"/>
        <v>W:\Performance Measurement\1. Freeway\1. raw data\2017\data files\det_316.txt</v>
      </c>
      <c r="J109" s="5" t="str">
        <f t="shared" si="5"/>
        <v>W:\Performance Measurement\1. Freeway\1. raw data\2017\data files\det_316.xlsx</v>
      </c>
      <c r="K109" s="5"/>
      <c r="M109" s="117" t="s">
        <v>65</v>
      </c>
      <c r="N109" s="10">
        <v>316</v>
      </c>
      <c r="O109" s="10">
        <v>4</v>
      </c>
      <c r="P109" s="10">
        <v>1</v>
      </c>
    </row>
    <row r="110" spans="4:16" x14ac:dyDescent="0.25">
      <c r="D110" s="109">
        <v>106</v>
      </c>
      <c r="E110" s="10">
        <v>318</v>
      </c>
      <c r="F110" s="10">
        <v>4</v>
      </c>
      <c r="G110" s="10">
        <v>1</v>
      </c>
      <c r="H110" s="5" t="str">
        <f t="shared" si="3"/>
        <v>det_318</v>
      </c>
      <c r="I110" s="5" t="str">
        <f t="shared" si="4"/>
        <v>W:\Performance Measurement\1. Freeway\1. raw data\2017\data files\det_318.txt</v>
      </c>
      <c r="J110" s="5" t="str">
        <f t="shared" si="5"/>
        <v>W:\Performance Measurement\1. Freeway\1. raw data\2017\data files\det_318.xlsx</v>
      </c>
      <c r="K110" s="5"/>
      <c r="M110" s="117" t="s">
        <v>65</v>
      </c>
      <c r="N110" s="10">
        <v>318</v>
      </c>
      <c r="O110" s="10">
        <v>4</v>
      </c>
      <c r="P110" s="10">
        <v>1</v>
      </c>
    </row>
    <row r="111" spans="4:16" x14ac:dyDescent="0.25">
      <c r="D111" s="109">
        <v>107</v>
      </c>
      <c r="E111" s="10">
        <v>321</v>
      </c>
      <c r="F111" s="10">
        <v>5</v>
      </c>
      <c r="G111" s="10">
        <v>1</v>
      </c>
      <c r="H111" s="5" t="str">
        <f t="shared" si="3"/>
        <v>det_321</v>
      </c>
      <c r="I111" s="5" t="str">
        <f t="shared" si="4"/>
        <v>W:\Performance Measurement\1. Freeway\1. raw data\2017\data files\det_321.txt</v>
      </c>
      <c r="J111" s="5" t="str">
        <f t="shared" si="5"/>
        <v>W:\Performance Measurement\1. Freeway\1. raw data\2017\data files\det_321.xlsx</v>
      </c>
      <c r="K111" s="5"/>
      <c r="M111" s="117" t="s">
        <v>65</v>
      </c>
      <c r="N111" s="10">
        <v>321</v>
      </c>
      <c r="O111" s="10">
        <v>5</v>
      </c>
      <c r="P111" s="10">
        <v>1</v>
      </c>
    </row>
    <row r="112" spans="4:16" x14ac:dyDescent="0.25">
      <c r="D112" s="109">
        <v>108</v>
      </c>
      <c r="E112" s="10">
        <v>323</v>
      </c>
      <c r="F112" s="10">
        <v>4</v>
      </c>
      <c r="G112" s="10">
        <v>1</v>
      </c>
      <c r="H112" s="5" t="str">
        <f t="shared" si="3"/>
        <v>det_323</v>
      </c>
      <c r="I112" s="5" t="str">
        <f t="shared" si="4"/>
        <v>W:\Performance Measurement\1. Freeway\1. raw data\2017\data files\det_323.txt</v>
      </c>
      <c r="J112" s="5" t="str">
        <f t="shared" si="5"/>
        <v>W:\Performance Measurement\1. Freeway\1. raw data\2017\data files\det_323.xlsx</v>
      </c>
      <c r="K112" s="5"/>
      <c r="M112" s="117" t="s">
        <v>65</v>
      </c>
      <c r="N112" s="10">
        <v>323</v>
      </c>
      <c r="O112" s="10">
        <v>4</v>
      </c>
      <c r="P112" s="10">
        <v>1</v>
      </c>
    </row>
    <row r="113" spans="4:16" x14ac:dyDescent="0.25">
      <c r="D113" s="109">
        <v>109</v>
      </c>
      <c r="E113" s="10">
        <v>325</v>
      </c>
      <c r="F113" s="10">
        <v>3</v>
      </c>
      <c r="G113" s="10">
        <v>1</v>
      </c>
      <c r="H113" s="5" t="str">
        <f t="shared" si="3"/>
        <v>det_325</v>
      </c>
      <c r="I113" s="5" t="str">
        <f t="shared" si="4"/>
        <v>W:\Performance Measurement\1. Freeway\1. raw data\2017\data files\det_325.txt</v>
      </c>
      <c r="J113" s="5" t="str">
        <f t="shared" si="5"/>
        <v>W:\Performance Measurement\1. Freeway\1. raw data\2017\data files\det_325.xlsx</v>
      </c>
      <c r="K113" s="5"/>
      <c r="M113" s="117" t="s">
        <v>65</v>
      </c>
      <c r="N113" s="10">
        <v>325</v>
      </c>
      <c r="O113" s="10">
        <v>3</v>
      </c>
      <c r="P113" s="10">
        <v>1</v>
      </c>
    </row>
    <row r="114" spans="4:16" x14ac:dyDescent="0.25">
      <c r="D114" s="109">
        <v>110</v>
      </c>
      <c r="E114" s="10">
        <v>328</v>
      </c>
      <c r="F114" s="10">
        <v>3</v>
      </c>
      <c r="G114" s="10">
        <v>1</v>
      </c>
      <c r="H114" s="5" t="str">
        <f t="shared" si="3"/>
        <v>det_328</v>
      </c>
      <c r="I114" s="5" t="str">
        <f t="shared" si="4"/>
        <v>W:\Performance Measurement\1. Freeway\1. raw data\2017\data files\det_328.txt</v>
      </c>
      <c r="J114" s="5" t="str">
        <f t="shared" si="5"/>
        <v>W:\Performance Measurement\1. Freeway\1. raw data\2017\data files\det_328.xlsx</v>
      </c>
      <c r="K114" s="5"/>
      <c r="M114" s="117" t="s">
        <v>65</v>
      </c>
      <c r="N114" s="10">
        <v>328</v>
      </c>
      <c r="O114" s="10">
        <v>3</v>
      </c>
      <c r="P114" s="10">
        <v>1</v>
      </c>
    </row>
    <row r="115" spans="4:16" x14ac:dyDescent="0.25">
      <c r="D115" s="109">
        <v>111</v>
      </c>
      <c r="E115" s="10">
        <v>331</v>
      </c>
      <c r="F115" s="10">
        <v>3</v>
      </c>
      <c r="G115" s="10">
        <v>1</v>
      </c>
      <c r="H115" s="5" t="str">
        <f t="shared" si="3"/>
        <v>det_331</v>
      </c>
      <c r="I115" s="5" t="str">
        <f t="shared" si="4"/>
        <v>W:\Performance Measurement\1. Freeway\1. raw data\2017\data files\det_331.txt</v>
      </c>
      <c r="J115" s="5" t="str">
        <f t="shared" si="5"/>
        <v>W:\Performance Measurement\1. Freeway\1. raw data\2017\data files\det_331.xlsx</v>
      </c>
      <c r="K115" s="5"/>
      <c r="M115" s="117" t="s">
        <v>65</v>
      </c>
      <c r="N115" s="10">
        <v>331</v>
      </c>
      <c r="O115" s="10">
        <v>3</v>
      </c>
      <c r="P115" s="10">
        <v>1</v>
      </c>
    </row>
    <row r="116" spans="4:16" x14ac:dyDescent="0.25">
      <c r="D116" s="109">
        <v>112</v>
      </c>
      <c r="E116" s="10">
        <v>334</v>
      </c>
      <c r="F116" s="10">
        <v>3</v>
      </c>
      <c r="G116" s="10">
        <v>1</v>
      </c>
      <c r="H116" s="5" t="str">
        <f t="shared" si="3"/>
        <v>det_334</v>
      </c>
      <c r="I116" s="5" t="str">
        <f t="shared" si="4"/>
        <v>W:\Performance Measurement\1. Freeway\1. raw data\2017\data files\det_334.txt</v>
      </c>
      <c r="J116" s="5" t="str">
        <f t="shared" si="5"/>
        <v>W:\Performance Measurement\1. Freeway\1. raw data\2017\data files\det_334.xlsx</v>
      </c>
      <c r="K116" s="5"/>
      <c r="M116" s="117" t="s">
        <v>65</v>
      </c>
      <c r="N116" s="10">
        <v>334</v>
      </c>
      <c r="O116" s="10">
        <v>3</v>
      </c>
      <c r="P116" s="10">
        <v>1</v>
      </c>
    </row>
    <row r="117" spans="4:16" x14ac:dyDescent="0.25">
      <c r="D117" s="109">
        <v>113</v>
      </c>
      <c r="E117" s="10">
        <v>336</v>
      </c>
      <c r="F117" s="10">
        <v>3</v>
      </c>
      <c r="G117" s="10">
        <v>1</v>
      </c>
      <c r="H117" s="5" t="str">
        <f t="shared" si="3"/>
        <v>det_336</v>
      </c>
      <c r="I117" s="5" t="str">
        <f t="shared" si="4"/>
        <v>W:\Performance Measurement\1. Freeway\1. raw data\2017\data files\det_336.txt</v>
      </c>
      <c r="J117" s="5" t="str">
        <f t="shared" si="5"/>
        <v>W:\Performance Measurement\1. Freeway\1. raw data\2017\data files\det_336.xlsx</v>
      </c>
      <c r="K117" s="5"/>
      <c r="M117" s="117" t="s">
        <v>65</v>
      </c>
      <c r="N117" s="10">
        <v>336</v>
      </c>
      <c r="O117" s="10">
        <v>3</v>
      </c>
      <c r="P117" s="10">
        <v>1</v>
      </c>
    </row>
    <row r="118" spans="4:16" x14ac:dyDescent="0.25">
      <c r="D118" s="109">
        <v>114</v>
      </c>
      <c r="E118" s="10">
        <v>312</v>
      </c>
      <c r="F118" s="10">
        <v>3</v>
      </c>
      <c r="G118" s="10">
        <v>1</v>
      </c>
      <c r="H118" s="5" t="str">
        <f t="shared" si="3"/>
        <v>det_312</v>
      </c>
      <c r="I118" s="5" t="str">
        <f t="shared" si="4"/>
        <v>W:\Performance Measurement\1. Freeway\1. raw data\2017\data files\det_312.txt</v>
      </c>
      <c r="J118" s="5" t="str">
        <f t="shared" si="5"/>
        <v>W:\Performance Measurement\1. Freeway\1. raw data\2017\data files\det_312.xlsx</v>
      </c>
      <c r="K118" s="5"/>
      <c r="M118" s="117" t="s">
        <v>65</v>
      </c>
      <c r="N118" s="10">
        <v>312</v>
      </c>
      <c r="O118" s="10">
        <v>3</v>
      </c>
      <c r="P118" s="10">
        <v>1</v>
      </c>
    </row>
    <row r="119" spans="4:16" x14ac:dyDescent="0.25">
      <c r="D119" s="109">
        <v>115</v>
      </c>
      <c r="E119" s="10">
        <v>309</v>
      </c>
      <c r="F119" s="10">
        <v>3</v>
      </c>
      <c r="G119" s="10">
        <v>1</v>
      </c>
      <c r="H119" s="5" t="str">
        <f t="shared" si="3"/>
        <v>det_309</v>
      </c>
      <c r="I119" s="5" t="str">
        <f t="shared" si="4"/>
        <v>W:\Performance Measurement\1. Freeway\1. raw data\2017\data files\det_309.txt</v>
      </c>
      <c r="J119" s="5" t="str">
        <f t="shared" si="5"/>
        <v>W:\Performance Measurement\1. Freeway\1. raw data\2017\data files\det_309.xlsx</v>
      </c>
      <c r="K119" s="5"/>
      <c r="M119" s="117" t="s">
        <v>65</v>
      </c>
      <c r="N119" s="10">
        <v>309</v>
      </c>
      <c r="O119" s="10">
        <v>3</v>
      </c>
      <c r="P119" s="10">
        <v>1</v>
      </c>
    </row>
    <row r="120" spans="4:16" x14ac:dyDescent="0.25">
      <c r="D120" s="109">
        <v>116</v>
      </c>
      <c r="E120" s="10">
        <v>306</v>
      </c>
      <c r="F120" s="10">
        <v>3</v>
      </c>
      <c r="G120" s="10">
        <v>1</v>
      </c>
      <c r="H120" s="5" t="str">
        <f t="shared" si="3"/>
        <v>det_306</v>
      </c>
      <c r="I120" s="5" t="str">
        <f t="shared" si="4"/>
        <v>W:\Performance Measurement\1. Freeway\1. raw data\2017\data files\det_306.txt</v>
      </c>
      <c r="J120" s="5" t="str">
        <f t="shared" si="5"/>
        <v>W:\Performance Measurement\1. Freeway\1. raw data\2017\data files\det_306.xlsx</v>
      </c>
      <c r="K120" s="5"/>
      <c r="M120" s="117" t="s">
        <v>65</v>
      </c>
      <c r="N120" s="10">
        <v>306</v>
      </c>
      <c r="O120" s="10">
        <v>3</v>
      </c>
      <c r="P120" s="10">
        <v>1</v>
      </c>
    </row>
    <row r="121" spans="4:16" x14ac:dyDescent="0.25">
      <c r="D121" s="109">
        <v>117</v>
      </c>
      <c r="E121" s="10">
        <v>303</v>
      </c>
      <c r="F121" s="10">
        <v>3</v>
      </c>
      <c r="G121" s="10">
        <v>1</v>
      </c>
      <c r="H121" s="5" t="str">
        <f t="shared" si="3"/>
        <v>det_303</v>
      </c>
      <c r="I121" s="5" t="str">
        <f t="shared" si="4"/>
        <v>W:\Performance Measurement\1. Freeway\1. raw data\2017\data files\det_303.txt</v>
      </c>
      <c r="J121" s="5" t="str">
        <f t="shared" si="5"/>
        <v>W:\Performance Measurement\1. Freeway\1. raw data\2017\data files\det_303.xlsx</v>
      </c>
      <c r="K121" s="5"/>
      <c r="M121" s="117" t="s">
        <v>65</v>
      </c>
      <c r="N121" s="10">
        <v>303</v>
      </c>
      <c r="O121" s="10">
        <v>3</v>
      </c>
      <c r="P121" s="10">
        <v>1</v>
      </c>
    </row>
    <row r="122" spans="4:16" x14ac:dyDescent="0.25">
      <c r="D122" s="109">
        <v>118</v>
      </c>
      <c r="E122" s="10">
        <v>300</v>
      </c>
      <c r="F122" s="10">
        <v>3</v>
      </c>
      <c r="G122" s="10">
        <v>1</v>
      </c>
      <c r="H122" s="5" t="str">
        <f t="shared" si="3"/>
        <v>det_300</v>
      </c>
      <c r="I122" s="5" t="str">
        <f t="shared" si="4"/>
        <v>W:\Performance Measurement\1. Freeway\1. raw data\2017\data files\det_300.txt</v>
      </c>
      <c r="J122" s="5" t="str">
        <f t="shared" si="5"/>
        <v>W:\Performance Measurement\1. Freeway\1. raw data\2017\data files\det_300.xlsx</v>
      </c>
      <c r="K122" s="5"/>
      <c r="M122" s="117" t="s">
        <v>65</v>
      </c>
      <c r="N122" s="10">
        <v>300</v>
      </c>
      <c r="O122" s="10">
        <v>3</v>
      </c>
      <c r="P122" s="10">
        <v>1</v>
      </c>
    </row>
    <row r="123" spans="4:16" x14ac:dyDescent="0.25">
      <c r="D123" s="109">
        <v>119</v>
      </c>
      <c r="E123" s="10">
        <v>299</v>
      </c>
      <c r="F123" s="10">
        <v>4</v>
      </c>
      <c r="G123" s="10">
        <v>1</v>
      </c>
      <c r="H123" s="5" t="str">
        <f t="shared" si="3"/>
        <v>det_299</v>
      </c>
      <c r="I123" s="5" t="str">
        <f t="shared" si="4"/>
        <v>W:\Performance Measurement\1. Freeway\1. raw data\2017\data files\det_299.txt</v>
      </c>
      <c r="J123" s="5" t="str">
        <f t="shared" si="5"/>
        <v>W:\Performance Measurement\1. Freeway\1. raw data\2017\data files\det_299.xlsx</v>
      </c>
      <c r="K123" s="5"/>
      <c r="M123" s="117" t="s">
        <v>65</v>
      </c>
      <c r="N123" s="10">
        <v>299</v>
      </c>
      <c r="O123" s="10">
        <v>4</v>
      </c>
      <c r="P123" s="10">
        <v>1</v>
      </c>
    </row>
    <row r="124" spans="4:16" x14ac:dyDescent="0.25">
      <c r="D124" s="109">
        <v>120</v>
      </c>
      <c r="E124" s="10">
        <v>297</v>
      </c>
      <c r="F124" s="10">
        <v>5</v>
      </c>
      <c r="G124" s="10">
        <v>1</v>
      </c>
      <c r="H124" s="5" t="str">
        <f t="shared" si="3"/>
        <v>det_297</v>
      </c>
      <c r="I124" s="5" t="str">
        <f t="shared" si="4"/>
        <v>W:\Performance Measurement\1. Freeway\1. raw data\2017\data files\det_297.txt</v>
      </c>
      <c r="J124" s="5" t="str">
        <f t="shared" si="5"/>
        <v>W:\Performance Measurement\1. Freeway\1. raw data\2017\data files\det_297.xlsx</v>
      </c>
      <c r="K124" s="5"/>
      <c r="M124" s="117" t="s">
        <v>65</v>
      </c>
      <c r="N124" s="10">
        <v>297</v>
      </c>
      <c r="O124" s="10">
        <v>5</v>
      </c>
      <c r="P124" s="10">
        <v>1</v>
      </c>
    </row>
    <row r="125" spans="4:16" x14ac:dyDescent="0.25">
      <c r="D125" s="109">
        <v>121</v>
      </c>
      <c r="E125" s="10">
        <v>294</v>
      </c>
      <c r="F125" s="10">
        <v>4</v>
      </c>
      <c r="G125" s="10">
        <v>1</v>
      </c>
      <c r="H125" s="5" t="str">
        <f t="shared" si="3"/>
        <v>det_294</v>
      </c>
      <c r="I125" s="5" t="str">
        <f t="shared" si="4"/>
        <v>W:\Performance Measurement\1. Freeway\1. raw data\2017\data files\det_294.txt</v>
      </c>
      <c r="J125" s="5" t="str">
        <f t="shared" si="5"/>
        <v>W:\Performance Measurement\1. Freeway\1. raw data\2017\data files\det_294.xlsx</v>
      </c>
      <c r="K125" s="5"/>
      <c r="M125" s="117" t="s">
        <v>65</v>
      </c>
      <c r="N125" s="10">
        <v>294</v>
      </c>
      <c r="O125" s="10">
        <v>4</v>
      </c>
      <c r="P125" s="10">
        <v>1</v>
      </c>
    </row>
    <row r="126" spans="4:16" x14ac:dyDescent="0.25">
      <c r="D126" s="109">
        <v>122</v>
      </c>
      <c r="E126" s="10">
        <v>292</v>
      </c>
      <c r="F126" s="10">
        <v>4</v>
      </c>
      <c r="G126" s="10">
        <v>1</v>
      </c>
      <c r="H126" s="5" t="str">
        <f t="shared" si="3"/>
        <v>det_292</v>
      </c>
      <c r="I126" s="5" t="str">
        <f t="shared" si="4"/>
        <v>W:\Performance Measurement\1. Freeway\1. raw data\2017\data files\det_292.txt</v>
      </c>
      <c r="J126" s="5" t="str">
        <f t="shared" si="5"/>
        <v>W:\Performance Measurement\1. Freeway\1. raw data\2017\data files\det_292.xlsx</v>
      </c>
      <c r="K126" s="5"/>
      <c r="M126" s="117" t="s">
        <v>65</v>
      </c>
      <c r="N126" s="10">
        <v>292</v>
      </c>
      <c r="O126" s="10">
        <v>4</v>
      </c>
      <c r="P126" s="10">
        <v>1</v>
      </c>
    </row>
    <row r="127" spans="4:16" x14ac:dyDescent="0.25">
      <c r="D127" s="109">
        <v>123</v>
      </c>
      <c r="E127" s="115">
        <v>621</v>
      </c>
      <c r="F127" s="115">
        <v>3</v>
      </c>
      <c r="G127" s="115">
        <v>1</v>
      </c>
      <c r="H127" s="5" t="str">
        <f t="shared" si="3"/>
        <v>det_621</v>
      </c>
      <c r="I127" s="5" t="str">
        <f t="shared" si="4"/>
        <v>W:\Performance Measurement\1. Freeway\1. raw data\2017\data files\det_621.txt</v>
      </c>
      <c r="J127" s="5" t="str">
        <f t="shared" si="5"/>
        <v>W:\Performance Measurement\1. Freeway\1. raw data\2017\data files\det_621.xlsx</v>
      </c>
      <c r="K127" s="5"/>
      <c r="M127" s="117" t="s">
        <v>65</v>
      </c>
      <c r="N127" s="115">
        <v>621</v>
      </c>
      <c r="O127" s="115">
        <v>3</v>
      </c>
      <c r="P127" s="115">
        <v>1</v>
      </c>
    </row>
    <row r="128" spans="4:16" x14ac:dyDescent="0.25">
      <c r="D128" s="109">
        <v>124</v>
      </c>
      <c r="E128" s="115">
        <v>622</v>
      </c>
      <c r="F128" s="115">
        <v>3</v>
      </c>
      <c r="G128" s="115">
        <v>1</v>
      </c>
      <c r="H128" s="5" t="str">
        <f t="shared" si="3"/>
        <v>det_622</v>
      </c>
      <c r="I128" s="5" t="str">
        <f t="shared" si="4"/>
        <v>W:\Performance Measurement\1. Freeway\1. raw data\2017\data files\det_622.txt</v>
      </c>
      <c r="J128" s="5" t="str">
        <f t="shared" si="5"/>
        <v>W:\Performance Measurement\1. Freeway\1. raw data\2017\data files\det_622.xlsx</v>
      </c>
      <c r="K128" s="5"/>
      <c r="M128" s="117" t="s">
        <v>65</v>
      </c>
      <c r="N128" s="115">
        <v>622</v>
      </c>
      <c r="O128" s="115">
        <v>3</v>
      </c>
      <c r="P128" s="115">
        <v>1</v>
      </c>
    </row>
    <row r="129" spans="4:16" x14ac:dyDescent="0.25">
      <c r="D129" s="109">
        <v>125</v>
      </c>
      <c r="E129" s="115">
        <v>623</v>
      </c>
      <c r="F129" s="115">
        <v>3</v>
      </c>
      <c r="G129" s="115">
        <v>1</v>
      </c>
      <c r="H129" s="5" t="str">
        <f t="shared" si="3"/>
        <v>det_623</v>
      </c>
      <c r="I129" s="5" t="str">
        <f t="shared" si="4"/>
        <v>W:\Performance Measurement\1. Freeway\1. raw data\2017\data files\det_623.txt</v>
      </c>
      <c r="J129" s="5" t="str">
        <f t="shared" si="5"/>
        <v>W:\Performance Measurement\1. Freeway\1. raw data\2017\data files\det_623.xlsx</v>
      </c>
      <c r="K129" s="5"/>
      <c r="M129" s="117" t="s">
        <v>65</v>
      </c>
      <c r="N129" s="115">
        <v>623</v>
      </c>
      <c r="O129" s="115">
        <v>3</v>
      </c>
      <c r="P129" s="115">
        <v>1</v>
      </c>
    </row>
    <row r="130" spans="4:16" x14ac:dyDescent="0.25">
      <c r="D130" s="109">
        <v>126</v>
      </c>
      <c r="E130" s="10">
        <v>229</v>
      </c>
      <c r="F130" s="10">
        <v>2</v>
      </c>
      <c r="G130" s="10">
        <v>1</v>
      </c>
      <c r="H130" s="5" t="str">
        <f t="shared" si="3"/>
        <v>det_229</v>
      </c>
      <c r="I130" s="5" t="str">
        <f t="shared" si="4"/>
        <v>W:\Performance Measurement\1. Freeway\1. raw data\2017\data files\det_229.txt</v>
      </c>
      <c r="J130" s="5" t="str">
        <f t="shared" si="5"/>
        <v>W:\Performance Measurement\1. Freeway\1. raw data\2017\data files\det_229.xlsx</v>
      </c>
      <c r="K130" s="5"/>
      <c r="M130" s="117" t="s">
        <v>66</v>
      </c>
      <c r="N130" s="10">
        <v>229</v>
      </c>
      <c r="O130" s="10">
        <v>2</v>
      </c>
      <c r="P130" s="10">
        <v>1</v>
      </c>
    </row>
    <row r="131" spans="4:16" x14ac:dyDescent="0.25">
      <c r="D131" s="109">
        <v>127</v>
      </c>
      <c r="E131" s="112">
        <v>230</v>
      </c>
      <c r="F131" s="112">
        <v>4</v>
      </c>
      <c r="G131" s="112">
        <v>1</v>
      </c>
      <c r="H131" s="5" t="str">
        <f t="shared" si="3"/>
        <v>det_230</v>
      </c>
      <c r="I131" s="5" t="str">
        <f t="shared" si="4"/>
        <v>W:\Performance Measurement\1. Freeway\1. raw data\2017\data files\det_230.txt</v>
      </c>
      <c r="J131" s="5" t="str">
        <f t="shared" si="5"/>
        <v>W:\Performance Measurement\1. Freeway\1. raw data\2017\data files\det_230.xlsx</v>
      </c>
      <c r="K131" s="5"/>
      <c r="M131" s="117" t="s">
        <v>66</v>
      </c>
      <c r="N131" s="112">
        <v>230</v>
      </c>
      <c r="O131" s="112">
        <v>4</v>
      </c>
      <c r="P131" s="112">
        <v>1</v>
      </c>
    </row>
    <row r="132" spans="4:16" x14ac:dyDescent="0.25">
      <c r="D132" s="109">
        <v>128</v>
      </c>
      <c r="E132" s="10">
        <v>233</v>
      </c>
      <c r="F132" s="10">
        <v>3</v>
      </c>
      <c r="G132" s="10">
        <v>1</v>
      </c>
      <c r="H132" s="5" t="str">
        <f t="shared" si="3"/>
        <v>det_233</v>
      </c>
      <c r="I132" s="5" t="str">
        <f t="shared" si="4"/>
        <v>W:\Performance Measurement\1. Freeway\1. raw data\2017\data files\det_233.txt</v>
      </c>
      <c r="J132" s="5" t="str">
        <f t="shared" si="5"/>
        <v>W:\Performance Measurement\1. Freeway\1. raw data\2017\data files\det_233.xlsx</v>
      </c>
      <c r="K132" s="5"/>
      <c r="M132" s="117" t="s">
        <v>66</v>
      </c>
      <c r="N132" s="10">
        <v>233</v>
      </c>
      <c r="O132" s="10">
        <v>3</v>
      </c>
      <c r="P132" s="10">
        <v>1</v>
      </c>
    </row>
    <row r="133" spans="4:16" x14ac:dyDescent="0.25">
      <c r="D133" s="109">
        <v>129</v>
      </c>
      <c r="E133" s="10">
        <v>235</v>
      </c>
      <c r="F133" s="10">
        <v>5</v>
      </c>
      <c r="G133" s="10">
        <v>1</v>
      </c>
      <c r="H133" s="5" t="str">
        <f t="shared" ref="H133:H196" si="6">"det_"&amp;E133&amp;""</f>
        <v>det_235</v>
      </c>
      <c r="I133" s="5" t="str">
        <f t="shared" ref="I133:I196" si="7">$B$5&amp;"\"&amp;H133&amp;".txt"</f>
        <v>W:\Performance Measurement\1. Freeway\1. raw data\2017\data files\det_235.txt</v>
      </c>
      <c r="J133" s="5" t="str">
        <f t="shared" ref="J133:J196" si="8">$B$5&amp;"\"&amp;H133&amp;".xlsx"</f>
        <v>W:\Performance Measurement\1. Freeway\1. raw data\2017\data files\det_235.xlsx</v>
      </c>
      <c r="K133" s="5"/>
      <c r="M133" s="117" t="s">
        <v>66</v>
      </c>
      <c r="N133" s="10">
        <v>235</v>
      </c>
      <c r="O133" s="10">
        <v>5</v>
      </c>
      <c r="P133" s="10">
        <v>1</v>
      </c>
    </row>
    <row r="134" spans="4:16" x14ac:dyDescent="0.25">
      <c r="D134" s="109">
        <v>130</v>
      </c>
      <c r="E134" s="10">
        <v>237</v>
      </c>
      <c r="F134" s="10">
        <v>3</v>
      </c>
      <c r="G134" s="10">
        <v>1</v>
      </c>
      <c r="H134" s="5" t="str">
        <f t="shared" si="6"/>
        <v>det_237</v>
      </c>
      <c r="I134" s="5" t="str">
        <f t="shared" si="7"/>
        <v>W:\Performance Measurement\1. Freeway\1. raw data\2017\data files\det_237.txt</v>
      </c>
      <c r="J134" s="5" t="str">
        <f t="shared" si="8"/>
        <v>W:\Performance Measurement\1. Freeway\1. raw data\2017\data files\det_237.xlsx</v>
      </c>
      <c r="K134" s="5"/>
      <c r="M134" s="117" t="s">
        <v>66</v>
      </c>
      <c r="N134" s="10">
        <v>237</v>
      </c>
      <c r="O134" s="10">
        <v>3</v>
      </c>
      <c r="P134" s="10">
        <v>1</v>
      </c>
    </row>
    <row r="135" spans="4:16" x14ac:dyDescent="0.25">
      <c r="D135" s="109">
        <v>131</v>
      </c>
      <c r="E135" s="10">
        <v>239</v>
      </c>
      <c r="F135" s="10">
        <v>4</v>
      </c>
      <c r="G135" s="10">
        <v>1</v>
      </c>
      <c r="H135" s="5" t="str">
        <f t="shared" si="6"/>
        <v>det_239</v>
      </c>
      <c r="I135" s="5" t="str">
        <f t="shared" si="7"/>
        <v>W:\Performance Measurement\1. Freeway\1. raw data\2017\data files\det_239.txt</v>
      </c>
      <c r="J135" s="5" t="str">
        <f t="shared" si="8"/>
        <v>W:\Performance Measurement\1. Freeway\1. raw data\2017\data files\det_239.xlsx</v>
      </c>
      <c r="K135" s="5"/>
      <c r="M135" s="117" t="s">
        <v>66</v>
      </c>
      <c r="N135" s="10">
        <v>239</v>
      </c>
      <c r="O135" s="10">
        <v>4</v>
      </c>
      <c r="P135" s="10">
        <v>1</v>
      </c>
    </row>
    <row r="136" spans="4:16" x14ac:dyDescent="0.25">
      <c r="D136" s="109">
        <v>132</v>
      </c>
      <c r="E136" s="10">
        <v>241</v>
      </c>
      <c r="F136" s="10">
        <v>3</v>
      </c>
      <c r="G136" s="10">
        <v>1</v>
      </c>
      <c r="H136" s="5" t="str">
        <f t="shared" si="6"/>
        <v>det_241</v>
      </c>
      <c r="I136" s="5" t="str">
        <f t="shared" si="7"/>
        <v>W:\Performance Measurement\1. Freeway\1. raw data\2017\data files\det_241.txt</v>
      </c>
      <c r="J136" s="5" t="str">
        <f t="shared" si="8"/>
        <v>W:\Performance Measurement\1. Freeway\1. raw data\2017\data files\det_241.xlsx</v>
      </c>
      <c r="K136" s="5"/>
      <c r="M136" s="117" t="s">
        <v>66</v>
      </c>
      <c r="N136" s="10">
        <v>241</v>
      </c>
      <c r="O136" s="10">
        <v>3</v>
      </c>
      <c r="P136" s="10">
        <v>1</v>
      </c>
    </row>
    <row r="137" spans="4:16" x14ac:dyDescent="0.25">
      <c r="D137" s="109">
        <v>133</v>
      </c>
      <c r="E137" s="10">
        <v>243</v>
      </c>
      <c r="F137" s="10">
        <v>4</v>
      </c>
      <c r="G137" s="10">
        <v>1</v>
      </c>
      <c r="H137" s="5" t="str">
        <f t="shared" si="6"/>
        <v>det_243</v>
      </c>
      <c r="I137" s="5" t="str">
        <f t="shared" si="7"/>
        <v>W:\Performance Measurement\1. Freeway\1. raw data\2017\data files\det_243.txt</v>
      </c>
      <c r="J137" s="5" t="str">
        <f t="shared" si="8"/>
        <v>W:\Performance Measurement\1. Freeway\1. raw data\2017\data files\det_243.xlsx</v>
      </c>
      <c r="K137" s="5"/>
      <c r="M137" s="117" t="s">
        <v>66</v>
      </c>
      <c r="N137" s="10">
        <v>243</v>
      </c>
      <c r="O137" s="10">
        <v>4</v>
      </c>
      <c r="P137" s="10">
        <v>1</v>
      </c>
    </row>
    <row r="138" spans="4:16" x14ac:dyDescent="0.25">
      <c r="D138" s="109">
        <v>134</v>
      </c>
      <c r="E138" s="10">
        <v>245</v>
      </c>
      <c r="F138" s="10">
        <v>4</v>
      </c>
      <c r="G138" s="10">
        <v>1</v>
      </c>
      <c r="H138" s="5" t="str">
        <f t="shared" si="6"/>
        <v>det_245</v>
      </c>
      <c r="I138" s="5" t="str">
        <f t="shared" si="7"/>
        <v>W:\Performance Measurement\1. Freeway\1. raw data\2017\data files\det_245.txt</v>
      </c>
      <c r="J138" s="5" t="str">
        <f t="shared" si="8"/>
        <v>W:\Performance Measurement\1. Freeway\1. raw data\2017\data files\det_245.xlsx</v>
      </c>
      <c r="K138" s="5"/>
      <c r="M138" s="117" t="s">
        <v>66</v>
      </c>
      <c r="N138" s="10">
        <v>245</v>
      </c>
      <c r="O138" s="10">
        <v>4</v>
      </c>
      <c r="P138" s="10">
        <v>1</v>
      </c>
    </row>
    <row r="139" spans="4:16" x14ac:dyDescent="0.25">
      <c r="D139" s="109">
        <v>135</v>
      </c>
      <c r="E139" s="10">
        <v>246</v>
      </c>
      <c r="F139" s="10">
        <v>5</v>
      </c>
      <c r="G139" s="10">
        <v>1</v>
      </c>
      <c r="H139" s="5" t="str">
        <f t="shared" si="6"/>
        <v>det_246</v>
      </c>
      <c r="I139" s="5" t="str">
        <f t="shared" si="7"/>
        <v>W:\Performance Measurement\1. Freeway\1. raw data\2017\data files\det_246.txt</v>
      </c>
      <c r="J139" s="5" t="str">
        <f t="shared" si="8"/>
        <v>W:\Performance Measurement\1. Freeway\1. raw data\2017\data files\det_246.xlsx</v>
      </c>
      <c r="K139" s="5"/>
      <c r="M139" s="117" t="s">
        <v>66</v>
      </c>
      <c r="N139" s="10">
        <v>246</v>
      </c>
      <c r="O139" s="10">
        <v>5</v>
      </c>
      <c r="P139" s="10">
        <v>1</v>
      </c>
    </row>
    <row r="140" spans="4:16" x14ac:dyDescent="0.25">
      <c r="D140" s="109">
        <v>136</v>
      </c>
      <c r="E140" s="10">
        <v>248</v>
      </c>
      <c r="F140" s="10">
        <v>4</v>
      </c>
      <c r="G140" s="10">
        <v>1</v>
      </c>
      <c r="H140" s="5" t="str">
        <f t="shared" si="6"/>
        <v>det_248</v>
      </c>
      <c r="I140" s="5" t="str">
        <f t="shared" si="7"/>
        <v>W:\Performance Measurement\1. Freeway\1. raw data\2017\data files\det_248.txt</v>
      </c>
      <c r="J140" s="5" t="str">
        <f t="shared" si="8"/>
        <v>W:\Performance Measurement\1. Freeway\1. raw data\2017\data files\det_248.xlsx</v>
      </c>
      <c r="K140" s="5"/>
      <c r="M140" s="117" t="s">
        <v>66</v>
      </c>
      <c r="N140" s="10">
        <v>248</v>
      </c>
      <c r="O140" s="10">
        <v>4</v>
      </c>
      <c r="P140" s="10">
        <v>1</v>
      </c>
    </row>
    <row r="141" spans="4:16" x14ac:dyDescent="0.25">
      <c r="D141" s="109">
        <v>137</v>
      </c>
      <c r="E141" s="10">
        <v>250</v>
      </c>
      <c r="F141" s="10">
        <v>5</v>
      </c>
      <c r="G141" s="10">
        <v>1</v>
      </c>
      <c r="H141" s="5" t="str">
        <f t="shared" si="6"/>
        <v>det_250</v>
      </c>
      <c r="I141" s="5" t="str">
        <f t="shared" si="7"/>
        <v>W:\Performance Measurement\1. Freeway\1. raw data\2017\data files\det_250.txt</v>
      </c>
      <c r="J141" s="5" t="str">
        <f t="shared" si="8"/>
        <v>W:\Performance Measurement\1. Freeway\1. raw data\2017\data files\det_250.xlsx</v>
      </c>
      <c r="K141" s="5"/>
      <c r="M141" s="117" t="s">
        <v>66</v>
      </c>
      <c r="N141" s="10">
        <v>250</v>
      </c>
      <c r="O141" s="10">
        <v>5</v>
      </c>
      <c r="P141" s="10">
        <v>1</v>
      </c>
    </row>
    <row r="142" spans="4:16" x14ac:dyDescent="0.25">
      <c r="D142" s="109">
        <v>138</v>
      </c>
      <c r="E142" s="10">
        <v>252</v>
      </c>
      <c r="F142" s="10">
        <v>4</v>
      </c>
      <c r="G142" s="10">
        <v>1</v>
      </c>
      <c r="H142" s="5" t="str">
        <f t="shared" si="6"/>
        <v>det_252</v>
      </c>
      <c r="I142" s="5" t="str">
        <f t="shared" si="7"/>
        <v>W:\Performance Measurement\1. Freeway\1. raw data\2017\data files\det_252.txt</v>
      </c>
      <c r="J142" s="5" t="str">
        <f t="shared" si="8"/>
        <v>W:\Performance Measurement\1. Freeway\1. raw data\2017\data files\det_252.xlsx</v>
      </c>
      <c r="K142" s="5"/>
      <c r="M142" s="117" t="s">
        <v>66</v>
      </c>
      <c r="N142" s="10">
        <v>252</v>
      </c>
      <c r="O142" s="10">
        <v>4</v>
      </c>
      <c r="P142" s="10">
        <v>1</v>
      </c>
    </row>
    <row r="143" spans="4:16" x14ac:dyDescent="0.25">
      <c r="D143" s="109">
        <v>139</v>
      </c>
      <c r="E143" s="10">
        <v>254</v>
      </c>
      <c r="F143" s="10">
        <v>5</v>
      </c>
      <c r="G143" s="10">
        <v>1</v>
      </c>
      <c r="H143" s="5" t="str">
        <f t="shared" si="6"/>
        <v>det_254</v>
      </c>
      <c r="I143" s="5" t="str">
        <f t="shared" si="7"/>
        <v>W:\Performance Measurement\1. Freeway\1. raw data\2017\data files\det_254.txt</v>
      </c>
      <c r="J143" s="5" t="str">
        <f t="shared" si="8"/>
        <v>W:\Performance Measurement\1. Freeway\1. raw data\2017\data files\det_254.xlsx</v>
      </c>
      <c r="K143" s="5"/>
      <c r="M143" s="117" t="s">
        <v>66</v>
      </c>
      <c r="N143" s="10">
        <v>254</v>
      </c>
      <c r="O143" s="10">
        <v>5</v>
      </c>
      <c r="P143" s="10">
        <v>1</v>
      </c>
    </row>
    <row r="144" spans="4:16" x14ac:dyDescent="0.25">
      <c r="D144" s="109">
        <v>140</v>
      </c>
      <c r="E144" s="10">
        <v>272</v>
      </c>
      <c r="F144" s="10">
        <v>2</v>
      </c>
      <c r="G144" s="10">
        <v>1</v>
      </c>
      <c r="H144" s="5" t="str">
        <f t="shared" si="6"/>
        <v>det_272</v>
      </c>
      <c r="I144" s="5" t="str">
        <f t="shared" si="7"/>
        <v>W:\Performance Measurement\1. Freeway\1. raw data\2017\data files\det_272.txt</v>
      </c>
      <c r="J144" s="5" t="str">
        <f t="shared" si="8"/>
        <v>W:\Performance Measurement\1. Freeway\1. raw data\2017\data files\det_272.xlsx</v>
      </c>
      <c r="K144" s="5"/>
      <c r="M144" s="117" t="s">
        <v>66</v>
      </c>
      <c r="N144" s="10">
        <v>272</v>
      </c>
      <c r="O144" s="10">
        <v>2</v>
      </c>
      <c r="P144" s="10">
        <v>1</v>
      </c>
    </row>
    <row r="145" spans="4:16" x14ac:dyDescent="0.25">
      <c r="D145" s="109">
        <v>141</v>
      </c>
      <c r="E145" s="10">
        <v>275</v>
      </c>
      <c r="F145" s="10">
        <v>4</v>
      </c>
      <c r="G145" s="10">
        <v>1</v>
      </c>
      <c r="H145" s="5" t="str">
        <f t="shared" si="6"/>
        <v>det_275</v>
      </c>
      <c r="I145" s="5" t="str">
        <f t="shared" si="7"/>
        <v>W:\Performance Measurement\1. Freeway\1. raw data\2017\data files\det_275.txt</v>
      </c>
      <c r="J145" s="5" t="str">
        <f t="shared" si="8"/>
        <v>W:\Performance Measurement\1. Freeway\1. raw data\2017\data files\det_275.xlsx</v>
      </c>
      <c r="K145" s="5"/>
      <c r="M145" s="117" t="s">
        <v>66</v>
      </c>
      <c r="N145" s="10">
        <v>275</v>
      </c>
      <c r="O145" s="10">
        <v>4</v>
      </c>
      <c r="P145" s="10">
        <v>1</v>
      </c>
    </row>
    <row r="146" spans="4:16" x14ac:dyDescent="0.25">
      <c r="D146" s="109">
        <v>142</v>
      </c>
      <c r="E146" s="10">
        <v>278</v>
      </c>
      <c r="F146" s="10">
        <v>4</v>
      </c>
      <c r="G146" s="10">
        <v>1</v>
      </c>
      <c r="H146" s="5" t="str">
        <f t="shared" si="6"/>
        <v>det_278</v>
      </c>
      <c r="I146" s="5" t="str">
        <f t="shared" si="7"/>
        <v>W:\Performance Measurement\1. Freeway\1. raw data\2017\data files\det_278.txt</v>
      </c>
      <c r="J146" s="5" t="str">
        <f t="shared" si="8"/>
        <v>W:\Performance Measurement\1. Freeway\1. raw data\2017\data files\det_278.xlsx</v>
      </c>
      <c r="K146" s="5"/>
      <c r="M146" s="117" t="s">
        <v>66</v>
      </c>
      <c r="N146" s="10">
        <v>278</v>
      </c>
      <c r="O146" s="10">
        <v>4</v>
      </c>
      <c r="P146" s="10">
        <v>1</v>
      </c>
    </row>
    <row r="147" spans="4:16" x14ac:dyDescent="0.25">
      <c r="D147" s="109">
        <v>143</v>
      </c>
      <c r="E147" s="10">
        <v>281</v>
      </c>
      <c r="F147" s="10">
        <v>4</v>
      </c>
      <c r="G147" s="10">
        <v>1</v>
      </c>
      <c r="H147" s="5" t="str">
        <f t="shared" si="6"/>
        <v>det_281</v>
      </c>
      <c r="I147" s="5" t="str">
        <f t="shared" si="7"/>
        <v>W:\Performance Measurement\1. Freeway\1. raw data\2017\data files\det_281.txt</v>
      </c>
      <c r="J147" s="5" t="str">
        <f t="shared" si="8"/>
        <v>W:\Performance Measurement\1. Freeway\1. raw data\2017\data files\det_281.xlsx</v>
      </c>
      <c r="K147" s="5"/>
      <c r="M147" s="117" t="s">
        <v>66</v>
      </c>
      <c r="N147" s="10">
        <v>281</v>
      </c>
      <c r="O147" s="10">
        <v>4</v>
      </c>
      <c r="P147" s="10">
        <v>1</v>
      </c>
    </row>
    <row r="148" spans="4:16" x14ac:dyDescent="0.25">
      <c r="D148" s="109">
        <v>144</v>
      </c>
      <c r="E148" s="10">
        <v>284</v>
      </c>
      <c r="F148" s="10">
        <v>3</v>
      </c>
      <c r="G148" s="10">
        <v>1</v>
      </c>
      <c r="H148" s="5" t="str">
        <f t="shared" si="6"/>
        <v>det_284</v>
      </c>
      <c r="I148" s="5" t="str">
        <f t="shared" si="7"/>
        <v>W:\Performance Measurement\1. Freeway\1. raw data\2017\data files\det_284.txt</v>
      </c>
      <c r="J148" s="5" t="str">
        <f t="shared" si="8"/>
        <v>W:\Performance Measurement\1. Freeway\1. raw data\2017\data files\det_284.xlsx</v>
      </c>
      <c r="K148" s="5"/>
      <c r="M148" s="117" t="s">
        <v>66</v>
      </c>
      <c r="N148" s="10">
        <v>284</v>
      </c>
      <c r="O148" s="10">
        <v>3</v>
      </c>
      <c r="P148" s="10">
        <v>1</v>
      </c>
    </row>
    <row r="149" spans="4:16" x14ac:dyDescent="0.25">
      <c r="D149" s="109">
        <v>145</v>
      </c>
      <c r="E149" s="10">
        <v>286</v>
      </c>
      <c r="F149" s="10">
        <v>3</v>
      </c>
      <c r="G149" s="10">
        <v>1</v>
      </c>
      <c r="H149" s="5" t="str">
        <f t="shared" si="6"/>
        <v>det_286</v>
      </c>
      <c r="I149" s="5" t="str">
        <f t="shared" si="7"/>
        <v>W:\Performance Measurement\1. Freeway\1. raw data\2017\data files\det_286.txt</v>
      </c>
      <c r="J149" s="5" t="str">
        <f t="shared" si="8"/>
        <v>W:\Performance Measurement\1. Freeway\1. raw data\2017\data files\det_286.xlsx</v>
      </c>
      <c r="K149" s="5"/>
      <c r="M149" s="117" t="s">
        <v>66</v>
      </c>
      <c r="N149" s="10">
        <v>286</v>
      </c>
      <c r="O149" s="10">
        <v>3</v>
      </c>
      <c r="P149" s="10">
        <v>1</v>
      </c>
    </row>
    <row r="150" spans="4:16" x14ac:dyDescent="0.25">
      <c r="D150" s="109">
        <v>146</v>
      </c>
      <c r="E150" s="10">
        <v>288</v>
      </c>
      <c r="F150" s="10">
        <v>3</v>
      </c>
      <c r="G150" s="10">
        <v>1</v>
      </c>
      <c r="H150" s="5" t="str">
        <f t="shared" si="6"/>
        <v>det_288</v>
      </c>
      <c r="I150" s="5" t="str">
        <f t="shared" si="7"/>
        <v>W:\Performance Measurement\1. Freeway\1. raw data\2017\data files\det_288.txt</v>
      </c>
      <c r="J150" s="5" t="str">
        <f t="shared" si="8"/>
        <v>W:\Performance Measurement\1. Freeway\1. raw data\2017\data files\det_288.xlsx</v>
      </c>
      <c r="K150" s="5"/>
      <c r="M150" s="117" t="s">
        <v>66</v>
      </c>
      <c r="N150" s="10">
        <v>288</v>
      </c>
      <c r="O150" s="10">
        <v>3</v>
      </c>
      <c r="P150" s="10">
        <v>1</v>
      </c>
    </row>
    <row r="151" spans="4:16" x14ac:dyDescent="0.25">
      <c r="D151" s="109">
        <v>147</v>
      </c>
      <c r="E151" s="10">
        <v>225</v>
      </c>
      <c r="F151" s="10">
        <v>3</v>
      </c>
      <c r="G151" s="10">
        <v>1</v>
      </c>
      <c r="H151" s="5" t="str">
        <f t="shared" si="6"/>
        <v>det_225</v>
      </c>
      <c r="I151" s="5" t="str">
        <f t="shared" si="7"/>
        <v>W:\Performance Measurement\1. Freeway\1. raw data\2017\data files\det_225.txt</v>
      </c>
      <c r="J151" s="5" t="str">
        <f t="shared" si="8"/>
        <v>W:\Performance Measurement\1. Freeway\1. raw data\2017\data files\det_225.xlsx</v>
      </c>
      <c r="K151" s="5"/>
      <c r="M151" s="117" t="s">
        <v>66</v>
      </c>
      <c r="N151" s="10">
        <v>225</v>
      </c>
      <c r="O151" s="10">
        <v>3</v>
      </c>
      <c r="P151" s="10">
        <v>1</v>
      </c>
    </row>
    <row r="152" spans="4:16" x14ac:dyDescent="0.25">
      <c r="D152" s="109">
        <v>148</v>
      </c>
      <c r="E152" s="10">
        <v>223</v>
      </c>
      <c r="F152" s="10">
        <v>4</v>
      </c>
      <c r="G152" s="10">
        <v>1</v>
      </c>
      <c r="H152" s="5" t="str">
        <f t="shared" si="6"/>
        <v>det_223</v>
      </c>
      <c r="I152" s="5" t="str">
        <f t="shared" si="7"/>
        <v>W:\Performance Measurement\1. Freeway\1. raw data\2017\data files\det_223.txt</v>
      </c>
      <c r="J152" s="5" t="str">
        <f t="shared" si="8"/>
        <v>W:\Performance Measurement\1. Freeway\1. raw data\2017\data files\det_223.xlsx</v>
      </c>
      <c r="K152" s="5"/>
      <c r="M152" s="117" t="s">
        <v>66</v>
      </c>
      <c r="N152" s="10">
        <v>223</v>
      </c>
      <c r="O152" s="10">
        <v>4</v>
      </c>
      <c r="P152" s="10">
        <v>1</v>
      </c>
    </row>
    <row r="153" spans="4:16" x14ac:dyDescent="0.25">
      <c r="D153" s="109">
        <v>149</v>
      </c>
      <c r="E153" s="10">
        <v>220</v>
      </c>
      <c r="F153" s="10">
        <v>3</v>
      </c>
      <c r="G153" s="10">
        <v>1</v>
      </c>
      <c r="H153" s="5" t="str">
        <f t="shared" si="6"/>
        <v>det_220</v>
      </c>
      <c r="I153" s="5" t="str">
        <f t="shared" si="7"/>
        <v>W:\Performance Measurement\1. Freeway\1. raw data\2017\data files\det_220.txt</v>
      </c>
      <c r="J153" s="5" t="str">
        <f t="shared" si="8"/>
        <v>W:\Performance Measurement\1. Freeway\1. raw data\2017\data files\det_220.xlsx</v>
      </c>
      <c r="K153" s="5"/>
      <c r="M153" s="117" t="s">
        <v>66</v>
      </c>
      <c r="N153" s="10">
        <v>220</v>
      </c>
      <c r="O153" s="10">
        <v>3</v>
      </c>
      <c r="P153" s="10">
        <v>1</v>
      </c>
    </row>
    <row r="154" spans="4:16" x14ac:dyDescent="0.25">
      <c r="D154" s="109">
        <v>150</v>
      </c>
      <c r="E154" s="10">
        <v>217</v>
      </c>
      <c r="F154" s="10">
        <v>2</v>
      </c>
      <c r="G154" s="10">
        <v>1</v>
      </c>
      <c r="H154" s="5" t="str">
        <f t="shared" si="6"/>
        <v>det_217</v>
      </c>
      <c r="I154" s="5" t="str">
        <f t="shared" si="7"/>
        <v>W:\Performance Measurement\1. Freeway\1. raw data\2017\data files\det_217.txt</v>
      </c>
      <c r="J154" s="5" t="str">
        <f t="shared" si="8"/>
        <v>W:\Performance Measurement\1. Freeway\1. raw data\2017\data files\det_217.xlsx</v>
      </c>
      <c r="K154" s="5"/>
      <c r="M154" s="117" t="s">
        <v>66</v>
      </c>
      <c r="N154" s="10">
        <v>217</v>
      </c>
      <c r="O154" s="10">
        <v>2</v>
      </c>
      <c r="P154" s="10">
        <v>1</v>
      </c>
    </row>
    <row r="155" spans="4:16" x14ac:dyDescent="0.25">
      <c r="D155" s="109">
        <v>151</v>
      </c>
      <c r="E155" s="10">
        <v>427</v>
      </c>
      <c r="F155" s="10">
        <v>3</v>
      </c>
      <c r="G155" s="10">
        <v>1</v>
      </c>
      <c r="H155" s="5" t="str">
        <f t="shared" si="6"/>
        <v>det_427</v>
      </c>
      <c r="I155" s="5" t="str">
        <f t="shared" si="7"/>
        <v>W:\Performance Measurement\1. Freeway\1. raw data\2017\data files\det_427.txt</v>
      </c>
      <c r="J155" s="5" t="str">
        <f t="shared" si="8"/>
        <v>W:\Performance Measurement\1. Freeway\1. raw data\2017\data files\det_427.xlsx</v>
      </c>
      <c r="K155" s="5"/>
      <c r="M155" s="117" t="s">
        <v>67</v>
      </c>
      <c r="N155" s="10">
        <v>427</v>
      </c>
      <c r="O155" s="10">
        <v>3</v>
      </c>
      <c r="P155" s="10">
        <v>1</v>
      </c>
    </row>
    <row r="156" spans="4:16" x14ac:dyDescent="0.25">
      <c r="D156" s="109">
        <v>152</v>
      </c>
      <c r="E156" s="10">
        <v>428</v>
      </c>
      <c r="F156" s="10">
        <v>4</v>
      </c>
      <c r="G156" s="10">
        <v>1</v>
      </c>
      <c r="H156" s="5" t="str">
        <f t="shared" si="6"/>
        <v>det_428</v>
      </c>
      <c r="I156" s="5" t="str">
        <f t="shared" si="7"/>
        <v>W:\Performance Measurement\1. Freeway\1. raw data\2017\data files\det_428.txt</v>
      </c>
      <c r="J156" s="5" t="str">
        <f t="shared" si="8"/>
        <v>W:\Performance Measurement\1. Freeway\1. raw data\2017\data files\det_428.xlsx</v>
      </c>
      <c r="K156" s="5"/>
      <c r="M156" s="117" t="s">
        <v>67</v>
      </c>
      <c r="N156" s="10">
        <v>428</v>
      </c>
      <c r="O156" s="10">
        <v>4</v>
      </c>
      <c r="P156" s="10">
        <v>1</v>
      </c>
    </row>
    <row r="157" spans="4:16" x14ac:dyDescent="0.25">
      <c r="D157" s="109">
        <v>153</v>
      </c>
      <c r="E157" s="10">
        <v>432</v>
      </c>
      <c r="F157" s="10">
        <v>4</v>
      </c>
      <c r="G157" s="10">
        <v>1</v>
      </c>
      <c r="H157" s="5" t="str">
        <f t="shared" si="6"/>
        <v>det_432</v>
      </c>
      <c r="I157" s="5" t="str">
        <f t="shared" si="7"/>
        <v>W:\Performance Measurement\1. Freeway\1. raw data\2017\data files\det_432.txt</v>
      </c>
      <c r="J157" s="5" t="str">
        <f t="shared" si="8"/>
        <v>W:\Performance Measurement\1. Freeway\1. raw data\2017\data files\det_432.xlsx</v>
      </c>
      <c r="K157" s="5"/>
      <c r="M157" s="117" t="s">
        <v>67</v>
      </c>
      <c r="N157" s="10">
        <v>432</v>
      </c>
      <c r="O157" s="10">
        <v>4</v>
      </c>
      <c r="P157" s="10">
        <v>1</v>
      </c>
    </row>
    <row r="158" spans="4:16" x14ac:dyDescent="0.25">
      <c r="D158" s="109">
        <v>154</v>
      </c>
      <c r="E158" s="10">
        <v>435</v>
      </c>
      <c r="F158" s="10">
        <v>4</v>
      </c>
      <c r="G158" s="10">
        <v>1</v>
      </c>
      <c r="H158" s="5" t="str">
        <f t="shared" si="6"/>
        <v>det_435</v>
      </c>
      <c r="I158" s="5" t="str">
        <f t="shared" si="7"/>
        <v>W:\Performance Measurement\1. Freeway\1. raw data\2017\data files\det_435.txt</v>
      </c>
      <c r="J158" s="5" t="str">
        <f t="shared" si="8"/>
        <v>W:\Performance Measurement\1. Freeway\1. raw data\2017\data files\det_435.xlsx</v>
      </c>
      <c r="K158" s="5"/>
      <c r="M158" s="117" t="s">
        <v>67</v>
      </c>
      <c r="N158" s="10">
        <v>435</v>
      </c>
      <c r="O158" s="10">
        <v>4</v>
      </c>
      <c r="P158" s="10">
        <v>1</v>
      </c>
    </row>
    <row r="159" spans="4:16" x14ac:dyDescent="0.25">
      <c r="D159" s="109">
        <v>155</v>
      </c>
      <c r="E159" s="10">
        <v>438</v>
      </c>
      <c r="F159" s="10">
        <v>3</v>
      </c>
      <c r="G159" s="10">
        <v>1</v>
      </c>
      <c r="H159" s="5" t="str">
        <f t="shared" si="6"/>
        <v>det_438</v>
      </c>
      <c r="I159" s="5" t="str">
        <f t="shared" si="7"/>
        <v>W:\Performance Measurement\1. Freeway\1. raw data\2017\data files\det_438.txt</v>
      </c>
      <c r="J159" s="5" t="str">
        <f t="shared" si="8"/>
        <v>W:\Performance Measurement\1. Freeway\1. raw data\2017\data files\det_438.xlsx</v>
      </c>
      <c r="K159" s="5"/>
      <c r="M159" s="117" t="s">
        <v>67</v>
      </c>
      <c r="N159" s="10">
        <v>438</v>
      </c>
      <c r="O159" s="10">
        <v>3</v>
      </c>
      <c r="P159" s="10">
        <v>1</v>
      </c>
    </row>
    <row r="160" spans="4:16" x14ac:dyDescent="0.25">
      <c r="D160" s="109">
        <v>156</v>
      </c>
      <c r="E160" s="10">
        <v>439</v>
      </c>
      <c r="F160" s="10">
        <v>4</v>
      </c>
      <c r="G160" s="10">
        <v>1</v>
      </c>
      <c r="H160" s="5" t="str">
        <f t="shared" si="6"/>
        <v>det_439</v>
      </c>
      <c r="I160" s="5" t="str">
        <f t="shared" si="7"/>
        <v>W:\Performance Measurement\1. Freeway\1. raw data\2017\data files\det_439.txt</v>
      </c>
      <c r="J160" s="5" t="str">
        <f t="shared" si="8"/>
        <v>W:\Performance Measurement\1. Freeway\1. raw data\2017\data files\det_439.xlsx</v>
      </c>
      <c r="K160" s="5"/>
      <c r="M160" s="117" t="s">
        <v>67</v>
      </c>
      <c r="N160" s="10">
        <v>439</v>
      </c>
      <c r="O160" s="10">
        <v>4</v>
      </c>
      <c r="P160" s="10">
        <v>1</v>
      </c>
    </row>
    <row r="161" spans="4:16" x14ac:dyDescent="0.25">
      <c r="D161" s="109">
        <v>157</v>
      </c>
      <c r="E161" s="10">
        <v>494</v>
      </c>
      <c r="F161" s="10">
        <v>4</v>
      </c>
      <c r="G161" s="10">
        <v>1</v>
      </c>
      <c r="H161" s="5" t="str">
        <f t="shared" si="6"/>
        <v>det_494</v>
      </c>
      <c r="I161" s="5" t="str">
        <f t="shared" si="7"/>
        <v>W:\Performance Measurement\1. Freeway\1. raw data\2017\data files\det_494.txt</v>
      </c>
      <c r="J161" s="5" t="str">
        <f t="shared" si="8"/>
        <v>W:\Performance Measurement\1. Freeway\1. raw data\2017\data files\det_494.xlsx</v>
      </c>
      <c r="K161" s="5"/>
      <c r="M161" s="117" t="s">
        <v>67</v>
      </c>
      <c r="N161" s="10">
        <v>494</v>
      </c>
      <c r="O161" s="10">
        <v>4</v>
      </c>
      <c r="P161" s="10">
        <v>1</v>
      </c>
    </row>
    <row r="162" spans="4:16" x14ac:dyDescent="0.25">
      <c r="D162" s="109">
        <v>158</v>
      </c>
      <c r="E162" s="10">
        <v>497</v>
      </c>
      <c r="F162" s="10">
        <v>3</v>
      </c>
      <c r="G162" s="10">
        <v>1</v>
      </c>
      <c r="H162" s="5" t="str">
        <f t="shared" si="6"/>
        <v>det_497</v>
      </c>
      <c r="I162" s="5" t="str">
        <f t="shared" si="7"/>
        <v>W:\Performance Measurement\1. Freeway\1. raw data\2017\data files\det_497.txt</v>
      </c>
      <c r="J162" s="5" t="str">
        <f t="shared" si="8"/>
        <v>W:\Performance Measurement\1. Freeway\1. raw data\2017\data files\det_497.xlsx</v>
      </c>
      <c r="K162" s="5"/>
      <c r="M162" s="117" t="s">
        <v>67</v>
      </c>
      <c r="N162" s="10">
        <v>497</v>
      </c>
      <c r="O162" s="10">
        <v>3</v>
      </c>
      <c r="P162" s="10">
        <v>1</v>
      </c>
    </row>
    <row r="163" spans="4:16" x14ac:dyDescent="0.25">
      <c r="D163" s="109">
        <v>159</v>
      </c>
      <c r="E163" s="10">
        <v>500</v>
      </c>
      <c r="F163" s="10">
        <v>3</v>
      </c>
      <c r="G163" s="10">
        <v>1</v>
      </c>
      <c r="H163" s="5" t="str">
        <f t="shared" si="6"/>
        <v>det_500</v>
      </c>
      <c r="I163" s="5" t="str">
        <f t="shared" si="7"/>
        <v>W:\Performance Measurement\1. Freeway\1. raw data\2017\data files\det_500.txt</v>
      </c>
      <c r="J163" s="5" t="str">
        <f t="shared" si="8"/>
        <v>W:\Performance Measurement\1. Freeway\1. raw data\2017\data files\det_500.xlsx</v>
      </c>
      <c r="K163" s="5"/>
      <c r="M163" s="117" t="s">
        <v>67</v>
      </c>
      <c r="N163" s="10">
        <v>500</v>
      </c>
      <c r="O163" s="10">
        <v>3</v>
      </c>
      <c r="P163" s="10">
        <v>1</v>
      </c>
    </row>
    <row r="164" spans="4:16" x14ac:dyDescent="0.25">
      <c r="D164" s="109">
        <v>160</v>
      </c>
      <c r="E164" s="10">
        <v>504</v>
      </c>
      <c r="F164" s="10">
        <v>3</v>
      </c>
      <c r="G164" s="10">
        <v>0</v>
      </c>
      <c r="H164" s="5" t="str">
        <f t="shared" si="6"/>
        <v>det_504</v>
      </c>
      <c r="I164" s="5" t="str">
        <f t="shared" si="7"/>
        <v>W:\Performance Measurement\1. Freeway\1. raw data\2017\data files\det_504.txt</v>
      </c>
      <c r="J164" s="5" t="str">
        <f t="shared" si="8"/>
        <v>W:\Performance Measurement\1. Freeway\1. raw data\2017\data files\det_504.xlsx</v>
      </c>
      <c r="K164" s="5"/>
      <c r="M164" s="117" t="s">
        <v>67</v>
      </c>
      <c r="N164" s="10">
        <v>504</v>
      </c>
      <c r="O164" s="10">
        <v>3</v>
      </c>
      <c r="P164" s="10">
        <v>0</v>
      </c>
    </row>
    <row r="165" spans="4:16" x14ac:dyDescent="0.25">
      <c r="D165" s="109">
        <v>161</v>
      </c>
      <c r="E165" s="10">
        <v>441</v>
      </c>
      <c r="F165" s="10">
        <v>3</v>
      </c>
      <c r="G165" s="10">
        <v>1</v>
      </c>
      <c r="H165" s="5" t="str">
        <f t="shared" si="6"/>
        <v>det_441</v>
      </c>
      <c r="I165" s="5" t="str">
        <f t="shared" si="7"/>
        <v>W:\Performance Measurement\1. Freeway\1. raw data\2017\data files\det_441.txt</v>
      </c>
      <c r="J165" s="5" t="str">
        <f t="shared" si="8"/>
        <v>W:\Performance Measurement\1. Freeway\1. raw data\2017\data files\det_441.xlsx</v>
      </c>
      <c r="K165" s="5"/>
      <c r="M165" s="117" t="s">
        <v>68</v>
      </c>
      <c r="N165" s="10">
        <v>441</v>
      </c>
      <c r="O165" s="10">
        <v>3</v>
      </c>
      <c r="P165" s="10">
        <v>1</v>
      </c>
    </row>
    <row r="166" spans="4:16" x14ac:dyDescent="0.25">
      <c r="D166" s="109">
        <v>162</v>
      </c>
      <c r="E166" s="10">
        <v>444</v>
      </c>
      <c r="F166" s="10">
        <v>5</v>
      </c>
      <c r="G166" s="10">
        <v>1</v>
      </c>
      <c r="H166" s="5" t="str">
        <f t="shared" si="6"/>
        <v>det_444</v>
      </c>
      <c r="I166" s="5" t="str">
        <f t="shared" si="7"/>
        <v>W:\Performance Measurement\1. Freeway\1. raw data\2017\data files\det_444.txt</v>
      </c>
      <c r="J166" s="5" t="str">
        <f t="shared" si="8"/>
        <v>W:\Performance Measurement\1. Freeway\1. raw data\2017\data files\det_444.xlsx</v>
      </c>
      <c r="K166" s="5"/>
      <c r="M166" s="117" t="s">
        <v>68</v>
      </c>
      <c r="N166" s="10">
        <v>444</v>
      </c>
      <c r="O166" s="10">
        <v>5</v>
      </c>
      <c r="P166" s="10">
        <v>1</v>
      </c>
    </row>
    <row r="167" spans="4:16" x14ac:dyDescent="0.25">
      <c r="D167" s="109">
        <v>163</v>
      </c>
      <c r="E167" s="10">
        <v>447</v>
      </c>
      <c r="F167" s="10">
        <v>5</v>
      </c>
      <c r="G167" s="10">
        <v>1</v>
      </c>
      <c r="H167" s="5" t="str">
        <f t="shared" si="6"/>
        <v>det_447</v>
      </c>
      <c r="I167" s="5" t="str">
        <f t="shared" si="7"/>
        <v>W:\Performance Measurement\1. Freeway\1. raw data\2017\data files\det_447.txt</v>
      </c>
      <c r="J167" s="5" t="str">
        <f t="shared" si="8"/>
        <v>W:\Performance Measurement\1. Freeway\1. raw data\2017\data files\det_447.xlsx</v>
      </c>
      <c r="K167" s="5"/>
      <c r="M167" s="117" t="s">
        <v>68</v>
      </c>
      <c r="N167" s="10">
        <v>447</v>
      </c>
      <c r="O167" s="10">
        <v>5</v>
      </c>
      <c r="P167" s="10">
        <v>1</v>
      </c>
    </row>
    <row r="168" spans="4:16" x14ac:dyDescent="0.25">
      <c r="D168" s="109">
        <v>164</v>
      </c>
      <c r="E168" s="10">
        <v>450</v>
      </c>
      <c r="F168" s="10">
        <v>5</v>
      </c>
      <c r="G168" s="10">
        <v>1</v>
      </c>
      <c r="H168" s="5" t="str">
        <f t="shared" si="6"/>
        <v>det_450</v>
      </c>
      <c r="I168" s="5" t="str">
        <f t="shared" si="7"/>
        <v>W:\Performance Measurement\1. Freeway\1. raw data\2017\data files\det_450.txt</v>
      </c>
      <c r="J168" s="5" t="str">
        <f t="shared" si="8"/>
        <v>W:\Performance Measurement\1. Freeway\1. raw data\2017\data files\det_450.xlsx</v>
      </c>
      <c r="K168" s="5"/>
      <c r="M168" s="117" t="s">
        <v>68</v>
      </c>
      <c r="N168" s="10">
        <v>450</v>
      </c>
      <c r="O168" s="10">
        <v>5</v>
      </c>
      <c r="P168" s="10">
        <v>1</v>
      </c>
    </row>
    <row r="169" spans="4:16" x14ac:dyDescent="0.25">
      <c r="D169" s="109">
        <v>165</v>
      </c>
      <c r="E169" s="10">
        <v>453</v>
      </c>
      <c r="F169" s="10">
        <v>5</v>
      </c>
      <c r="G169" s="10">
        <v>1</v>
      </c>
      <c r="H169" s="5" t="str">
        <f t="shared" si="6"/>
        <v>det_453</v>
      </c>
      <c r="I169" s="5" t="str">
        <f t="shared" si="7"/>
        <v>W:\Performance Measurement\1. Freeway\1. raw data\2017\data files\det_453.txt</v>
      </c>
      <c r="J169" s="5" t="str">
        <f t="shared" si="8"/>
        <v>W:\Performance Measurement\1. Freeway\1. raw data\2017\data files\det_453.xlsx</v>
      </c>
      <c r="K169" s="5"/>
      <c r="M169" s="117" t="s">
        <v>68</v>
      </c>
      <c r="N169" s="10">
        <v>453</v>
      </c>
      <c r="O169" s="10">
        <v>5</v>
      </c>
      <c r="P169" s="10">
        <v>1</v>
      </c>
    </row>
    <row r="170" spans="4:16" x14ac:dyDescent="0.25">
      <c r="D170" s="109">
        <v>166</v>
      </c>
      <c r="E170" s="10">
        <v>456</v>
      </c>
      <c r="F170" s="10">
        <v>5</v>
      </c>
      <c r="G170" s="10">
        <v>1</v>
      </c>
      <c r="H170" s="5" t="str">
        <f t="shared" si="6"/>
        <v>det_456</v>
      </c>
      <c r="I170" s="5" t="str">
        <f t="shared" si="7"/>
        <v>W:\Performance Measurement\1. Freeway\1. raw data\2017\data files\det_456.txt</v>
      </c>
      <c r="J170" s="5" t="str">
        <f t="shared" si="8"/>
        <v>W:\Performance Measurement\1. Freeway\1. raw data\2017\data files\det_456.xlsx</v>
      </c>
      <c r="K170" s="5"/>
      <c r="M170" s="117" t="s">
        <v>68</v>
      </c>
      <c r="N170" s="10">
        <v>456</v>
      </c>
      <c r="O170" s="10">
        <v>5</v>
      </c>
      <c r="P170" s="10">
        <v>1</v>
      </c>
    </row>
    <row r="171" spans="4:16" x14ac:dyDescent="0.25">
      <c r="D171" s="109">
        <v>167</v>
      </c>
      <c r="E171" s="10">
        <v>459</v>
      </c>
      <c r="F171" s="10">
        <v>5</v>
      </c>
      <c r="G171" s="10">
        <v>1</v>
      </c>
      <c r="H171" s="5" t="str">
        <f t="shared" si="6"/>
        <v>det_459</v>
      </c>
      <c r="I171" s="5" t="str">
        <f t="shared" si="7"/>
        <v>W:\Performance Measurement\1. Freeway\1. raw data\2017\data files\det_459.txt</v>
      </c>
      <c r="J171" s="5" t="str">
        <f t="shared" si="8"/>
        <v>W:\Performance Measurement\1. Freeway\1. raw data\2017\data files\det_459.xlsx</v>
      </c>
      <c r="K171" s="5"/>
      <c r="M171" s="117" t="s">
        <v>68</v>
      </c>
      <c r="N171" s="10">
        <v>459</v>
      </c>
      <c r="O171" s="10">
        <v>5</v>
      </c>
      <c r="P171" s="10">
        <v>1</v>
      </c>
    </row>
    <row r="172" spans="4:16" x14ac:dyDescent="0.25">
      <c r="D172" s="109">
        <v>168</v>
      </c>
      <c r="E172" s="10">
        <v>462</v>
      </c>
      <c r="F172" s="10">
        <v>5</v>
      </c>
      <c r="G172" s="10">
        <v>1</v>
      </c>
      <c r="H172" s="5" t="str">
        <f t="shared" si="6"/>
        <v>det_462</v>
      </c>
      <c r="I172" s="5" t="str">
        <f t="shared" si="7"/>
        <v>W:\Performance Measurement\1. Freeway\1. raw data\2017\data files\det_462.txt</v>
      </c>
      <c r="J172" s="5" t="str">
        <f t="shared" si="8"/>
        <v>W:\Performance Measurement\1. Freeway\1. raw data\2017\data files\det_462.xlsx</v>
      </c>
      <c r="K172" s="5"/>
      <c r="M172" s="117" t="s">
        <v>68</v>
      </c>
      <c r="N172" s="10">
        <v>462</v>
      </c>
      <c r="O172" s="10">
        <v>5</v>
      </c>
      <c r="P172" s="10">
        <v>1</v>
      </c>
    </row>
    <row r="173" spans="4:16" x14ac:dyDescent="0.25">
      <c r="D173" s="109">
        <v>169</v>
      </c>
      <c r="E173" s="10">
        <v>467</v>
      </c>
      <c r="F173" s="10">
        <v>5</v>
      </c>
      <c r="G173" s="10">
        <v>1</v>
      </c>
      <c r="H173" s="5" t="str">
        <f t="shared" si="6"/>
        <v>det_467</v>
      </c>
      <c r="I173" s="5" t="str">
        <f t="shared" si="7"/>
        <v>W:\Performance Measurement\1. Freeway\1. raw data\2017\data files\det_467.txt</v>
      </c>
      <c r="J173" s="5" t="str">
        <f t="shared" si="8"/>
        <v>W:\Performance Measurement\1. Freeway\1. raw data\2017\data files\det_467.xlsx</v>
      </c>
      <c r="K173" s="5"/>
      <c r="M173" s="117" t="s">
        <v>68</v>
      </c>
      <c r="N173" s="10">
        <v>467</v>
      </c>
      <c r="O173" s="10">
        <v>5</v>
      </c>
      <c r="P173" s="10">
        <v>1</v>
      </c>
    </row>
    <row r="174" spans="4:16" x14ac:dyDescent="0.25">
      <c r="D174" s="109">
        <v>170</v>
      </c>
      <c r="E174" s="10">
        <v>470</v>
      </c>
      <c r="F174" s="10">
        <v>5</v>
      </c>
      <c r="G174" s="10">
        <v>1</v>
      </c>
      <c r="H174" s="5" t="str">
        <f t="shared" si="6"/>
        <v>det_470</v>
      </c>
      <c r="I174" s="5" t="str">
        <f t="shared" si="7"/>
        <v>W:\Performance Measurement\1. Freeway\1. raw data\2017\data files\det_470.txt</v>
      </c>
      <c r="J174" s="5" t="str">
        <f t="shared" si="8"/>
        <v>W:\Performance Measurement\1. Freeway\1. raw data\2017\data files\det_470.xlsx</v>
      </c>
      <c r="K174" s="5"/>
      <c r="M174" s="117" t="s">
        <v>68</v>
      </c>
      <c r="N174" s="10">
        <v>470</v>
      </c>
      <c r="O174" s="10">
        <v>5</v>
      </c>
      <c r="P174" s="10">
        <v>1</v>
      </c>
    </row>
    <row r="175" spans="4:16" x14ac:dyDescent="0.25">
      <c r="D175" s="109">
        <v>171</v>
      </c>
      <c r="E175" s="10">
        <v>473</v>
      </c>
      <c r="F175" s="10">
        <v>5</v>
      </c>
      <c r="G175" s="10">
        <v>1</v>
      </c>
      <c r="H175" s="5" t="str">
        <f t="shared" si="6"/>
        <v>det_473</v>
      </c>
      <c r="I175" s="5" t="str">
        <f t="shared" si="7"/>
        <v>W:\Performance Measurement\1. Freeway\1. raw data\2017\data files\det_473.txt</v>
      </c>
      <c r="J175" s="5" t="str">
        <f t="shared" si="8"/>
        <v>W:\Performance Measurement\1. Freeway\1. raw data\2017\data files\det_473.xlsx</v>
      </c>
      <c r="K175" s="5"/>
      <c r="M175" s="117" t="s">
        <v>68</v>
      </c>
      <c r="N175" s="10">
        <v>473</v>
      </c>
      <c r="O175" s="10">
        <v>5</v>
      </c>
      <c r="P175" s="10">
        <v>1</v>
      </c>
    </row>
    <row r="176" spans="4:16" x14ac:dyDescent="0.25">
      <c r="D176" s="109">
        <v>172</v>
      </c>
      <c r="E176" s="10">
        <v>476</v>
      </c>
      <c r="F176" s="10">
        <v>5</v>
      </c>
      <c r="G176" s="10">
        <v>1</v>
      </c>
      <c r="H176" s="5" t="str">
        <f t="shared" si="6"/>
        <v>det_476</v>
      </c>
      <c r="I176" s="5" t="str">
        <f t="shared" si="7"/>
        <v>W:\Performance Measurement\1. Freeway\1. raw data\2017\data files\det_476.txt</v>
      </c>
      <c r="J176" s="5" t="str">
        <f t="shared" si="8"/>
        <v>W:\Performance Measurement\1. Freeway\1. raw data\2017\data files\det_476.xlsx</v>
      </c>
      <c r="K176" s="5"/>
      <c r="M176" s="117" t="s">
        <v>68</v>
      </c>
      <c r="N176" s="10">
        <v>476</v>
      </c>
      <c r="O176" s="10">
        <v>5</v>
      </c>
      <c r="P176" s="10">
        <v>1</v>
      </c>
    </row>
    <row r="177" spans="4:16" x14ac:dyDescent="0.25">
      <c r="D177" s="109">
        <v>173</v>
      </c>
      <c r="E177" s="10">
        <v>479</v>
      </c>
      <c r="F177" s="10">
        <v>5</v>
      </c>
      <c r="G177" s="10">
        <v>1</v>
      </c>
      <c r="H177" s="5" t="str">
        <f t="shared" si="6"/>
        <v>det_479</v>
      </c>
      <c r="I177" s="5" t="str">
        <f t="shared" si="7"/>
        <v>W:\Performance Measurement\1. Freeway\1. raw data\2017\data files\det_479.txt</v>
      </c>
      <c r="J177" s="5" t="str">
        <f t="shared" si="8"/>
        <v>W:\Performance Measurement\1. Freeway\1. raw data\2017\data files\det_479.xlsx</v>
      </c>
      <c r="K177" s="5"/>
      <c r="M177" s="117" t="s">
        <v>68</v>
      </c>
      <c r="N177" s="10">
        <v>479</v>
      </c>
      <c r="O177" s="10">
        <v>5</v>
      </c>
      <c r="P177" s="10">
        <v>1</v>
      </c>
    </row>
    <row r="178" spans="4:16" x14ac:dyDescent="0.25">
      <c r="D178" s="109">
        <v>174</v>
      </c>
      <c r="E178" s="10">
        <v>482</v>
      </c>
      <c r="F178" s="10">
        <v>5</v>
      </c>
      <c r="G178" s="10">
        <v>1</v>
      </c>
      <c r="H178" s="5" t="str">
        <f t="shared" si="6"/>
        <v>det_482</v>
      </c>
      <c r="I178" s="5" t="str">
        <f t="shared" si="7"/>
        <v>W:\Performance Measurement\1. Freeway\1. raw data\2017\data files\det_482.txt</v>
      </c>
      <c r="J178" s="5" t="str">
        <f t="shared" si="8"/>
        <v>W:\Performance Measurement\1. Freeway\1. raw data\2017\data files\det_482.xlsx</v>
      </c>
      <c r="K178" s="5"/>
      <c r="M178" s="117" t="s">
        <v>68</v>
      </c>
      <c r="N178" s="10">
        <v>482</v>
      </c>
      <c r="O178" s="10">
        <v>5</v>
      </c>
      <c r="P178" s="10">
        <v>1</v>
      </c>
    </row>
    <row r="179" spans="4:16" x14ac:dyDescent="0.25">
      <c r="D179" s="109">
        <v>175</v>
      </c>
      <c r="E179" s="10">
        <v>485</v>
      </c>
      <c r="F179" s="10">
        <v>5</v>
      </c>
      <c r="G179" s="10">
        <v>1</v>
      </c>
      <c r="H179" s="5" t="str">
        <f t="shared" si="6"/>
        <v>det_485</v>
      </c>
      <c r="I179" s="5" t="str">
        <f t="shared" si="7"/>
        <v>W:\Performance Measurement\1. Freeway\1. raw data\2017\data files\det_485.txt</v>
      </c>
      <c r="J179" s="5" t="str">
        <f t="shared" si="8"/>
        <v>W:\Performance Measurement\1. Freeway\1. raw data\2017\data files\det_485.xlsx</v>
      </c>
      <c r="K179" s="5"/>
      <c r="M179" s="117" t="s">
        <v>68</v>
      </c>
      <c r="N179" s="10">
        <v>485</v>
      </c>
      <c r="O179" s="10">
        <v>5</v>
      </c>
      <c r="P179" s="10">
        <v>1</v>
      </c>
    </row>
    <row r="180" spans="4:16" x14ac:dyDescent="0.25">
      <c r="D180" s="109">
        <v>176</v>
      </c>
      <c r="E180" s="10">
        <v>488</v>
      </c>
      <c r="F180" s="10">
        <v>3</v>
      </c>
      <c r="G180" s="10">
        <v>1</v>
      </c>
      <c r="H180" s="5" t="str">
        <f t="shared" si="6"/>
        <v>det_488</v>
      </c>
      <c r="I180" s="5" t="str">
        <f t="shared" si="7"/>
        <v>W:\Performance Measurement\1. Freeway\1. raw data\2017\data files\det_488.txt</v>
      </c>
      <c r="J180" s="5" t="str">
        <f t="shared" si="8"/>
        <v>W:\Performance Measurement\1. Freeway\1. raw data\2017\data files\det_488.xlsx</v>
      </c>
      <c r="K180" s="5"/>
      <c r="M180" s="117" t="s">
        <v>68</v>
      </c>
      <c r="N180" s="10">
        <v>488</v>
      </c>
      <c r="O180" s="10">
        <v>3</v>
      </c>
      <c r="P180" s="10">
        <v>1</v>
      </c>
    </row>
    <row r="181" spans="4:16" x14ac:dyDescent="0.25">
      <c r="D181" s="109">
        <v>177</v>
      </c>
      <c r="E181" s="10">
        <v>490</v>
      </c>
      <c r="F181" s="10">
        <v>3</v>
      </c>
      <c r="G181" s="10">
        <v>1</v>
      </c>
      <c r="H181" s="5" t="str">
        <f t="shared" si="6"/>
        <v>det_490</v>
      </c>
      <c r="I181" s="5" t="str">
        <f t="shared" si="7"/>
        <v>W:\Performance Measurement\1. Freeway\1. raw data\2017\data files\det_490.txt</v>
      </c>
      <c r="J181" s="5" t="str">
        <f t="shared" si="8"/>
        <v>W:\Performance Measurement\1. Freeway\1. raw data\2017\data files\det_490.xlsx</v>
      </c>
      <c r="K181" s="5"/>
      <c r="M181" s="117" t="s">
        <v>68</v>
      </c>
      <c r="N181" s="10">
        <v>490</v>
      </c>
      <c r="O181" s="10">
        <v>3</v>
      </c>
      <c r="P181" s="10">
        <v>1</v>
      </c>
    </row>
    <row r="182" spans="4:16" x14ac:dyDescent="0.25">
      <c r="D182" s="109">
        <v>178</v>
      </c>
      <c r="E182" s="10">
        <v>465</v>
      </c>
      <c r="F182" s="10">
        <v>5</v>
      </c>
      <c r="G182" s="10">
        <v>1</v>
      </c>
      <c r="H182" s="5" t="str">
        <f t="shared" si="6"/>
        <v>det_465</v>
      </c>
      <c r="I182" s="5" t="str">
        <f t="shared" si="7"/>
        <v>W:\Performance Measurement\1. Freeway\1. raw data\2017\data files\det_465.txt</v>
      </c>
      <c r="J182" s="5" t="str">
        <f t="shared" si="8"/>
        <v>W:\Performance Measurement\1. Freeway\1. raw data\2017\data files\det_465.xlsx</v>
      </c>
      <c r="K182" s="5"/>
      <c r="M182" s="117" t="s">
        <v>69</v>
      </c>
      <c r="N182" s="10">
        <v>465</v>
      </c>
      <c r="O182" s="10">
        <v>5</v>
      </c>
      <c r="P182" s="10">
        <v>1</v>
      </c>
    </row>
    <row r="183" spans="4:16" x14ac:dyDescent="0.25">
      <c r="D183" s="109">
        <v>179</v>
      </c>
      <c r="E183" s="10">
        <v>520</v>
      </c>
      <c r="F183" s="10">
        <v>5</v>
      </c>
      <c r="G183" s="10">
        <v>1</v>
      </c>
      <c r="H183" s="5" t="str">
        <f t="shared" si="6"/>
        <v>det_520</v>
      </c>
      <c r="I183" s="5" t="str">
        <f t="shared" si="7"/>
        <v>W:\Performance Measurement\1. Freeway\1. raw data\2017\data files\det_520.txt</v>
      </c>
      <c r="J183" s="5" t="str">
        <f t="shared" si="8"/>
        <v>W:\Performance Measurement\1. Freeway\1. raw data\2017\data files\det_520.xlsx</v>
      </c>
      <c r="K183" s="5"/>
      <c r="M183" s="117" t="s">
        <v>69</v>
      </c>
      <c r="N183" s="10">
        <v>520</v>
      </c>
      <c r="O183" s="10">
        <v>5</v>
      </c>
      <c r="P183" s="10">
        <v>1</v>
      </c>
    </row>
    <row r="184" spans="4:16" x14ac:dyDescent="0.25">
      <c r="D184" s="109">
        <v>180</v>
      </c>
      <c r="E184" s="10">
        <v>521</v>
      </c>
      <c r="F184" s="10">
        <v>5</v>
      </c>
      <c r="G184" s="10">
        <v>1</v>
      </c>
      <c r="H184" s="5" t="str">
        <f t="shared" si="6"/>
        <v>det_521</v>
      </c>
      <c r="I184" s="5" t="str">
        <f t="shared" si="7"/>
        <v>W:\Performance Measurement\1. Freeway\1. raw data\2017\data files\det_521.txt</v>
      </c>
      <c r="J184" s="5" t="str">
        <f t="shared" si="8"/>
        <v>W:\Performance Measurement\1. Freeway\1. raw data\2017\data files\det_521.xlsx</v>
      </c>
      <c r="K184" s="5"/>
      <c r="M184" s="117" t="s">
        <v>69</v>
      </c>
      <c r="N184" s="10">
        <v>521</v>
      </c>
      <c r="O184" s="10">
        <v>5</v>
      </c>
      <c r="P184" s="10">
        <v>1</v>
      </c>
    </row>
    <row r="185" spans="4:16" x14ac:dyDescent="0.25">
      <c r="D185" s="109">
        <v>181</v>
      </c>
      <c r="E185" s="10">
        <v>522</v>
      </c>
      <c r="F185" s="10">
        <v>5</v>
      </c>
      <c r="G185" s="10">
        <v>1</v>
      </c>
      <c r="H185" s="5" t="str">
        <f t="shared" si="6"/>
        <v>det_522</v>
      </c>
      <c r="I185" s="5" t="str">
        <f t="shared" si="7"/>
        <v>W:\Performance Measurement\1. Freeway\1. raw data\2017\data files\det_522.txt</v>
      </c>
      <c r="J185" s="5" t="str">
        <f t="shared" si="8"/>
        <v>W:\Performance Measurement\1. Freeway\1. raw data\2017\data files\det_522.xlsx</v>
      </c>
      <c r="K185" s="5"/>
      <c r="M185" s="117" t="s">
        <v>69</v>
      </c>
      <c r="N185" s="10">
        <v>522</v>
      </c>
      <c r="O185" s="10">
        <v>5</v>
      </c>
      <c r="P185" s="10">
        <v>1</v>
      </c>
    </row>
    <row r="186" spans="4:16" x14ac:dyDescent="0.25">
      <c r="D186" s="109">
        <v>182</v>
      </c>
      <c r="E186" s="10">
        <v>523</v>
      </c>
      <c r="F186" s="10">
        <v>5</v>
      </c>
      <c r="G186" s="10">
        <v>1</v>
      </c>
      <c r="H186" s="5" t="str">
        <f t="shared" si="6"/>
        <v>det_523</v>
      </c>
      <c r="I186" s="5" t="str">
        <f t="shared" si="7"/>
        <v>W:\Performance Measurement\1. Freeway\1. raw data\2017\data files\det_523.txt</v>
      </c>
      <c r="J186" s="5" t="str">
        <f t="shared" si="8"/>
        <v>W:\Performance Measurement\1. Freeway\1. raw data\2017\data files\det_523.xlsx</v>
      </c>
      <c r="K186" s="5"/>
      <c r="M186" s="117" t="s">
        <v>69</v>
      </c>
      <c r="N186" s="10">
        <v>523</v>
      </c>
      <c r="O186" s="10">
        <v>5</v>
      </c>
      <c r="P186" s="10">
        <v>1</v>
      </c>
    </row>
    <row r="187" spans="4:16" x14ac:dyDescent="0.25">
      <c r="D187" s="109">
        <v>183</v>
      </c>
      <c r="E187" s="10">
        <v>524</v>
      </c>
      <c r="F187" s="10">
        <v>5</v>
      </c>
      <c r="G187" s="10">
        <v>1</v>
      </c>
      <c r="H187" s="5" t="str">
        <f t="shared" si="6"/>
        <v>det_524</v>
      </c>
      <c r="I187" s="5" t="str">
        <f t="shared" si="7"/>
        <v>W:\Performance Measurement\1. Freeway\1. raw data\2017\data files\det_524.txt</v>
      </c>
      <c r="J187" s="5" t="str">
        <f t="shared" si="8"/>
        <v>W:\Performance Measurement\1. Freeway\1. raw data\2017\data files\det_524.xlsx</v>
      </c>
      <c r="K187" s="5"/>
      <c r="M187" s="117" t="s">
        <v>69</v>
      </c>
      <c r="N187" s="10">
        <v>524</v>
      </c>
      <c r="O187" s="10">
        <v>5</v>
      </c>
      <c r="P187" s="10">
        <v>1</v>
      </c>
    </row>
    <row r="188" spans="4:16" x14ac:dyDescent="0.25">
      <c r="D188" s="109">
        <v>184</v>
      </c>
      <c r="E188" s="10">
        <v>525</v>
      </c>
      <c r="F188" s="10">
        <v>4</v>
      </c>
      <c r="G188" s="10">
        <v>1</v>
      </c>
      <c r="H188" s="5" t="str">
        <f t="shared" si="6"/>
        <v>det_525</v>
      </c>
      <c r="I188" s="5" t="str">
        <f t="shared" si="7"/>
        <v>W:\Performance Measurement\1. Freeway\1. raw data\2017\data files\det_525.txt</v>
      </c>
      <c r="J188" s="5" t="str">
        <f t="shared" si="8"/>
        <v>W:\Performance Measurement\1. Freeway\1. raw data\2017\data files\det_525.xlsx</v>
      </c>
      <c r="K188" s="5"/>
      <c r="M188" s="117" t="s">
        <v>69</v>
      </c>
      <c r="N188" s="10">
        <v>525</v>
      </c>
      <c r="O188" s="10">
        <v>4</v>
      </c>
      <c r="P188" s="10">
        <v>1</v>
      </c>
    </row>
    <row r="189" spans="4:16" x14ac:dyDescent="0.25">
      <c r="D189" s="109">
        <v>185</v>
      </c>
      <c r="E189" s="10">
        <v>526</v>
      </c>
      <c r="F189" s="10">
        <v>3</v>
      </c>
      <c r="G189" s="10">
        <v>1</v>
      </c>
      <c r="H189" s="5" t="str">
        <f t="shared" si="6"/>
        <v>det_526</v>
      </c>
      <c r="I189" s="5" t="str">
        <f t="shared" si="7"/>
        <v>W:\Performance Measurement\1. Freeway\1. raw data\2017\data files\det_526.txt</v>
      </c>
      <c r="J189" s="5" t="str">
        <f t="shared" si="8"/>
        <v>W:\Performance Measurement\1. Freeway\1. raw data\2017\data files\det_526.xlsx</v>
      </c>
      <c r="K189" s="5"/>
      <c r="M189" s="117" t="s">
        <v>69</v>
      </c>
      <c r="N189" s="10">
        <v>526</v>
      </c>
      <c r="O189" s="10">
        <v>3</v>
      </c>
      <c r="P189" s="10">
        <v>1</v>
      </c>
    </row>
    <row r="190" spans="4:16" x14ac:dyDescent="0.25">
      <c r="D190" s="109">
        <v>186</v>
      </c>
      <c r="E190" s="112">
        <v>527</v>
      </c>
      <c r="F190" s="112">
        <v>3</v>
      </c>
      <c r="G190" s="112">
        <v>1</v>
      </c>
      <c r="H190" s="5" t="str">
        <f t="shared" si="6"/>
        <v>det_527</v>
      </c>
      <c r="I190" s="5" t="str">
        <f t="shared" si="7"/>
        <v>W:\Performance Measurement\1. Freeway\1. raw data\2017\data files\det_527.txt</v>
      </c>
      <c r="J190" s="5" t="str">
        <f t="shared" si="8"/>
        <v>W:\Performance Measurement\1. Freeway\1. raw data\2017\data files\det_527.xlsx</v>
      </c>
      <c r="K190" s="5"/>
      <c r="M190" s="117" t="s">
        <v>69</v>
      </c>
      <c r="N190" s="10">
        <v>527</v>
      </c>
      <c r="O190" s="10">
        <v>3</v>
      </c>
      <c r="P190" s="10">
        <v>1</v>
      </c>
    </row>
    <row r="191" spans="4:16" x14ac:dyDescent="0.25">
      <c r="D191" s="109">
        <v>187</v>
      </c>
      <c r="E191" s="10">
        <v>528</v>
      </c>
      <c r="F191" s="10">
        <v>5</v>
      </c>
      <c r="G191" s="10">
        <v>1</v>
      </c>
      <c r="H191" s="5" t="str">
        <f t="shared" si="6"/>
        <v>det_528</v>
      </c>
      <c r="I191" s="5" t="str">
        <f t="shared" si="7"/>
        <v>W:\Performance Measurement\1. Freeway\1. raw data\2017\data files\det_528.txt</v>
      </c>
      <c r="J191" s="5" t="str">
        <f t="shared" si="8"/>
        <v>W:\Performance Measurement\1. Freeway\1. raw data\2017\data files\det_528.xlsx</v>
      </c>
      <c r="K191" s="5"/>
      <c r="M191" s="117" t="s">
        <v>69</v>
      </c>
      <c r="N191" s="10">
        <v>528</v>
      </c>
      <c r="O191" s="10">
        <v>5</v>
      </c>
      <c r="P191" s="10">
        <v>1</v>
      </c>
    </row>
    <row r="192" spans="4:16" x14ac:dyDescent="0.25">
      <c r="D192" s="109">
        <v>188</v>
      </c>
      <c r="E192" s="112">
        <v>529</v>
      </c>
      <c r="F192" s="112">
        <v>3</v>
      </c>
      <c r="G192" s="112">
        <v>1</v>
      </c>
      <c r="H192" s="5" t="str">
        <f t="shared" si="6"/>
        <v>det_529</v>
      </c>
      <c r="I192" s="5" t="str">
        <f t="shared" si="7"/>
        <v>W:\Performance Measurement\1. Freeway\1. raw data\2017\data files\det_529.txt</v>
      </c>
      <c r="J192" s="5" t="str">
        <f t="shared" si="8"/>
        <v>W:\Performance Measurement\1. Freeway\1. raw data\2017\data files\det_529.xlsx</v>
      </c>
      <c r="K192" s="5"/>
      <c r="M192" s="117" t="s">
        <v>69</v>
      </c>
      <c r="N192" s="112">
        <v>529</v>
      </c>
      <c r="O192" s="112">
        <v>3</v>
      </c>
      <c r="P192" s="112">
        <v>1</v>
      </c>
    </row>
    <row r="193" spans="4:16" x14ac:dyDescent="0.25">
      <c r="D193" s="109">
        <v>189</v>
      </c>
      <c r="E193" s="10">
        <v>530</v>
      </c>
      <c r="F193" s="10">
        <v>3</v>
      </c>
      <c r="G193" s="10">
        <v>1</v>
      </c>
      <c r="H193" s="5" t="str">
        <f t="shared" si="6"/>
        <v>det_530</v>
      </c>
      <c r="I193" s="5" t="str">
        <f t="shared" si="7"/>
        <v>W:\Performance Measurement\1. Freeway\1. raw data\2017\data files\det_530.txt</v>
      </c>
      <c r="J193" s="5" t="str">
        <f t="shared" si="8"/>
        <v>W:\Performance Measurement\1. Freeway\1. raw data\2017\data files\det_530.xlsx</v>
      </c>
      <c r="K193" s="5"/>
      <c r="M193" s="117" t="s">
        <v>69</v>
      </c>
      <c r="N193" s="10">
        <v>530</v>
      </c>
      <c r="O193" s="10">
        <v>3</v>
      </c>
      <c r="P193" s="10">
        <v>1</v>
      </c>
    </row>
    <row r="194" spans="4:16" x14ac:dyDescent="0.25">
      <c r="D194" s="109">
        <v>190</v>
      </c>
      <c r="E194" s="10">
        <v>531</v>
      </c>
      <c r="F194" s="10">
        <v>3</v>
      </c>
      <c r="G194" s="10">
        <v>1</v>
      </c>
      <c r="H194" s="5" t="str">
        <f t="shared" si="6"/>
        <v>det_531</v>
      </c>
      <c r="I194" s="5" t="str">
        <f t="shared" si="7"/>
        <v>W:\Performance Measurement\1. Freeway\1. raw data\2017\data files\det_531.txt</v>
      </c>
      <c r="J194" s="5" t="str">
        <f t="shared" si="8"/>
        <v>W:\Performance Measurement\1. Freeway\1. raw data\2017\data files\det_531.xlsx</v>
      </c>
      <c r="K194" s="5"/>
      <c r="M194" s="117" t="s">
        <v>69</v>
      </c>
      <c r="N194" s="10">
        <v>531</v>
      </c>
      <c r="O194" s="10">
        <v>3</v>
      </c>
      <c r="P194" s="10">
        <v>1</v>
      </c>
    </row>
    <row r="195" spans="4:16" x14ac:dyDescent="0.25">
      <c r="D195" s="109">
        <v>191</v>
      </c>
      <c r="E195" s="115">
        <v>532</v>
      </c>
      <c r="F195" s="115">
        <v>2</v>
      </c>
      <c r="G195" s="115">
        <v>1</v>
      </c>
      <c r="H195" s="5" t="str">
        <f t="shared" si="6"/>
        <v>det_532</v>
      </c>
      <c r="I195" s="5" t="str">
        <f t="shared" si="7"/>
        <v>W:\Performance Measurement\1. Freeway\1. raw data\2017\data files\det_532.txt</v>
      </c>
      <c r="J195" s="5" t="str">
        <f t="shared" si="8"/>
        <v>W:\Performance Measurement\1. Freeway\1. raw data\2017\data files\det_532.xlsx</v>
      </c>
      <c r="K195" s="5"/>
      <c r="M195" s="117" t="s">
        <v>69</v>
      </c>
      <c r="N195" s="115">
        <v>532</v>
      </c>
      <c r="O195" s="115">
        <v>2</v>
      </c>
      <c r="P195" s="115">
        <v>1</v>
      </c>
    </row>
    <row r="196" spans="4:16" x14ac:dyDescent="0.25">
      <c r="D196" s="109">
        <v>192</v>
      </c>
      <c r="E196" s="10">
        <v>533</v>
      </c>
      <c r="F196" s="10">
        <v>6</v>
      </c>
      <c r="G196" s="10">
        <v>1</v>
      </c>
      <c r="H196" s="5" t="str">
        <f t="shared" si="6"/>
        <v>det_533</v>
      </c>
      <c r="I196" s="5" t="str">
        <f t="shared" si="7"/>
        <v>W:\Performance Measurement\1. Freeway\1. raw data\2017\data files\det_533.txt</v>
      </c>
      <c r="J196" s="5" t="str">
        <f t="shared" si="8"/>
        <v>W:\Performance Measurement\1. Freeway\1. raw data\2017\data files\det_533.xlsx</v>
      </c>
      <c r="K196" s="5"/>
      <c r="M196" s="117" t="s">
        <v>69</v>
      </c>
      <c r="N196" s="10">
        <v>533</v>
      </c>
      <c r="O196" s="10">
        <v>6</v>
      </c>
      <c r="P196" s="10">
        <v>1</v>
      </c>
    </row>
    <row r="197" spans="4:16" x14ac:dyDescent="0.25">
      <c r="D197" s="109">
        <v>193</v>
      </c>
      <c r="E197" s="10">
        <v>534</v>
      </c>
      <c r="F197" s="10">
        <v>5</v>
      </c>
      <c r="G197" s="10">
        <v>1</v>
      </c>
      <c r="H197" s="5" t="str">
        <f t="shared" ref="H197:H260" si="9">"det_"&amp;E197&amp;""</f>
        <v>det_534</v>
      </c>
      <c r="I197" s="5" t="str">
        <f t="shared" ref="I197:I265" si="10">$B$5&amp;"\"&amp;H197&amp;".txt"</f>
        <v>W:\Performance Measurement\1. Freeway\1. raw data\2017\data files\det_534.txt</v>
      </c>
      <c r="J197" s="5" t="str">
        <f t="shared" ref="J197:J265" si="11">$B$5&amp;"\"&amp;H197&amp;".xlsx"</f>
        <v>W:\Performance Measurement\1. Freeway\1. raw data\2017\data files\det_534.xlsx</v>
      </c>
      <c r="K197" s="5"/>
      <c r="M197" s="117" t="s">
        <v>69</v>
      </c>
      <c r="N197" s="10">
        <v>534</v>
      </c>
      <c r="O197" s="10">
        <v>5</v>
      </c>
      <c r="P197" s="10">
        <v>1</v>
      </c>
    </row>
    <row r="198" spans="4:16" x14ac:dyDescent="0.25">
      <c r="D198" s="109">
        <v>194</v>
      </c>
      <c r="E198" s="112">
        <v>535</v>
      </c>
      <c r="F198" s="112">
        <v>4</v>
      </c>
      <c r="G198" s="112">
        <v>1</v>
      </c>
      <c r="H198" s="5" t="str">
        <f t="shared" si="9"/>
        <v>det_535</v>
      </c>
      <c r="I198" s="5" t="str">
        <f t="shared" si="10"/>
        <v>W:\Performance Measurement\1. Freeway\1. raw data\2017\data files\det_535.txt</v>
      </c>
      <c r="J198" s="5" t="str">
        <f t="shared" si="11"/>
        <v>W:\Performance Measurement\1. Freeway\1. raw data\2017\data files\det_535.xlsx</v>
      </c>
      <c r="K198" s="5"/>
      <c r="M198" s="117" t="s">
        <v>69</v>
      </c>
      <c r="N198" s="112">
        <v>535</v>
      </c>
      <c r="O198" s="112">
        <v>4</v>
      </c>
      <c r="P198" s="112">
        <v>1</v>
      </c>
    </row>
    <row r="199" spans="4:16" x14ac:dyDescent="0.25">
      <c r="D199" s="109">
        <v>195</v>
      </c>
      <c r="E199" s="10">
        <v>536</v>
      </c>
      <c r="F199" s="10">
        <v>5</v>
      </c>
      <c r="G199" s="10">
        <v>1</v>
      </c>
      <c r="H199" s="5" t="str">
        <f t="shared" si="9"/>
        <v>det_536</v>
      </c>
      <c r="I199" s="5" t="str">
        <f t="shared" si="10"/>
        <v>W:\Performance Measurement\1. Freeway\1. raw data\2017\data files\det_536.txt</v>
      </c>
      <c r="J199" s="5" t="str">
        <f t="shared" si="11"/>
        <v>W:\Performance Measurement\1. Freeway\1. raw data\2017\data files\det_536.xlsx</v>
      </c>
      <c r="K199" s="5"/>
      <c r="M199" s="117" t="s">
        <v>69</v>
      </c>
      <c r="N199" s="10">
        <v>536</v>
      </c>
      <c r="O199" s="10">
        <v>5</v>
      </c>
      <c r="P199" s="10">
        <v>1</v>
      </c>
    </row>
    <row r="200" spans="4:16" x14ac:dyDescent="0.25">
      <c r="D200" s="109">
        <v>196</v>
      </c>
      <c r="E200" s="10">
        <v>537</v>
      </c>
      <c r="F200" s="10">
        <v>5</v>
      </c>
      <c r="G200" s="10">
        <v>1</v>
      </c>
      <c r="H200" s="5" t="str">
        <f t="shared" si="9"/>
        <v>det_537</v>
      </c>
      <c r="I200" s="5" t="str">
        <f t="shared" si="10"/>
        <v>W:\Performance Measurement\1. Freeway\1. raw data\2017\data files\det_537.txt</v>
      </c>
      <c r="J200" s="5" t="str">
        <f t="shared" si="11"/>
        <v>W:\Performance Measurement\1. Freeway\1. raw data\2017\data files\det_537.xlsx</v>
      </c>
      <c r="K200" s="5"/>
      <c r="M200" s="117" t="s">
        <v>69</v>
      </c>
      <c r="N200" s="10">
        <v>537</v>
      </c>
      <c r="O200" s="10">
        <v>5</v>
      </c>
      <c r="P200" s="10">
        <v>1</v>
      </c>
    </row>
    <row r="201" spans="4:16" x14ac:dyDescent="0.25">
      <c r="D201" s="109">
        <v>197</v>
      </c>
      <c r="E201" s="10">
        <v>538</v>
      </c>
      <c r="F201" s="10">
        <v>5</v>
      </c>
      <c r="G201" s="10">
        <v>1</v>
      </c>
      <c r="H201" s="5" t="str">
        <f t="shared" si="9"/>
        <v>det_538</v>
      </c>
      <c r="I201" s="5" t="str">
        <f t="shared" si="10"/>
        <v>W:\Performance Measurement\1. Freeway\1. raw data\2017\data files\det_538.txt</v>
      </c>
      <c r="J201" s="5" t="str">
        <f t="shared" si="11"/>
        <v>W:\Performance Measurement\1. Freeway\1. raw data\2017\data files\det_538.xlsx</v>
      </c>
      <c r="K201" s="5"/>
      <c r="M201" s="117" t="s">
        <v>69</v>
      </c>
      <c r="N201" s="10">
        <v>538</v>
      </c>
      <c r="O201" s="10">
        <v>5</v>
      </c>
      <c r="P201" s="10">
        <v>1</v>
      </c>
    </row>
    <row r="202" spans="4:16" x14ac:dyDescent="0.25">
      <c r="D202" s="109">
        <v>198</v>
      </c>
      <c r="E202" s="10">
        <v>178</v>
      </c>
      <c r="F202" s="10">
        <v>3</v>
      </c>
      <c r="G202" s="10">
        <v>0</v>
      </c>
      <c r="H202" s="5" t="str">
        <f t="shared" si="9"/>
        <v>det_178</v>
      </c>
      <c r="I202" s="5" t="str">
        <f t="shared" si="10"/>
        <v>W:\Performance Measurement\1. Freeway\1. raw data\2017\data files\det_178.txt</v>
      </c>
      <c r="J202" s="5" t="str">
        <f t="shared" si="11"/>
        <v>W:\Performance Measurement\1. Freeway\1. raw data\2017\data files\det_178.xlsx</v>
      </c>
      <c r="K202" s="5"/>
      <c r="M202" s="117" t="s">
        <v>70</v>
      </c>
      <c r="N202" s="10">
        <v>178</v>
      </c>
      <c r="O202" s="10">
        <v>3</v>
      </c>
      <c r="P202" s="10">
        <v>0</v>
      </c>
    </row>
    <row r="203" spans="4:16" x14ac:dyDescent="0.25">
      <c r="D203" s="109">
        <v>199</v>
      </c>
      <c r="E203" s="10">
        <v>179</v>
      </c>
      <c r="F203" s="10">
        <v>2</v>
      </c>
      <c r="G203" s="10">
        <v>0</v>
      </c>
      <c r="H203" s="5" t="str">
        <f t="shared" si="9"/>
        <v>det_179</v>
      </c>
      <c r="I203" s="5" t="str">
        <f t="shared" si="10"/>
        <v>W:\Performance Measurement\1. Freeway\1. raw data\2017\data files\det_179.txt</v>
      </c>
      <c r="J203" s="5" t="str">
        <f t="shared" si="11"/>
        <v>W:\Performance Measurement\1. Freeway\1. raw data\2017\data files\det_179.xlsx</v>
      </c>
      <c r="K203" s="5"/>
      <c r="M203" s="117" t="s">
        <v>70</v>
      </c>
      <c r="N203" s="10">
        <v>179</v>
      </c>
      <c r="O203" s="10">
        <v>2</v>
      </c>
      <c r="P203" s="10">
        <v>0</v>
      </c>
    </row>
    <row r="204" spans="4:16" x14ac:dyDescent="0.25">
      <c r="D204" s="109">
        <v>200</v>
      </c>
      <c r="E204" s="10">
        <v>182</v>
      </c>
      <c r="F204" s="10">
        <v>3</v>
      </c>
      <c r="G204" s="10">
        <v>0</v>
      </c>
      <c r="H204" s="5" t="str">
        <f t="shared" si="9"/>
        <v>det_182</v>
      </c>
      <c r="I204" s="5" t="str">
        <f t="shared" si="10"/>
        <v>W:\Performance Measurement\1. Freeway\1. raw data\2017\data files\det_182.txt</v>
      </c>
      <c r="J204" s="5" t="str">
        <f t="shared" si="11"/>
        <v>W:\Performance Measurement\1. Freeway\1. raw data\2017\data files\det_182.xlsx</v>
      </c>
      <c r="K204" s="5"/>
      <c r="M204" s="117" t="s">
        <v>70</v>
      </c>
      <c r="N204" s="10">
        <v>182</v>
      </c>
      <c r="O204" s="10">
        <v>3</v>
      </c>
      <c r="P204" s="10">
        <v>0</v>
      </c>
    </row>
    <row r="205" spans="4:16" x14ac:dyDescent="0.25">
      <c r="D205" s="109">
        <v>201</v>
      </c>
      <c r="E205" s="10">
        <v>184</v>
      </c>
      <c r="F205" s="10">
        <v>2</v>
      </c>
      <c r="G205" s="10">
        <v>0</v>
      </c>
      <c r="H205" s="5" t="str">
        <f t="shared" si="9"/>
        <v>det_184</v>
      </c>
      <c r="I205" s="5" t="str">
        <f t="shared" si="10"/>
        <v>W:\Performance Measurement\1. Freeway\1. raw data\2017\data files\det_184.txt</v>
      </c>
      <c r="J205" s="5" t="str">
        <f t="shared" si="11"/>
        <v>W:\Performance Measurement\1. Freeway\1. raw data\2017\data files\det_184.xlsx</v>
      </c>
      <c r="K205" s="5"/>
      <c r="M205" s="117" t="s">
        <v>70</v>
      </c>
      <c r="N205" s="10">
        <v>184</v>
      </c>
      <c r="O205" s="10">
        <v>2</v>
      </c>
      <c r="P205" s="10">
        <v>0</v>
      </c>
    </row>
    <row r="206" spans="4:16" x14ac:dyDescent="0.25">
      <c r="D206" s="109">
        <v>202</v>
      </c>
      <c r="E206" s="10">
        <v>187</v>
      </c>
      <c r="F206" s="10">
        <v>2</v>
      </c>
      <c r="G206" s="10">
        <v>0</v>
      </c>
      <c r="H206" s="5" t="str">
        <f t="shared" si="9"/>
        <v>det_187</v>
      </c>
      <c r="I206" s="5" t="str">
        <f t="shared" si="10"/>
        <v>W:\Performance Measurement\1. Freeway\1. raw data\2017\data files\det_187.txt</v>
      </c>
      <c r="J206" s="5" t="str">
        <f t="shared" si="11"/>
        <v>W:\Performance Measurement\1. Freeway\1. raw data\2017\data files\det_187.xlsx</v>
      </c>
      <c r="K206" s="5"/>
      <c r="M206" s="117" t="s">
        <v>70</v>
      </c>
      <c r="N206" s="10">
        <v>187</v>
      </c>
      <c r="O206" s="10">
        <v>2</v>
      </c>
      <c r="P206" s="10">
        <v>0</v>
      </c>
    </row>
    <row r="207" spans="4:16" x14ac:dyDescent="0.25">
      <c r="D207" s="109">
        <v>203</v>
      </c>
      <c r="E207" s="10">
        <v>176</v>
      </c>
      <c r="F207" s="10">
        <v>2</v>
      </c>
      <c r="G207" s="10">
        <v>0</v>
      </c>
      <c r="H207" s="5" t="str">
        <f t="shared" si="9"/>
        <v>det_176</v>
      </c>
      <c r="I207" s="5" t="str">
        <f t="shared" si="10"/>
        <v>W:\Performance Measurement\1. Freeway\1. raw data\2017\data files\det_176.txt</v>
      </c>
      <c r="J207" s="5" t="str">
        <f t="shared" si="11"/>
        <v>W:\Performance Measurement\1. Freeway\1. raw data\2017\data files\det_176.xlsx</v>
      </c>
      <c r="K207" s="5"/>
      <c r="M207" s="117" t="s">
        <v>70</v>
      </c>
      <c r="N207" s="10">
        <v>176</v>
      </c>
      <c r="O207" s="10">
        <v>2</v>
      </c>
      <c r="P207" s="10">
        <v>0</v>
      </c>
    </row>
    <row r="208" spans="4:16" x14ac:dyDescent="0.25">
      <c r="D208" s="109">
        <v>204</v>
      </c>
      <c r="E208" s="10">
        <v>171</v>
      </c>
      <c r="F208" s="10">
        <v>3</v>
      </c>
      <c r="G208" s="10">
        <v>0</v>
      </c>
      <c r="H208" s="5" t="str">
        <f t="shared" si="9"/>
        <v>det_171</v>
      </c>
      <c r="I208" s="5" t="str">
        <f t="shared" si="10"/>
        <v>W:\Performance Measurement\1. Freeway\1. raw data\2017\data files\det_171.txt</v>
      </c>
      <c r="J208" s="5" t="str">
        <f t="shared" si="11"/>
        <v>W:\Performance Measurement\1. Freeway\1. raw data\2017\data files\det_171.xlsx</v>
      </c>
      <c r="K208" s="5"/>
      <c r="M208" s="117" t="s">
        <v>70</v>
      </c>
      <c r="N208" s="10">
        <v>171</v>
      </c>
      <c r="O208" s="10">
        <v>3</v>
      </c>
      <c r="P208" s="10">
        <v>0</v>
      </c>
    </row>
    <row r="209" spans="4:16" x14ac:dyDescent="0.25">
      <c r="D209" s="109">
        <v>205</v>
      </c>
      <c r="E209" s="112">
        <v>169</v>
      </c>
      <c r="F209" s="112">
        <v>4</v>
      </c>
      <c r="G209" s="112">
        <v>0</v>
      </c>
      <c r="H209" s="5" t="str">
        <f t="shared" si="9"/>
        <v>det_169</v>
      </c>
      <c r="I209" s="5" t="str">
        <f t="shared" si="10"/>
        <v>W:\Performance Measurement\1. Freeway\1. raw data\2017\data files\det_169.txt</v>
      </c>
      <c r="J209" s="5" t="str">
        <f t="shared" si="11"/>
        <v>W:\Performance Measurement\1. Freeway\1. raw data\2017\data files\det_169.xlsx</v>
      </c>
      <c r="K209" s="5"/>
      <c r="M209" s="117" t="s">
        <v>70</v>
      </c>
      <c r="N209" s="112">
        <v>169</v>
      </c>
      <c r="O209" s="112">
        <v>4</v>
      </c>
      <c r="P209" s="112">
        <v>0</v>
      </c>
    </row>
    <row r="210" spans="4:16" x14ac:dyDescent="0.25">
      <c r="D210" s="109">
        <v>206</v>
      </c>
      <c r="E210" s="10">
        <v>167</v>
      </c>
      <c r="F210" s="10">
        <v>2</v>
      </c>
      <c r="G210" s="10">
        <v>0</v>
      </c>
      <c r="H210" s="5" t="str">
        <f t="shared" si="9"/>
        <v>det_167</v>
      </c>
      <c r="I210" s="5" t="str">
        <f t="shared" si="10"/>
        <v>W:\Performance Measurement\1. Freeway\1. raw data\2017\data files\det_167.txt</v>
      </c>
      <c r="J210" s="5" t="str">
        <f t="shared" si="11"/>
        <v>W:\Performance Measurement\1. Freeway\1. raw data\2017\data files\det_167.xlsx</v>
      </c>
      <c r="K210" s="5"/>
      <c r="M210" s="117" t="s">
        <v>70</v>
      </c>
      <c r="N210" s="10">
        <v>167</v>
      </c>
      <c r="O210" s="10">
        <v>2</v>
      </c>
      <c r="P210" s="10">
        <v>0</v>
      </c>
    </row>
    <row r="211" spans="4:16" x14ac:dyDescent="0.25">
      <c r="D211" s="109">
        <v>207</v>
      </c>
      <c r="E211" s="10">
        <v>539</v>
      </c>
      <c r="F211" s="10">
        <v>0</v>
      </c>
      <c r="G211" s="10">
        <v>0</v>
      </c>
      <c r="H211" s="5" t="str">
        <f t="shared" si="9"/>
        <v>det_539</v>
      </c>
      <c r="I211" s="5" t="str">
        <f t="shared" si="10"/>
        <v>W:\Performance Measurement\1. Freeway\1. raw data\2017\data files\det_539.txt</v>
      </c>
      <c r="J211" s="5" t="str">
        <f t="shared" si="11"/>
        <v>W:\Performance Measurement\1. Freeway\1. raw data\2017\data files\det_539.xlsx</v>
      </c>
      <c r="K211" s="5"/>
      <c r="M211" s="117" t="s">
        <v>71</v>
      </c>
      <c r="N211" s="10">
        <v>539</v>
      </c>
      <c r="O211" s="10">
        <v>0</v>
      </c>
      <c r="P211" s="10">
        <v>0</v>
      </c>
    </row>
    <row r="212" spans="4:16" x14ac:dyDescent="0.25">
      <c r="D212" s="109">
        <v>208</v>
      </c>
      <c r="E212" s="112">
        <v>540</v>
      </c>
      <c r="F212" s="112">
        <v>2</v>
      </c>
      <c r="G212" s="112">
        <v>1</v>
      </c>
      <c r="H212" s="5" t="str">
        <f t="shared" si="9"/>
        <v>det_540</v>
      </c>
      <c r="I212" s="5" t="str">
        <f t="shared" si="10"/>
        <v>W:\Performance Measurement\1. Freeway\1. raw data\2017\data files\det_540.txt</v>
      </c>
      <c r="J212" s="5" t="str">
        <f t="shared" si="11"/>
        <v>W:\Performance Measurement\1. Freeway\1. raw data\2017\data files\det_540.xlsx</v>
      </c>
      <c r="K212" s="5"/>
      <c r="M212" s="117" t="s">
        <v>71</v>
      </c>
      <c r="N212" s="112">
        <v>540</v>
      </c>
      <c r="O212" s="112">
        <v>2</v>
      </c>
      <c r="P212" s="112">
        <v>1</v>
      </c>
    </row>
    <row r="213" spans="4:16" x14ac:dyDescent="0.25">
      <c r="D213" s="109">
        <v>209</v>
      </c>
      <c r="E213" s="10">
        <v>541</v>
      </c>
      <c r="F213" s="10">
        <v>3</v>
      </c>
      <c r="G213" s="10">
        <v>1</v>
      </c>
      <c r="H213" s="5" t="str">
        <f t="shared" si="9"/>
        <v>det_541</v>
      </c>
      <c r="I213" s="5" t="str">
        <f t="shared" si="10"/>
        <v>W:\Performance Measurement\1. Freeway\1. raw data\2017\data files\det_541.txt</v>
      </c>
      <c r="J213" s="5" t="str">
        <f t="shared" si="11"/>
        <v>W:\Performance Measurement\1. Freeway\1. raw data\2017\data files\det_541.xlsx</v>
      </c>
      <c r="K213" s="5"/>
      <c r="M213" s="117" t="s">
        <v>71</v>
      </c>
      <c r="N213" s="10">
        <v>541</v>
      </c>
      <c r="O213" s="10">
        <v>3</v>
      </c>
      <c r="P213" s="10">
        <v>1</v>
      </c>
    </row>
    <row r="214" spans="4:16" x14ac:dyDescent="0.25">
      <c r="D214" s="109">
        <v>210</v>
      </c>
      <c r="E214" s="10">
        <v>542</v>
      </c>
      <c r="F214" s="10">
        <v>3</v>
      </c>
      <c r="G214" s="10">
        <v>1</v>
      </c>
      <c r="H214" s="5" t="str">
        <f t="shared" si="9"/>
        <v>det_542</v>
      </c>
      <c r="I214" s="5" t="str">
        <f t="shared" si="10"/>
        <v>W:\Performance Measurement\1. Freeway\1. raw data\2017\data files\det_542.txt</v>
      </c>
      <c r="J214" s="5" t="str">
        <f t="shared" si="11"/>
        <v>W:\Performance Measurement\1. Freeway\1. raw data\2017\data files\det_542.xlsx</v>
      </c>
      <c r="K214" s="5"/>
      <c r="M214" s="117" t="s">
        <v>71</v>
      </c>
      <c r="N214" s="10">
        <v>542</v>
      </c>
      <c r="O214" s="10">
        <v>3</v>
      </c>
      <c r="P214" s="10">
        <v>1</v>
      </c>
    </row>
    <row r="215" spans="4:16" x14ac:dyDescent="0.25">
      <c r="D215" s="109">
        <v>211</v>
      </c>
      <c r="E215" s="10">
        <v>543</v>
      </c>
      <c r="F215" s="10">
        <v>3</v>
      </c>
      <c r="G215" s="10">
        <v>1</v>
      </c>
      <c r="H215" s="5" t="str">
        <f t="shared" si="9"/>
        <v>det_543</v>
      </c>
      <c r="I215" s="5" t="str">
        <f t="shared" si="10"/>
        <v>W:\Performance Measurement\1. Freeway\1. raw data\2017\data files\det_543.txt</v>
      </c>
      <c r="J215" s="5" t="str">
        <f t="shared" si="11"/>
        <v>W:\Performance Measurement\1. Freeway\1. raw data\2017\data files\det_543.xlsx</v>
      </c>
      <c r="K215" s="5"/>
      <c r="M215" s="117" t="s">
        <v>71</v>
      </c>
      <c r="N215" s="10">
        <v>543</v>
      </c>
      <c r="O215" s="10">
        <v>3</v>
      </c>
      <c r="P215" s="10">
        <v>1</v>
      </c>
    </row>
    <row r="216" spans="4:16" x14ac:dyDescent="0.25">
      <c r="D216" s="109">
        <v>212</v>
      </c>
      <c r="E216" s="118">
        <v>514</v>
      </c>
      <c r="F216" s="118">
        <v>2</v>
      </c>
      <c r="G216" s="118">
        <v>1</v>
      </c>
      <c r="H216" s="5" t="str">
        <f t="shared" si="9"/>
        <v>det_514</v>
      </c>
      <c r="I216" s="5" t="str">
        <f t="shared" si="10"/>
        <v>W:\Performance Measurement\1. Freeway\1. raw data\2017\data files\det_514.txt</v>
      </c>
      <c r="J216" s="5" t="str">
        <f t="shared" si="11"/>
        <v>W:\Performance Measurement\1. Freeway\1. raw data\2017\data files\det_514.xlsx</v>
      </c>
      <c r="K216" s="5"/>
      <c r="M216" s="117" t="s">
        <v>71</v>
      </c>
      <c r="N216" s="118">
        <v>514</v>
      </c>
      <c r="O216" s="118">
        <v>2</v>
      </c>
      <c r="P216" s="118">
        <v>1</v>
      </c>
    </row>
    <row r="217" spans="4:16" x14ac:dyDescent="0.25">
      <c r="D217" s="109">
        <v>213</v>
      </c>
      <c r="E217" s="10">
        <v>518</v>
      </c>
      <c r="F217" s="10">
        <v>3</v>
      </c>
      <c r="G217" s="10">
        <v>1</v>
      </c>
      <c r="H217" s="5" t="str">
        <f t="shared" si="9"/>
        <v>det_518</v>
      </c>
      <c r="I217" s="5" t="str">
        <f t="shared" si="10"/>
        <v>W:\Performance Measurement\1. Freeway\1. raw data\2017\data files\det_518.txt</v>
      </c>
      <c r="J217" s="5" t="str">
        <f t="shared" si="11"/>
        <v>W:\Performance Measurement\1. Freeway\1. raw data\2017\data files\det_518.xlsx</v>
      </c>
      <c r="K217" s="5"/>
      <c r="M217" s="117" t="s">
        <v>71</v>
      </c>
      <c r="N217" s="10">
        <v>518</v>
      </c>
      <c r="O217" s="10">
        <v>3</v>
      </c>
      <c r="P217" s="10">
        <v>1</v>
      </c>
    </row>
    <row r="218" spans="4:16" x14ac:dyDescent="0.25">
      <c r="D218" s="109">
        <v>214</v>
      </c>
      <c r="E218" s="10">
        <v>510</v>
      </c>
      <c r="F218" s="10">
        <v>4</v>
      </c>
      <c r="G218" s="10">
        <v>1</v>
      </c>
      <c r="H218" s="5" t="str">
        <f t="shared" si="9"/>
        <v>det_510</v>
      </c>
      <c r="I218" s="5" t="str">
        <f t="shared" si="10"/>
        <v>W:\Performance Measurement\1. Freeway\1. raw data\2017\data files\det_510.txt</v>
      </c>
      <c r="J218" s="5" t="str">
        <f t="shared" si="11"/>
        <v>W:\Performance Measurement\1. Freeway\1. raw data\2017\data files\det_510.xlsx</v>
      </c>
      <c r="K218" s="5"/>
      <c r="M218" s="117" t="s">
        <v>71</v>
      </c>
      <c r="N218" s="10">
        <v>510</v>
      </c>
      <c r="O218" s="10">
        <v>4</v>
      </c>
      <c r="P218" s="10">
        <v>1</v>
      </c>
    </row>
    <row r="219" spans="4:16" x14ac:dyDescent="0.25">
      <c r="D219" s="109">
        <v>215</v>
      </c>
      <c r="E219" s="112">
        <v>513</v>
      </c>
      <c r="F219" s="112">
        <v>2</v>
      </c>
      <c r="G219" s="112">
        <v>0</v>
      </c>
      <c r="H219" s="5" t="str">
        <f t="shared" si="9"/>
        <v>det_513</v>
      </c>
      <c r="I219" s="5" t="str">
        <f t="shared" si="10"/>
        <v>W:\Performance Measurement\1. Freeway\1. raw data\2017\data files\det_513.txt</v>
      </c>
      <c r="J219" s="5" t="str">
        <f t="shared" si="11"/>
        <v>W:\Performance Measurement\1. Freeway\1. raw data\2017\data files\det_513.xlsx</v>
      </c>
      <c r="K219" s="5"/>
      <c r="M219" s="117" t="s">
        <v>71</v>
      </c>
      <c r="N219" s="112">
        <v>513</v>
      </c>
      <c r="O219" s="112">
        <v>2</v>
      </c>
      <c r="P219" s="112">
        <v>0</v>
      </c>
    </row>
    <row r="220" spans="4:16" x14ac:dyDescent="0.25">
      <c r="D220" s="109">
        <v>216</v>
      </c>
      <c r="E220" s="112">
        <v>544</v>
      </c>
      <c r="F220" s="112">
        <v>3</v>
      </c>
      <c r="G220" s="112">
        <v>1</v>
      </c>
      <c r="H220" s="5" t="str">
        <f t="shared" si="9"/>
        <v>det_544</v>
      </c>
      <c r="I220" s="5" t="str">
        <f t="shared" si="10"/>
        <v>W:\Performance Measurement\1. Freeway\1. raw data\2017\data files\det_544.txt</v>
      </c>
      <c r="J220" s="5" t="str">
        <f t="shared" si="11"/>
        <v>W:\Performance Measurement\1. Freeway\1. raw data\2017\data files\det_544.xlsx</v>
      </c>
      <c r="K220" s="5"/>
      <c r="M220" s="117" t="s">
        <v>71</v>
      </c>
      <c r="N220" s="10">
        <v>544</v>
      </c>
      <c r="O220" s="10">
        <v>3</v>
      </c>
      <c r="P220" s="10">
        <v>1</v>
      </c>
    </row>
    <row r="221" spans="4:16" x14ac:dyDescent="0.25">
      <c r="D221" s="109">
        <v>217</v>
      </c>
      <c r="E221" s="10">
        <v>545</v>
      </c>
      <c r="F221" s="10">
        <v>3</v>
      </c>
      <c r="G221" s="10">
        <v>1</v>
      </c>
      <c r="H221" s="5" t="str">
        <f t="shared" si="9"/>
        <v>det_545</v>
      </c>
      <c r="I221" s="5" t="str">
        <f t="shared" si="10"/>
        <v>W:\Performance Measurement\1. Freeway\1. raw data\2017\data files\det_545.txt</v>
      </c>
      <c r="J221" s="5" t="str">
        <f t="shared" si="11"/>
        <v>W:\Performance Measurement\1. Freeway\1. raw data\2017\data files\det_545.xlsx</v>
      </c>
      <c r="K221" s="5"/>
      <c r="M221" s="117" t="s">
        <v>71</v>
      </c>
      <c r="N221" s="10">
        <v>545</v>
      </c>
      <c r="O221" s="10">
        <v>3</v>
      </c>
      <c r="P221" s="10">
        <v>1</v>
      </c>
    </row>
    <row r="222" spans="4:16" x14ac:dyDescent="0.25">
      <c r="D222" s="109">
        <v>218</v>
      </c>
      <c r="E222" s="10">
        <v>546</v>
      </c>
      <c r="F222" s="10">
        <v>3</v>
      </c>
      <c r="G222" s="10">
        <v>1</v>
      </c>
      <c r="H222" s="5" t="str">
        <f t="shared" si="9"/>
        <v>det_546</v>
      </c>
      <c r="I222" s="5" t="str">
        <f t="shared" si="10"/>
        <v>W:\Performance Measurement\1. Freeway\1. raw data\2017\data files\det_546.txt</v>
      </c>
      <c r="J222" s="5" t="str">
        <f t="shared" si="11"/>
        <v>W:\Performance Measurement\1. Freeway\1. raw data\2017\data files\det_546.xlsx</v>
      </c>
      <c r="K222" s="5"/>
      <c r="M222" s="117" t="s">
        <v>71</v>
      </c>
      <c r="N222" s="10">
        <v>546</v>
      </c>
      <c r="O222" s="10">
        <v>3</v>
      </c>
      <c r="P222" s="10">
        <v>1</v>
      </c>
    </row>
    <row r="223" spans="4:16" x14ac:dyDescent="0.25">
      <c r="D223" s="109">
        <v>219</v>
      </c>
      <c r="E223" s="10">
        <v>547</v>
      </c>
      <c r="F223" s="10">
        <v>3</v>
      </c>
      <c r="G223" s="10">
        <v>1</v>
      </c>
      <c r="H223" s="5" t="str">
        <f t="shared" si="9"/>
        <v>det_547</v>
      </c>
      <c r="I223" s="5" t="str">
        <f t="shared" si="10"/>
        <v>W:\Performance Measurement\1. Freeway\1. raw data\2017\data files\det_547.txt</v>
      </c>
      <c r="J223" s="5" t="str">
        <f t="shared" si="11"/>
        <v>W:\Performance Measurement\1. Freeway\1. raw data\2017\data files\det_547.xlsx</v>
      </c>
      <c r="K223" s="5"/>
      <c r="M223" s="117" t="s">
        <v>71</v>
      </c>
      <c r="N223" s="10">
        <v>547</v>
      </c>
      <c r="O223" s="10">
        <v>3</v>
      </c>
      <c r="P223" s="10">
        <v>1</v>
      </c>
    </row>
    <row r="224" spans="4:16" x14ac:dyDescent="0.25">
      <c r="D224" s="109">
        <v>220</v>
      </c>
      <c r="E224" s="10">
        <v>548</v>
      </c>
      <c r="F224" s="10">
        <v>2</v>
      </c>
      <c r="G224" s="10">
        <v>0</v>
      </c>
      <c r="H224" s="5" t="str">
        <f t="shared" si="9"/>
        <v>det_548</v>
      </c>
      <c r="I224" s="5" t="str">
        <f t="shared" si="10"/>
        <v>W:\Performance Measurement\1. Freeway\1. raw data\2017\data files\det_548.txt</v>
      </c>
      <c r="J224" s="5" t="str">
        <f t="shared" si="11"/>
        <v>W:\Performance Measurement\1. Freeway\1. raw data\2017\data files\det_548.xlsx</v>
      </c>
      <c r="K224" s="5"/>
      <c r="M224" s="117" t="s">
        <v>71</v>
      </c>
      <c r="N224" s="10">
        <v>548</v>
      </c>
      <c r="O224" s="10">
        <v>2</v>
      </c>
      <c r="P224" s="10">
        <v>0</v>
      </c>
    </row>
    <row r="225" spans="4:16" x14ac:dyDescent="0.25">
      <c r="D225" s="109">
        <v>221</v>
      </c>
      <c r="E225" s="10">
        <v>264</v>
      </c>
      <c r="F225" s="10">
        <v>5</v>
      </c>
      <c r="G225" s="10">
        <v>1</v>
      </c>
      <c r="H225" s="5" t="str">
        <f t="shared" si="9"/>
        <v>det_264</v>
      </c>
      <c r="I225" s="5" t="str">
        <f t="shared" si="10"/>
        <v>W:\Performance Measurement\1. Freeway\1. raw data\2017\data files\det_264.txt</v>
      </c>
      <c r="J225" s="5" t="str">
        <f t="shared" si="11"/>
        <v>W:\Performance Measurement\1. Freeway\1. raw data\2017\data files\det_264.xlsx</v>
      </c>
      <c r="K225" s="5"/>
      <c r="M225" s="117" t="s">
        <v>72</v>
      </c>
      <c r="N225" s="10">
        <v>264</v>
      </c>
      <c r="O225" s="10">
        <v>5</v>
      </c>
      <c r="P225" s="10">
        <v>1</v>
      </c>
    </row>
    <row r="226" spans="4:16" x14ac:dyDescent="0.25">
      <c r="D226" s="109">
        <v>222</v>
      </c>
      <c r="E226" s="10">
        <v>267</v>
      </c>
      <c r="F226" s="10">
        <v>4</v>
      </c>
      <c r="G226" s="10">
        <v>1</v>
      </c>
      <c r="H226" s="5" t="str">
        <f t="shared" si="9"/>
        <v>det_267</v>
      </c>
      <c r="I226" s="5" t="str">
        <f t="shared" si="10"/>
        <v>W:\Performance Measurement\1. Freeway\1. raw data\2017\data files\det_267.txt</v>
      </c>
      <c r="J226" s="5" t="str">
        <f t="shared" si="11"/>
        <v>W:\Performance Measurement\1. Freeway\1. raw data\2017\data files\det_267.xlsx</v>
      </c>
      <c r="K226" s="5"/>
      <c r="M226" s="117" t="s">
        <v>72</v>
      </c>
      <c r="N226" s="10">
        <v>267</v>
      </c>
      <c r="O226" s="10">
        <v>4</v>
      </c>
      <c r="P226" s="10">
        <v>1</v>
      </c>
    </row>
    <row r="227" spans="4:16" x14ac:dyDescent="0.25">
      <c r="D227" s="109">
        <v>223</v>
      </c>
      <c r="E227" s="10">
        <v>270</v>
      </c>
      <c r="F227" s="10">
        <v>3</v>
      </c>
      <c r="G227" s="10">
        <v>1</v>
      </c>
      <c r="H227" s="5" t="str">
        <f t="shared" si="9"/>
        <v>det_270</v>
      </c>
      <c r="I227" s="5" t="str">
        <f t="shared" si="10"/>
        <v>W:\Performance Measurement\1. Freeway\1. raw data\2017\data files\det_270.txt</v>
      </c>
      <c r="J227" s="5" t="str">
        <f t="shared" si="11"/>
        <v>W:\Performance Measurement\1. Freeway\1. raw data\2017\data files\det_270.xlsx</v>
      </c>
      <c r="K227" s="5"/>
      <c r="M227" s="117" t="s">
        <v>72</v>
      </c>
      <c r="N227" s="10">
        <v>270</v>
      </c>
      <c r="O227" s="10">
        <v>3</v>
      </c>
      <c r="P227" s="10">
        <v>1</v>
      </c>
    </row>
    <row r="228" spans="4:16" x14ac:dyDescent="0.25">
      <c r="D228" s="109">
        <v>224</v>
      </c>
      <c r="E228" s="10">
        <v>271</v>
      </c>
      <c r="F228" s="10">
        <v>3</v>
      </c>
      <c r="G228" s="10">
        <v>0</v>
      </c>
      <c r="H228" s="5" t="str">
        <f t="shared" si="9"/>
        <v>det_271</v>
      </c>
      <c r="I228" s="5" t="str">
        <f t="shared" si="10"/>
        <v>W:\Performance Measurement\1. Freeway\1. raw data\2017\data files\det_271.txt</v>
      </c>
      <c r="J228" s="5" t="str">
        <f t="shared" si="11"/>
        <v>W:\Performance Measurement\1. Freeway\1. raw data\2017\data files\det_271.xlsx</v>
      </c>
      <c r="K228" s="5"/>
      <c r="M228" s="117" t="s">
        <v>273</v>
      </c>
      <c r="N228" s="10">
        <v>271</v>
      </c>
      <c r="O228" s="10">
        <v>3</v>
      </c>
      <c r="P228" s="10">
        <v>0</v>
      </c>
    </row>
    <row r="229" spans="4:16" x14ac:dyDescent="0.25">
      <c r="D229" s="109">
        <v>225</v>
      </c>
      <c r="E229" s="10">
        <v>256</v>
      </c>
      <c r="F229" s="10">
        <v>3</v>
      </c>
      <c r="G229" s="10">
        <v>1</v>
      </c>
      <c r="H229" s="5" t="str">
        <f t="shared" si="9"/>
        <v>det_256</v>
      </c>
      <c r="I229" s="5" t="str">
        <f t="shared" si="10"/>
        <v>W:\Performance Measurement\1. Freeway\1. raw data\2017\data files\det_256.txt</v>
      </c>
      <c r="J229" s="5" t="str">
        <f t="shared" si="11"/>
        <v>W:\Performance Measurement\1. Freeway\1. raw data\2017\data files\det_256.xlsx</v>
      </c>
      <c r="K229" s="5"/>
      <c r="M229" s="117" t="s">
        <v>72</v>
      </c>
      <c r="N229" s="10">
        <v>256</v>
      </c>
      <c r="O229" s="10">
        <v>3</v>
      </c>
      <c r="P229" s="10">
        <v>1</v>
      </c>
    </row>
    <row r="230" spans="4:16" x14ac:dyDescent="0.25">
      <c r="D230" s="109">
        <v>226</v>
      </c>
      <c r="E230" s="115">
        <v>258</v>
      </c>
      <c r="F230" s="115">
        <v>3</v>
      </c>
      <c r="G230" s="115">
        <v>1</v>
      </c>
      <c r="H230" s="5" t="str">
        <f t="shared" si="9"/>
        <v>det_258</v>
      </c>
      <c r="I230" s="5" t="str">
        <f t="shared" si="10"/>
        <v>W:\Performance Measurement\1. Freeway\1. raw data\2017\data files\det_258.txt</v>
      </c>
      <c r="J230" s="5" t="str">
        <f t="shared" si="11"/>
        <v>W:\Performance Measurement\1. Freeway\1. raw data\2017\data files\det_258.xlsx</v>
      </c>
      <c r="K230" s="5"/>
      <c r="M230" s="117" t="s">
        <v>72</v>
      </c>
      <c r="N230" s="115">
        <v>258</v>
      </c>
      <c r="O230" s="115">
        <v>3</v>
      </c>
      <c r="P230" s="115">
        <v>1</v>
      </c>
    </row>
    <row r="231" spans="4:16" x14ac:dyDescent="0.25">
      <c r="D231" s="109">
        <v>227</v>
      </c>
      <c r="E231" s="10">
        <v>261</v>
      </c>
      <c r="F231" s="10">
        <v>4</v>
      </c>
      <c r="G231" s="10">
        <v>1</v>
      </c>
      <c r="H231" s="5" t="str">
        <f t="shared" si="9"/>
        <v>det_261</v>
      </c>
      <c r="I231" s="5" t="str">
        <f t="shared" si="10"/>
        <v>W:\Performance Measurement\1. Freeway\1. raw data\2017\data files\det_261.txt</v>
      </c>
      <c r="J231" s="5" t="str">
        <f t="shared" si="11"/>
        <v>W:\Performance Measurement\1. Freeway\1. raw data\2017\data files\det_261.xlsx</v>
      </c>
      <c r="K231" s="5"/>
      <c r="M231" s="117" t="s">
        <v>72</v>
      </c>
      <c r="N231" s="10">
        <v>261</v>
      </c>
      <c r="O231" s="10">
        <v>4</v>
      </c>
      <c r="P231" s="10">
        <v>1</v>
      </c>
    </row>
    <row r="232" spans="4:16" x14ac:dyDescent="0.25">
      <c r="D232" s="109">
        <v>228</v>
      </c>
      <c r="E232" s="10">
        <v>263</v>
      </c>
      <c r="F232" s="10">
        <v>4</v>
      </c>
      <c r="G232" s="10">
        <v>1</v>
      </c>
      <c r="H232" s="5" t="str">
        <f t="shared" si="9"/>
        <v>det_263</v>
      </c>
      <c r="I232" s="5" t="str">
        <f t="shared" si="10"/>
        <v>W:\Performance Measurement\1. Freeway\1. raw data\2017\data files\det_263.txt</v>
      </c>
      <c r="J232" s="5" t="str">
        <f t="shared" si="11"/>
        <v>W:\Performance Measurement\1. Freeway\1. raw data\2017\data files\det_263.xlsx</v>
      </c>
      <c r="K232" s="5"/>
      <c r="M232" s="117" t="s">
        <v>72</v>
      </c>
      <c r="N232" s="10">
        <v>263</v>
      </c>
      <c r="O232" s="10">
        <v>4</v>
      </c>
      <c r="P232" s="10">
        <v>1</v>
      </c>
    </row>
    <row r="233" spans="4:16" x14ac:dyDescent="0.25">
      <c r="D233" s="109">
        <v>229</v>
      </c>
      <c r="E233" s="10">
        <v>507</v>
      </c>
      <c r="F233" s="10">
        <v>3</v>
      </c>
      <c r="G233" s="10">
        <v>1</v>
      </c>
      <c r="H233" s="5" t="str">
        <f t="shared" si="9"/>
        <v>det_507</v>
      </c>
      <c r="I233" s="5" t="str">
        <f t="shared" si="10"/>
        <v>W:\Performance Measurement\1. Freeway\1. raw data\2017\data files\det_507.txt</v>
      </c>
      <c r="J233" s="5" t="str">
        <f t="shared" si="11"/>
        <v>W:\Performance Measurement\1. Freeway\1. raw data\2017\data files\det_507.xlsx</v>
      </c>
      <c r="K233" s="5"/>
      <c r="M233" s="117" t="s">
        <v>72</v>
      </c>
      <c r="N233" s="10">
        <v>507</v>
      </c>
      <c r="O233" s="10">
        <v>3</v>
      </c>
      <c r="P233" s="10">
        <v>1</v>
      </c>
    </row>
    <row r="234" spans="4:16" x14ac:dyDescent="0.25">
      <c r="D234" s="109">
        <v>230</v>
      </c>
      <c r="E234" s="10">
        <v>549</v>
      </c>
      <c r="F234" s="10">
        <v>4</v>
      </c>
      <c r="G234" s="10">
        <v>1</v>
      </c>
      <c r="H234" s="5" t="str">
        <f t="shared" si="9"/>
        <v>det_549</v>
      </c>
      <c r="I234" s="5" t="str">
        <f t="shared" si="10"/>
        <v>W:\Performance Measurement\1. Freeway\1. raw data\2017\data files\det_549.txt</v>
      </c>
      <c r="J234" s="5" t="str">
        <f t="shared" si="11"/>
        <v>W:\Performance Measurement\1. Freeway\1. raw data\2017\data files\det_549.xlsx</v>
      </c>
      <c r="K234" s="5"/>
      <c r="M234" s="117" t="s">
        <v>73</v>
      </c>
      <c r="N234" s="10">
        <v>549</v>
      </c>
      <c r="O234" s="10">
        <v>4</v>
      </c>
      <c r="P234" s="10">
        <v>1</v>
      </c>
    </row>
    <row r="235" spans="4:16" x14ac:dyDescent="0.25">
      <c r="D235" s="109">
        <v>231</v>
      </c>
      <c r="E235" s="10">
        <v>550</v>
      </c>
      <c r="F235" s="10">
        <v>3</v>
      </c>
      <c r="G235" s="10">
        <v>1</v>
      </c>
      <c r="H235" s="5" t="str">
        <f t="shared" si="9"/>
        <v>det_550</v>
      </c>
      <c r="I235" s="5" t="str">
        <f t="shared" si="10"/>
        <v>W:\Performance Measurement\1. Freeway\1. raw data\2017\data files\det_550.txt</v>
      </c>
      <c r="J235" s="5" t="str">
        <f t="shared" si="11"/>
        <v>W:\Performance Measurement\1. Freeway\1. raw data\2017\data files\det_550.xlsx</v>
      </c>
      <c r="K235" s="5"/>
      <c r="M235" s="117" t="s">
        <v>74</v>
      </c>
      <c r="N235" s="10">
        <v>550</v>
      </c>
      <c r="O235" s="10">
        <v>3</v>
      </c>
      <c r="P235" s="10">
        <v>1</v>
      </c>
    </row>
    <row r="236" spans="4:16" x14ac:dyDescent="0.25">
      <c r="D236" s="109">
        <v>232</v>
      </c>
      <c r="E236" s="112">
        <v>551</v>
      </c>
      <c r="F236" s="112">
        <v>2</v>
      </c>
      <c r="G236" s="112">
        <v>1</v>
      </c>
      <c r="H236" s="5" t="str">
        <f t="shared" si="9"/>
        <v>det_551</v>
      </c>
      <c r="I236" s="5" t="str">
        <f t="shared" si="10"/>
        <v>W:\Performance Measurement\1. Freeway\1. raw data\2017\data files\det_551.txt</v>
      </c>
      <c r="J236" s="5" t="str">
        <f t="shared" si="11"/>
        <v>W:\Performance Measurement\1. Freeway\1. raw data\2017\data files\det_551.xlsx</v>
      </c>
      <c r="K236" s="5"/>
      <c r="M236" s="117" t="s">
        <v>73</v>
      </c>
      <c r="N236" s="112">
        <v>551</v>
      </c>
      <c r="O236" s="112">
        <v>2</v>
      </c>
      <c r="P236" s="112">
        <v>1</v>
      </c>
    </row>
    <row r="237" spans="4:16" x14ac:dyDescent="0.25">
      <c r="D237" s="109">
        <v>233</v>
      </c>
      <c r="E237" s="10">
        <v>552</v>
      </c>
      <c r="F237" s="10">
        <v>3</v>
      </c>
      <c r="G237" s="10">
        <v>1</v>
      </c>
      <c r="H237" s="5" t="str">
        <f t="shared" si="9"/>
        <v>det_552</v>
      </c>
      <c r="I237" s="5" t="str">
        <f t="shared" si="10"/>
        <v>W:\Performance Measurement\1. Freeway\1. raw data\2017\data files\det_552.txt</v>
      </c>
      <c r="J237" s="5" t="str">
        <f t="shared" si="11"/>
        <v>W:\Performance Measurement\1. Freeway\1. raw data\2017\data files\det_552.xlsx</v>
      </c>
      <c r="K237" s="5"/>
      <c r="M237" s="117" t="s">
        <v>74</v>
      </c>
      <c r="N237" s="10">
        <v>552</v>
      </c>
      <c r="O237" s="10">
        <v>3</v>
      </c>
      <c r="P237" s="10">
        <v>1</v>
      </c>
    </row>
    <row r="238" spans="4:16" x14ac:dyDescent="0.25">
      <c r="D238" s="109">
        <v>234</v>
      </c>
      <c r="E238" s="10">
        <v>553</v>
      </c>
      <c r="F238" s="10">
        <v>3</v>
      </c>
      <c r="G238" s="10">
        <v>1</v>
      </c>
      <c r="H238" s="5" t="str">
        <f t="shared" si="9"/>
        <v>det_553</v>
      </c>
      <c r="I238" s="5" t="str">
        <f t="shared" si="10"/>
        <v>W:\Performance Measurement\1. Freeway\1. raw data\2017\data files\det_553.txt</v>
      </c>
      <c r="J238" s="5" t="str">
        <f t="shared" si="11"/>
        <v>W:\Performance Measurement\1. Freeway\1. raw data\2017\data files\det_553.xlsx</v>
      </c>
      <c r="K238" s="5"/>
      <c r="M238" s="117" t="s">
        <v>73</v>
      </c>
      <c r="N238" s="10">
        <v>553</v>
      </c>
      <c r="O238" s="10">
        <v>3</v>
      </c>
      <c r="P238" s="10">
        <v>1</v>
      </c>
    </row>
    <row r="239" spans="4:16" x14ac:dyDescent="0.25">
      <c r="D239" s="109">
        <v>235</v>
      </c>
      <c r="E239" s="10">
        <v>554</v>
      </c>
      <c r="F239" s="10">
        <v>3</v>
      </c>
      <c r="G239" s="10">
        <v>1</v>
      </c>
      <c r="H239" s="5" t="str">
        <f t="shared" si="9"/>
        <v>det_554</v>
      </c>
      <c r="I239" s="5" t="str">
        <f t="shared" si="10"/>
        <v>W:\Performance Measurement\1. Freeway\1. raw data\2017\data files\det_554.txt</v>
      </c>
      <c r="J239" s="5" t="str">
        <f t="shared" si="11"/>
        <v>W:\Performance Measurement\1. Freeway\1. raw data\2017\data files\det_554.xlsx</v>
      </c>
      <c r="K239" s="5"/>
      <c r="M239" s="117" t="s">
        <v>74</v>
      </c>
      <c r="N239" s="10">
        <v>554</v>
      </c>
      <c r="O239" s="10">
        <v>3</v>
      </c>
      <c r="P239" s="10">
        <v>1</v>
      </c>
    </row>
    <row r="240" spans="4:16" x14ac:dyDescent="0.25">
      <c r="D240" s="109">
        <v>236</v>
      </c>
      <c r="E240" s="10">
        <v>555</v>
      </c>
      <c r="F240" s="10">
        <v>3</v>
      </c>
      <c r="G240" s="10">
        <v>1</v>
      </c>
      <c r="H240" s="5" t="str">
        <f t="shared" si="9"/>
        <v>det_555</v>
      </c>
      <c r="I240" s="5" t="str">
        <f t="shared" si="10"/>
        <v>W:\Performance Measurement\1. Freeway\1. raw data\2017\data files\det_555.txt</v>
      </c>
      <c r="J240" s="5" t="str">
        <f t="shared" si="11"/>
        <v>W:\Performance Measurement\1. Freeway\1. raw data\2017\data files\det_555.xlsx</v>
      </c>
      <c r="K240" s="5"/>
      <c r="M240" s="117" t="s">
        <v>73</v>
      </c>
      <c r="N240" s="10">
        <v>555</v>
      </c>
      <c r="O240" s="10">
        <v>3</v>
      </c>
      <c r="P240" s="10">
        <v>1</v>
      </c>
    </row>
    <row r="241" spans="4:16" x14ac:dyDescent="0.25">
      <c r="D241" s="109">
        <v>237</v>
      </c>
      <c r="E241" s="10">
        <v>556</v>
      </c>
      <c r="F241" s="10">
        <v>3</v>
      </c>
      <c r="G241" s="10">
        <v>1</v>
      </c>
      <c r="H241" s="5" t="str">
        <f t="shared" si="9"/>
        <v>det_556</v>
      </c>
      <c r="I241" s="5" t="str">
        <f t="shared" si="10"/>
        <v>W:\Performance Measurement\1. Freeway\1. raw data\2017\data files\det_556.txt</v>
      </c>
      <c r="J241" s="5" t="str">
        <f t="shared" si="11"/>
        <v>W:\Performance Measurement\1. Freeway\1. raw data\2017\data files\det_556.xlsx</v>
      </c>
      <c r="K241" s="5"/>
      <c r="M241" s="117" t="s">
        <v>74</v>
      </c>
      <c r="N241" s="10">
        <v>556</v>
      </c>
      <c r="O241" s="10">
        <v>3</v>
      </c>
      <c r="P241" s="10">
        <v>1</v>
      </c>
    </row>
    <row r="242" spans="4:16" x14ac:dyDescent="0.25">
      <c r="D242" s="109">
        <v>238</v>
      </c>
      <c r="E242" s="10">
        <v>557</v>
      </c>
      <c r="F242" s="10">
        <v>3</v>
      </c>
      <c r="G242" s="10">
        <v>1</v>
      </c>
      <c r="H242" s="5" t="str">
        <f t="shared" si="9"/>
        <v>det_557</v>
      </c>
      <c r="I242" s="5" t="str">
        <f t="shared" si="10"/>
        <v>W:\Performance Measurement\1. Freeway\1. raw data\2017\data files\det_557.txt</v>
      </c>
      <c r="J242" s="5" t="str">
        <f t="shared" si="11"/>
        <v>W:\Performance Measurement\1. Freeway\1. raw data\2017\data files\det_557.xlsx</v>
      </c>
      <c r="K242" s="5"/>
      <c r="M242" s="117" t="s">
        <v>73</v>
      </c>
      <c r="N242" s="10">
        <v>557</v>
      </c>
      <c r="O242" s="10">
        <v>3</v>
      </c>
      <c r="P242" s="10">
        <v>1</v>
      </c>
    </row>
    <row r="243" spans="4:16" x14ac:dyDescent="0.25">
      <c r="D243" s="109">
        <v>239</v>
      </c>
      <c r="E243" s="10">
        <v>570</v>
      </c>
      <c r="F243" s="10">
        <v>3</v>
      </c>
      <c r="G243" s="10">
        <v>1</v>
      </c>
      <c r="H243" s="5" t="str">
        <f t="shared" si="9"/>
        <v>det_570</v>
      </c>
      <c r="I243" s="5" t="str">
        <f t="shared" si="10"/>
        <v>W:\Performance Measurement\1. Freeway\1. raw data\2017\data files\det_570.txt</v>
      </c>
      <c r="J243" s="5" t="str">
        <f t="shared" si="11"/>
        <v>W:\Performance Measurement\1. Freeway\1. raw data\2017\data files\det_570.xlsx</v>
      </c>
      <c r="K243" s="5"/>
      <c r="M243" s="117" t="s">
        <v>74</v>
      </c>
      <c r="N243" s="10">
        <v>570</v>
      </c>
      <c r="O243" s="10">
        <v>3</v>
      </c>
      <c r="P243" s="10">
        <v>1</v>
      </c>
    </row>
    <row r="244" spans="4:16" x14ac:dyDescent="0.25">
      <c r="D244" s="109">
        <v>240</v>
      </c>
      <c r="E244" s="10">
        <v>571</v>
      </c>
      <c r="F244" s="10">
        <v>3</v>
      </c>
      <c r="G244" s="10">
        <v>1</v>
      </c>
      <c r="H244" s="5" t="str">
        <f t="shared" si="9"/>
        <v>det_571</v>
      </c>
      <c r="I244" s="5" t="str">
        <f t="shared" si="10"/>
        <v>W:\Performance Measurement\1. Freeway\1. raw data\2017\data files\det_571.txt</v>
      </c>
      <c r="J244" s="5" t="str">
        <f t="shared" si="11"/>
        <v>W:\Performance Measurement\1. Freeway\1. raw data\2017\data files\det_571.xlsx</v>
      </c>
      <c r="K244" s="5"/>
      <c r="M244" s="117" t="s">
        <v>74</v>
      </c>
      <c r="N244" s="10">
        <v>571</v>
      </c>
      <c r="O244" s="10">
        <v>3</v>
      </c>
      <c r="P244" s="10">
        <v>1</v>
      </c>
    </row>
    <row r="245" spans="4:16" x14ac:dyDescent="0.25">
      <c r="D245" s="109">
        <v>241</v>
      </c>
      <c r="E245" s="10">
        <v>572</v>
      </c>
      <c r="F245" s="10">
        <v>3</v>
      </c>
      <c r="G245" s="10">
        <v>1</v>
      </c>
      <c r="H245" s="5" t="str">
        <f t="shared" si="9"/>
        <v>det_572</v>
      </c>
      <c r="I245" s="5" t="str">
        <f t="shared" si="10"/>
        <v>W:\Performance Measurement\1. Freeway\1. raw data\2017\data files\det_572.txt</v>
      </c>
      <c r="J245" s="5" t="str">
        <f t="shared" si="11"/>
        <v>W:\Performance Measurement\1. Freeway\1. raw data\2017\data files\det_572.xlsx</v>
      </c>
      <c r="K245" s="5"/>
      <c r="M245" s="117" t="s">
        <v>74</v>
      </c>
      <c r="N245" s="10">
        <v>572</v>
      </c>
      <c r="O245" s="10">
        <v>3</v>
      </c>
      <c r="P245" s="10">
        <v>1</v>
      </c>
    </row>
    <row r="246" spans="4:16" x14ac:dyDescent="0.25">
      <c r="D246" s="109">
        <v>242</v>
      </c>
      <c r="E246" s="10">
        <v>573</v>
      </c>
      <c r="F246" s="10">
        <v>3</v>
      </c>
      <c r="G246" s="10">
        <v>1</v>
      </c>
      <c r="H246" s="5" t="str">
        <f t="shared" si="9"/>
        <v>det_573</v>
      </c>
      <c r="I246" s="5" t="str">
        <f t="shared" si="10"/>
        <v>W:\Performance Measurement\1. Freeway\1. raw data\2017\data files\det_573.txt</v>
      </c>
      <c r="J246" s="5" t="str">
        <f t="shared" si="11"/>
        <v>W:\Performance Measurement\1. Freeway\1. raw data\2017\data files\det_573.xlsx</v>
      </c>
      <c r="K246" s="5"/>
      <c r="M246" s="117" t="s">
        <v>74</v>
      </c>
      <c r="N246" s="10">
        <v>573</v>
      </c>
      <c r="O246" s="10">
        <v>3</v>
      </c>
      <c r="P246" s="10">
        <v>1</v>
      </c>
    </row>
    <row r="247" spans="4:16" x14ac:dyDescent="0.25">
      <c r="D247" s="109">
        <v>243</v>
      </c>
      <c r="E247" s="10">
        <v>574</v>
      </c>
      <c r="F247" s="10">
        <v>3</v>
      </c>
      <c r="G247" s="10">
        <v>1</v>
      </c>
      <c r="H247" s="5" t="str">
        <f t="shared" si="9"/>
        <v>det_574</v>
      </c>
      <c r="I247" s="5" t="str">
        <f t="shared" si="10"/>
        <v>W:\Performance Measurement\1. Freeway\1. raw data\2017\data files\det_574.txt</v>
      </c>
      <c r="J247" s="5" t="str">
        <f t="shared" si="11"/>
        <v>W:\Performance Measurement\1. Freeway\1. raw data\2017\data files\det_574.xlsx</v>
      </c>
      <c r="K247" s="5"/>
      <c r="M247" s="117" t="s">
        <v>74</v>
      </c>
      <c r="N247" s="10">
        <v>574</v>
      </c>
      <c r="O247" s="10">
        <v>3</v>
      </c>
      <c r="P247" s="10">
        <v>1</v>
      </c>
    </row>
    <row r="248" spans="4:16" x14ac:dyDescent="0.25">
      <c r="D248" s="109">
        <v>244</v>
      </c>
      <c r="E248" s="10">
        <v>575</v>
      </c>
      <c r="F248" s="10">
        <v>3</v>
      </c>
      <c r="G248" s="10">
        <v>1</v>
      </c>
      <c r="H248" s="5" t="str">
        <f t="shared" si="9"/>
        <v>det_575</v>
      </c>
      <c r="I248" s="5" t="str">
        <f t="shared" si="10"/>
        <v>W:\Performance Measurement\1. Freeway\1. raw data\2017\data files\det_575.txt</v>
      </c>
      <c r="J248" s="5" t="str">
        <f t="shared" si="11"/>
        <v>W:\Performance Measurement\1. Freeway\1. raw data\2017\data files\det_575.xlsx</v>
      </c>
      <c r="K248" s="5"/>
      <c r="M248" s="117" t="s">
        <v>74</v>
      </c>
      <c r="N248" s="10">
        <v>575</v>
      </c>
      <c r="O248" s="10">
        <v>3</v>
      </c>
      <c r="P248" s="10">
        <v>1</v>
      </c>
    </row>
    <row r="249" spans="4:16" x14ac:dyDescent="0.25">
      <c r="D249" s="109">
        <v>245</v>
      </c>
      <c r="E249" s="10">
        <v>576</v>
      </c>
      <c r="F249" s="10">
        <v>3</v>
      </c>
      <c r="G249" s="10">
        <v>1</v>
      </c>
      <c r="H249" s="5" t="str">
        <f t="shared" si="9"/>
        <v>det_576</v>
      </c>
      <c r="I249" s="5" t="str">
        <f t="shared" si="10"/>
        <v>W:\Performance Measurement\1. Freeway\1. raw data\2017\data files\det_576.txt</v>
      </c>
      <c r="J249" s="5" t="str">
        <f t="shared" si="11"/>
        <v>W:\Performance Measurement\1. Freeway\1. raw data\2017\data files\det_576.xlsx</v>
      </c>
      <c r="K249" s="5"/>
      <c r="M249" s="117" t="s">
        <v>74</v>
      </c>
      <c r="N249" s="10">
        <v>576</v>
      </c>
      <c r="O249" s="10">
        <v>3</v>
      </c>
      <c r="P249" s="10">
        <v>1</v>
      </c>
    </row>
    <row r="250" spans="4:16" x14ac:dyDescent="0.25">
      <c r="D250" s="109">
        <v>246</v>
      </c>
      <c r="E250" s="10">
        <v>577</v>
      </c>
      <c r="F250" s="10">
        <v>3</v>
      </c>
      <c r="G250" s="10">
        <v>1</v>
      </c>
      <c r="H250" s="5" t="str">
        <f t="shared" si="9"/>
        <v>det_577</v>
      </c>
      <c r="I250" s="5" t="str">
        <f t="shared" si="10"/>
        <v>W:\Performance Measurement\1. Freeway\1. raw data\2017\data files\det_577.txt</v>
      </c>
      <c r="J250" s="5" t="str">
        <f t="shared" si="11"/>
        <v>W:\Performance Measurement\1. Freeway\1. raw data\2017\data files\det_577.xlsx</v>
      </c>
      <c r="K250" s="5"/>
      <c r="M250" s="117" t="s">
        <v>74</v>
      </c>
      <c r="N250" s="10">
        <v>577</v>
      </c>
      <c r="O250" s="10">
        <v>3</v>
      </c>
      <c r="P250" s="10">
        <v>1</v>
      </c>
    </row>
    <row r="251" spans="4:16" x14ac:dyDescent="0.25">
      <c r="D251" s="109">
        <v>247</v>
      </c>
      <c r="E251" s="10">
        <v>578</v>
      </c>
      <c r="F251" s="10">
        <v>4</v>
      </c>
      <c r="G251" s="10">
        <v>1</v>
      </c>
      <c r="H251" s="5" t="str">
        <f t="shared" si="9"/>
        <v>det_578</v>
      </c>
      <c r="I251" s="5" t="str">
        <f t="shared" si="10"/>
        <v>W:\Performance Measurement\1. Freeway\1. raw data\2017\data files\det_578.txt</v>
      </c>
      <c r="J251" s="5" t="str">
        <f t="shared" si="11"/>
        <v>W:\Performance Measurement\1. Freeway\1. raw data\2017\data files\det_578.xlsx</v>
      </c>
      <c r="K251" s="5"/>
      <c r="M251" s="117" t="s">
        <v>74</v>
      </c>
      <c r="N251" s="10">
        <v>578</v>
      </c>
      <c r="O251" s="10">
        <v>4</v>
      </c>
      <c r="P251" s="10">
        <v>1</v>
      </c>
    </row>
    <row r="252" spans="4:16" x14ac:dyDescent="0.25">
      <c r="D252" s="109">
        <v>248</v>
      </c>
      <c r="E252" s="10">
        <v>255</v>
      </c>
      <c r="F252" s="10">
        <v>4</v>
      </c>
      <c r="G252" s="10">
        <v>0</v>
      </c>
      <c r="H252" s="5" t="str">
        <f t="shared" si="9"/>
        <v>det_255</v>
      </c>
      <c r="I252" s="5" t="str">
        <f t="shared" si="10"/>
        <v>W:\Performance Measurement\1. Freeway\1. raw data\2017\data files\det_255.txt</v>
      </c>
      <c r="J252" s="5" t="str">
        <f t="shared" si="11"/>
        <v>W:\Performance Measurement\1. Freeway\1. raw data\2017\data files\det_255.xlsx</v>
      </c>
      <c r="K252" s="5"/>
      <c r="M252" s="117" t="s">
        <v>73</v>
      </c>
      <c r="N252" s="10">
        <v>255</v>
      </c>
      <c r="O252" s="10">
        <v>4</v>
      </c>
      <c r="P252" s="10">
        <v>0</v>
      </c>
    </row>
    <row r="253" spans="4:16" x14ac:dyDescent="0.25">
      <c r="D253" s="109">
        <v>249</v>
      </c>
      <c r="E253" s="10">
        <v>558</v>
      </c>
      <c r="F253" s="10">
        <v>3</v>
      </c>
      <c r="G253" s="10">
        <v>1</v>
      </c>
      <c r="H253" s="5" t="str">
        <f t="shared" si="9"/>
        <v>det_558</v>
      </c>
      <c r="I253" s="5" t="str">
        <f t="shared" si="10"/>
        <v>W:\Performance Measurement\1. Freeway\1. raw data\2017\data files\det_558.txt</v>
      </c>
      <c r="J253" s="5" t="str">
        <f t="shared" si="11"/>
        <v>W:\Performance Measurement\1. Freeway\1. raw data\2017\data files\det_558.xlsx</v>
      </c>
      <c r="K253" s="5"/>
      <c r="M253" s="117" t="s">
        <v>75</v>
      </c>
      <c r="N253" s="10">
        <v>558</v>
      </c>
      <c r="O253" s="10">
        <v>3</v>
      </c>
      <c r="P253" s="10">
        <v>1</v>
      </c>
    </row>
    <row r="254" spans="4:16" x14ac:dyDescent="0.25">
      <c r="D254" s="109">
        <v>250</v>
      </c>
      <c r="E254" s="10">
        <v>559</v>
      </c>
      <c r="F254" s="10">
        <v>3</v>
      </c>
      <c r="G254" s="10">
        <v>1</v>
      </c>
      <c r="H254" s="5" t="str">
        <f t="shared" si="9"/>
        <v>det_559</v>
      </c>
      <c r="I254" s="5" t="str">
        <f t="shared" si="10"/>
        <v>W:\Performance Measurement\1. Freeway\1. raw data\2017\data files\det_559.txt</v>
      </c>
      <c r="J254" s="5" t="str">
        <f t="shared" si="11"/>
        <v>W:\Performance Measurement\1. Freeway\1. raw data\2017\data files\det_559.xlsx</v>
      </c>
      <c r="M254" s="117" t="s">
        <v>75</v>
      </c>
      <c r="N254" s="10">
        <v>559</v>
      </c>
      <c r="O254" s="10">
        <v>3</v>
      </c>
      <c r="P254" s="10">
        <v>1</v>
      </c>
    </row>
    <row r="255" spans="4:16" x14ac:dyDescent="0.25">
      <c r="D255" s="109">
        <v>251</v>
      </c>
      <c r="E255" s="10">
        <v>560</v>
      </c>
      <c r="F255" s="10">
        <v>3</v>
      </c>
      <c r="G255" s="10">
        <v>1</v>
      </c>
      <c r="H255" s="5" t="str">
        <f t="shared" si="9"/>
        <v>det_560</v>
      </c>
      <c r="I255" s="5" t="str">
        <f t="shared" si="10"/>
        <v>W:\Performance Measurement\1. Freeway\1. raw data\2017\data files\det_560.txt</v>
      </c>
      <c r="J255" s="5" t="str">
        <f t="shared" si="11"/>
        <v>W:\Performance Measurement\1. Freeway\1. raw data\2017\data files\det_560.xlsx</v>
      </c>
      <c r="M255" s="117" t="s">
        <v>75</v>
      </c>
      <c r="N255" s="10">
        <v>560</v>
      </c>
      <c r="O255" s="10">
        <v>3</v>
      </c>
      <c r="P255" s="10">
        <v>1</v>
      </c>
    </row>
    <row r="256" spans="4:16" x14ac:dyDescent="0.25">
      <c r="D256" s="109">
        <v>252</v>
      </c>
      <c r="E256" s="10">
        <v>561</v>
      </c>
      <c r="F256" s="10">
        <v>4</v>
      </c>
      <c r="G256" s="10">
        <v>1</v>
      </c>
      <c r="H256" s="5" t="str">
        <f t="shared" si="9"/>
        <v>det_561</v>
      </c>
      <c r="I256" s="5" t="str">
        <f t="shared" si="10"/>
        <v>W:\Performance Measurement\1. Freeway\1. raw data\2017\data files\det_561.txt</v>
      </c>
      <c r="J256" s="5" t="str">
        <f t="shared" si="11"/>
        <v>W:\Performance Measurement\1. Freeway\1. raw data\2017\data files\det_561.xlsx</v>
      </c>
      <c r="M256" s="117" t="s">
        <v>75</v>
      </c>
      <c r="N256" s="10">
        <v>561</v>
      </c>
      <c r="O256" s="10">
        <v>4</v>
      </c>
      <c r="P256" s="10">
        <v>1</v>
      </c>
    </row>
    <row r="257" spans="4:16" x14ac:dyDescent="0.25">
      <c r="D257" s="109">
        <v>253</v>
      </c>
      <c r="E257" s="10">
        <v>562</v>
      </c>
      <c r="F257" s="10">
        <v>3</v>
      </c>
      <c r="G257" s="10">
        <v>1</v>
      </c>
      <c r="H257" s="5" t="str">
        <f t="shared" si="9"/>
        <v>det_562</v>
      </c>
      <c r="I257" s="5" t="str">
        <f t="shared" si="10"/>
        <v>W:\Performance Measurement\1. Freeway\1. raw data\2017\data files\det_562.txt</v>
      </c>
      <c r="J257" s="5" t="str">
        <f t="shared" si="11"/>
        <v>W:\Performance Measurement\1. Freeway\1. raw data\2017\data files\det_562.xlsx</v>
      </c>
      <c r="M257" s="117" t="s">
        <v>75</v>
      </c>
      <c r="N257" s="10">
        <v>562</v>
      </c>
      <c r="O257" s="10">
        <v>3</v>
      </c>
      <c r="P257" s="10">
        <v>1</v>
      </c>
    </row>
    <row r="258" spans="4:16" x14ac:dyDescent="0.25">
      <c r="D258" s="109">
        <v>254</v>
      </c>
      <c r="E258" s="10">
        <v>563</v>
      </c>
      <c r="F258" s="10">
        <v>4</v>
      </c>
      <c r="G258" s="10">
        <v>1</v>
      </c>
      <c r="H258" s="5" t="str">
        <f t="shared" si="9"/>
        <v>det_563</v>
      </c>
      <c r="I258" s="5" t="str">
        <f t="shared" si="10"/>
        <v>W:\Performance Measurement\1. Freeway\1. raw data\2017\data files\det_563.txt</v>
      </c>
      <c r="J258" s="5" t="str">
        <f t="shared" si="11"/>
        <v>W:\Performance Measurement\1. Freeway\1. raw data\2017\data files\det_563.xlsx</v>
      </c>
      <c r="M258" s="117" t="s">
        <v>75</v>
      </c>
      <c r="N258" s="10">
        <v>563</v>
      </c>
      <c r="O258" s="10">
        <v>4</v>
      </c>
      <c r="P258" s="10">
        <v>1</v>
      </c>
    </row>
    <row r="259" spans="4:16" x14ac:dyDescent="0.25">
      <c r="D259" s="109">
        <v>255</v>
      </c>
      <c r="E259" s="10">
        <v>564</v>
      </c>
      <c r="F259" s="10">
        <v>3</v>
      </c>
      <c r="G259" s="10">
        <v>1</v>
      </c>
      <c r="H259" s="5" t="str">
        <f t="shared" si="9"/>
        <v>det_564</v>
      </c>
      <c r="I259" s="5" t="str">
        <f t="shared" si="10"/>
        <v>W:\Performance Measurement\1. Freeway\1. raw data\2017\data files\det_564.txt</v>
      </c>
      <c r="J259" s="5" t="str">
        <f t="shared" si="11"/>
        <v>W:\Performance Measurement\1. Freeway\1. raw data\2017\data files\det_564.xlsx</v>
      </c>
      <c r="M259" s="117" t="s">
        <v>75</v>
      </c>
      <c r="N259" s="10">
        <v>564</v>
      </c>
      <c r="O259" s="10">
        <v>3</v>
      </c>
      <c r="P259" s="10">
        <v>1</v>
      </c>
    </row>
    <row r="260" spans="4:16" x14ac:dyDescent="0.25">
      <c r="D260" s="109">
        <v>256</v>
      </c>
      <c r="E260" s="10">
        <v>565</v>
      </c>
      <c r="F260" s="10">
        <v>4</v>
      </c>
      <c r="G260" s="10">
        <v>1</v>
      </c>
      <c r="H260" s="5" t="str">
        <f t="shared" si="9"/>
        <v>det_565</v>
      </c>
      <c r="I260" s="5" t="str">
        <f t="shared" si="10"/>
        <v>W:\Performance Measurement\1. Freeway\1. raw data\2017\data files\det_565.txt</v>
      </c>
      <c r="J260" s="5" t="str">
        <f t="shared" si="11"/>
        <v>W:\Performance Measurement\1. Freeway\1. raw data\2017\data files\det_565.xlsx</v>
      </c>
      <c r="M260" s="117" t="s">
        <v>75</v>
      </c>
      <c r="N260" s="10">
        <v>565</v>
      </c>
      <c r="O260" s="10">
        <v>4</v>
      </c>
      <c r="P260" s="10">
        <v>1</v>
      </c>
    </row>
    <row r="261" spans="4:16" x14ac:dyDescent="0.25">
      <c r="D261" s="109">
        <v>257</v>
      </c>
      <c r="E261" s="10">
        <v>566</v>
      </c>
      <c r="F261" s="10">
        <v>3</v>
      </c>
      <c r="G261" s="10">
        <v>1</v>
      </c>
      <c r="H261" s="5" t="str">
        <f t="shared" ref="H261:H324" si="12">"det_"&amp;E261&amp;""</f>
        <v>det_566</v>
      </c>
      <c r="I261" s="5" t="str">
        <f t="shared" si="10"/>
        <v>W:\Performance Measurement\1. Freeway\1. raw data\2017\data files\det_566.txt</v>
      </c>
      <c r="J261" s="5" t="str">
        <f t="shared" si="11"/>
        <v>W:\Performance Measurement\1. Freeway\1. raw data\2017\data files\det_566.xlsx</v>
      </c>
      <c r="M261" s="117" t="s">
        <v>75</v>
      </c>
      <c r="N261" s="10">
        <v>566</v>
      </c>
      <c r="O261" s="10">
        <v>3</v>
      </c>
      <c r="P261" s="10">
        <v>1</v>
      </c>
    </row>
    <row r="262" spans="4:16" x14ac:dyDescent="0.25">
      <c r="D262" s="109">
        <v>258</v>
      </c>
      <c r="E262" s="10">
        <v>567</v>
      </c>
      <c r="F262" s="10">
        <v>4</v>
      </c>
      <c r="G262" s="10">
        <v>1</v>
      </c>
      <c r="H262" s="5" t="str">
        <f t="shared" si="12"/>
        <v>det_567</v>
      </c>
      <c r="I262" s="5" t="str">
        <f t="shared" si="10"/>
        <v>W:\Performance Measurement\1. Freeway\1. raw data\2017\data files\det_567.txt</v>
      </c>
      <c r="J262" s="5" t="str">
        <f t="shared" si="11"/>
        <v>W:\Performance Measurement\1. Freeway\1. raw data\2017\data files\det_567.xlsx</v>
      </c>
      <c r="K262" s="5"/>
      <c r="M262" s="117" t="s">
        <v>75</v>
      </c>
      <c r="N262" s="10">
        <v>567</v>
      </c>
      <c r="O262" s="10">
        <v>4</v>
      </c>
      <c r="P262" s="10">
        <v>1</v>
      </c>
    </row>
    <row r="263" spans="4:16" x14ac:dyDescent="0.25">
      <c r="D263" s="109">
        <v>259</v>
      </c>
      <c r="E263" s="10">
        <v>568</v>
      </c>
      <c r="F263" s="10">
        <v>3</v>
      </c>
      <c r="G263" s="10">
        <v>1</v>
      </c>
      <c r="H263" s="5" t="str">
        <f t="shared" si="12"/>
        <v>det_568</v>
      </c>
      <c r="I263" s="5" t="str">
        <f t="shared" si="10"/>
        <v>W:\Performance Measurement\1. Freeway\1. raw data\2017\data files\det_568.txt</v>
      </c>
      <c r="J263" s="5" t="str">
        <f t="shared" si="11"/>
        <v>W:\Performance Measurement\1. Freeway\1. raw data\2017\data files\det_568.xlsx</v>
      </c>
      <c r="M263" s="117" t="s">
        <v>75</v>
      </c>
      <c r="N263" s="10">
        <v>568</v>
      </c>
      <c r="O263" s="10">
        <v>3</v>
      </c>
      <c r="P263" s="10">
        <v>1</v>
      </c>
    </row>
    <row r="264" spans="4:16" x14ac:dyDescent="0.25">
      <c r="D264" s="109">
        <v>260</v>
      </c>
      <c r="E264" s="10">
        <v>569</v>
      </c>
      <c r="F264" s="10">
        <v>3</v>
      </c>
      <c r="G264" s="10">
        <v>1</v>
      </c>
      <c r="H264" s="5" t="str">
        <f t="shared" si="12"/>
        <v>det_569</v>
      </c>
      <c r="I264" s="5" t="str">
        <f t="shared" si="10"/>
        <v>W:\Performance Measurement\1. Freeway\1. raw data\2017\data files\det_569.txt</v>
      </c>
      <c r="J264" s="5" t="str">
        <f t="shared" si="11"/>
        <v>W:\Performance Measurement\1. Freeway\1. raw data\2017\data files\det_569.xlsx</v>
      </c>
      <c r="M264" s="117" t="s">
        <v>75</v>
      </c>
      <c r="N264" s="10">
        <v>569</v>
      </c>
      <c r="O264" s="10">
        <v>3</v>
      </c>
      <c r="P264" s="10">
        <v>1</v>
      </c>
    </row>
    <row r="265" spans="4:16" x14ac:dyDescent="0.25">
      <c r="D265" s="109">
        <v>261</v>
      </c>
      <c r="E265" s="10">
        <v>601</v>
      </c>
      <c r="F265" s="10">
        <v>4</v>
      </c>
      <c r="G265" s="10">
        <v>0</v>
      </c>
      <c r="H265" s="5" t="str">
        <f t="shared" si="12"/>
        <v>det_601</v>
      </c>
      <c r="I265" s="5" t="str">
        <f t="shared" si="10"/>
        <v>W:\Performance Measurement\1. Freeway\1. raw data\2017\data files\det_601.txt</v>
      </c>
      <c r="J265" s="5" t="str">
        <f t="shared" si="11"/>
        <v>W:\Performance Measurement\1. Freeway\1. raw data\2017\data files\det_601.xlsx</v>
      </c>
      <c r="M265" s="117" t="s">
        <v>76</v>
      </c>
      <c r="N265" s="10">
        <v>601</v>
      </c>
      <c r="O265" s="10">
        <v>4</v>
      </c>
      <c r="P265" s="10">
        <v>0</v>
      </c>
    </row>
    <row r="266" spans="4:16" x14ac:dyDescent="0.25">
      <c r="D266" s="109">
        <v>262</v>
      </c>
      <c r="E266" s="10">
        <v>602</v>
      </c>
      <c r="F266" s="10">
        <v>3</v>
      </c>
      <c r="G266" s="10">
        <v>1</v>
      </c>
      <c r="H266" s="5" t="str">
        <f t="shared" si="12"/>
        <v>det_602</v>
      </c>
      <c r="I266" s="5" t="str">
        <f t="shared" ref="I266:I329" si="13">$B$5&amp;"\"&amp;H266&amp;".txt"</f>
        <v>W:\Performance Measurement\1. Freeway\1. raw data\2017\data files\det_602.txt</v>
      </c>
      <c r="J266" s="5" t="str">
        <f t="shared" ref="J266:J329" si="14">$B$5&amp;"\"&amp;H266&amp;".xlsx"</f>
        <v>W:\Performance Measurement\1. Freeway\1. raw data\2017\data files\det_602.xlsx</v>
      </c>
      <c r="M266" s="117" t="s">
        <v>76</v>
      </c>
      <c r="N266" s="10">
        <v>602</v>
      </c>
      <c r="O266" s="10">
        <v>3</v>
      </c>
      <c r="P266" s="10">
        <v>1</v>
      </c>
    </row>
    <row r="267" spans="4:16" x14ac:dyDescent="0.25">
      <c r="D267" s="109">
        <v>263</v>
      </c>
      <c r="E267" s="10">
        <v>603</v>
      </c>
      <c r="F267" s="10">
        <v>3</v>
      </c>
      <c r="G267" s="10">
        <v>1</v>
      </c>
      <c r="H267" s="5" t="str">
        <f t="shared" si="12"/>
        <v>det_603</v>
      </c>
      <c r="I267" s="5" t="str">
        <f t="shared" si="13"/>
        <v>W:\Performance Measurement\1. Freeway\1. raw data\2017\data files\det_603.txt</v>
      </c>
      <c r="J267" s="5" t="str">
        <f t="shared" si="14"/>
        <v>W:\Performance Measurement\1. Freeway\1. raw data\2017\data files\det_603.xlsx</v>
      </c>
      <c r="M267" s="117" t="s">
        <v>76</v>
      </c>
      <c r="N267" s="10">
        <v>603</v>
      </c>
      <c r="O267" s="10">
        <v>3</v>
      </c>
      <c r="P267" s="10">
        <v>1</v>
      </c>
    </row>
    <row r="268" spans="4:16" x14ac:dyDescent="0.25">
      <c r="D268" s="109">
        <v>264</v>
      </c>
      <c r="E268" s="10">
        <v>604</v>
      </c>
      <c r="F268" s="10">
        <v>3</v>
      </c>
      <c r="G268" s="10">
        <v>1</v>
      </c>
      <c r="H268" s="5" t="str">
        <f t="shared" si="12"/>
        <v>det_604</v>
      </c>
      <c r="I268" s="5" t="str">
        <f t="shared" si="13"/>
        <v>W:\Performance Measurement\1. Freeway\1. raw data\2017\data files\det_604.txt</v>
      </c>
      <c r="J268" s="5" t="str">
        <f t="shared" si="14"/>
        <v>W:\Performance Measurement\1. Freeway\1. raw data\2017\data files\det_604.xlsx</v>
      </c>
      <c r="M268" s="117" t="s">
        <v>76</v>
      </c>
      <c r="N268" s="10">
        <v>604</v>
      </c>
      <c r="O268" s="10">
        <v>3</v>
      </c>
      <c r="P268" s="10">
        <v>1</v>
      </c>
    </row>
    <row r="269" spans="4:16" x14ac:dyDescent="0.25">
      <c r="D269" s="109">
        <v>265</v>
      </c>
      <c r="E269" s="10">
        <v>605</v>
      </c>
      <c r="F269" s="10">
        <v>3</v>
      </c>
      <c r="G269" s="10">
        <v>1</v>
      </c>
      <c r="H269" s="5" t="str">
        <f t="shared" si="12"/>
        <v>det_605</v>
      </c>
      <c r="I269" s="5" t="str">
        <f t="shared" si="13"/>
        <v>W:\Performance Measurement\1. Freeway\1. raw data\2017\data files\det_605.txt</v>
      </c>
      <c r="J269" s="5" t="str">
        <f t="shared" si="14"/>
        <v>W:\Performance Measurement\1. Freeway\1. raw data\2017\data files\det_605.xlsx</v>
      </c>
      <c r="M269" s="117" t="s">
        <v>76</v>
      </c>
      <c r="N269" s="10">
        <v>605</v>
      </c>
      <c r="O269" s="10">
        <v>3</v>
      </c>
      <c r="P269" s="10">
        <v>1</v>
      </c>
    </row>
    <row r="270" spans="4:16" x14ac:dyDescent="0.25">
      <c r="D270" s="109">
        <v>266</v>
      </c>
      <c r="E270" s="10">
        <v>606</v>
      </c>
      <c r="F270" s="10">
        <v>3</v>
      </c>
      <c r="G270" s="10">
        <v>1</v>
      </c>
      <c r="H270" s="5" t="str">
        <f t="shared" si="12"/>
        <v>det_606</v>
      </c>
      <c r="I270" s="5" t="str">
        <f t="shared" si="13"/>
        <v>W:\Performance Measurement\1. Freeway\1. raw data\2017\data files\det_606.txt</v>
      </c>
      <c r="J270" s="5" t="str">
        <f t="shared" si="14"/>
        <v>W:\Performance Measurement\1. Freeway\1. raw data\2017\data files\det_606.xlsx</v>
      </c>
      <c r="M270" s="117" t="s">
        <v>76</v>
      </c>
      <c r="N270" s="10">
        <v>606</v>
      </c>
      <c r="O270" s="10">
        <v>3</v>
      </c>
      <c r="P270" s="10">
        <v>1</v>
      </c>
    </row>
    <row r="271" spans="4:16" x14ac:dyDescent="0.25">
      <c r="D271" s="109">
        <v>267</v>
      </c>
      <c r="E271" s="10">
        <v>594</v>
      </c>
      <c r="F271" s="10">
        <v>3</v>
      </c>
      <c r="G271" s="10">
        <v>1</v>
      </c>
      <c r="H271" s="5" t="str">
        <f t="shared" si="12"/>
        <v>det_594</v>
      </c>
      <c r="I271" s="5" t="str">
        <f t="shared" si="13"/>
        <v>W:\Performance Measurement\1. Freeway\1. raw data\2017\data files\det_594.txt</v>
      </c>
      <c r="J271" s="5" t="str">
        <f t="shared" si="14"/>
        <v>W:\Performance Measurement\1. Freeway\1. raw data\2017\data files\det_594.xlsx</v>
      </c>
      <c r="M271" s="117" t="s">
        <v>76</v>
      </c>
      <c r="N271" s="10">
        <v>594</v>
      </c>
      <c r="O271" s="10">
        <v>3</v>
      </c>
      <c r="P271" s="10">
        <v>1</v>
      </c>
    </row>
    <row r="272" spans="4:16" x14ac:dyDescent="0.25">
      <c r="D272" s="109">
        <v>268</v>
      </c>
      <c r="E272" s="10">
        <v>595</v>
      </c>
      <c r="F272" s="10">
        <v>3</v>
      </c>
      <c r="G272" s="10">
        <v>1</v>
      </c>
      <c r="H272" s="5" t="str">
        <f t="shared" si="12"/>
        <v>det_595</v>
      </c>
      <c r="I272" s="5" t="str">
        <f t="shared" si="13"/>
        <v>W:\Performance Measurement\1. Freeway\1. raw data\2017\data files\det_595.txt</v>
      </c>
      <c r="J272" s="5" t="str">
        <f t="shared" si="14"/>
        <v>W:\Performance Measurement\1. Freeway\1. raw data\2017\data files\det_595.xlsx</v>
      </c>
      <c r="M272" s="117" t="s">
        <v>76</v>
      </c>
      <c r="N272" s="10">
        <v>595</v>
      </c>
      <c r="O272" s="10">
        <v>3</v>
      </c>
      <c r="P272" s="10">
        <v>1</v>
      </c>
    </row>
    <row r="273" spans="4:16" x14ac:dyDescent="0.25">
      <c r="D273" s="109">
        <v>269</v>
      </c>
      <c r="E273" s="10">
        <v>596</v>
      </c>
      <c r="F273" s="10">
        <v>3</v>
      </c>
      <c r="G273" s="10">
        <v>1</v>
      </c>
      <c r="H273" s="5" t="str">
        <f t="shared" si="12"/>
        <v>det_596</v>
      </c>
      <c r="I273" s="5" t="str">
        <f t="shared" si="13"/>
        <v>W:\Performance Measurement\1. Freeway\1. raw data\2017\data files\det_596.txt</v>
      </c>
      <c r="J273" s="5" t="str">
        <f t="shared" si="14"/>
        <v>W:\Performance Measurement\1. Freeway\1. raw data\2017\data files\det_596.xlsx</v>
      </c>
      <c r="M273" s="117" t="s">
        <v>76</v>
      </c>
      <c r="N273" s="10">
        <v>596</v>
      </c>
      <c r="O273" s="10">
        <v>3</v>
      </c>
      <c r="P273" s="10">
        <v>1</v>
      </c>
    </row>
    <row r="274" spans="4:16" x14ac:dyDescent="0.25">
      <c r="D274" s="109">
        <v>270</v>
      </c>
      <c r="E274" s="10">
        <v>597</v>
      </c>
      <c r="F274" s="10">
        <v>3</v>
      </c>
      <c r="G274" s="10">
        <v>1</v>
      </c>
      <c r="H274" s="5" t="str">
        <f t="shared" si="12"/>
        <v>det_597</v>
      </c>
      <c r="I274" s="5" t="str">
        <f t="shared" si="13"/>
        <v>W:\Performance Measurement\1. Freeway\1. raw data\2017\data files\det_597.txt</v>
      </c>
      <c r="J274" s="5" t="str">
        <f t="shared" si="14"/>
        <v>W:\Performance Measurement\1. Freeway\1. raw data\2017\data files\det_597.xlsx</v>
      </c>
      <c r="M274" s="117" t="s">
        <v>76</v>
      </c>
      <c r="N274" s="10">
        <v>597</v>
      </c>
      <c r="O274" s="10">
        <v>3</v>
      </c>
      <c r="P274" s="10">
        <v>1</v>
      </c>
    </row>
    <row r="275" spans="4:16" x14ac:dyDescent="0.25">
      <c r="D275" s="109">
        <v>271</v>
      </c>
      <c r="E275" s="10">
        <v>598</v>
      </c>
      <c r="F275" s="10">
        <v>3</v>
      </c>
      <c r="G275" s="10">
        <v>1</v>
      </c>
      <c r="H275" s="5" t="str">
        <f t="shared" si="12"/>
        <v>det_598</v>
      </c>
      <c r="I275" s="5" t="str">
        <f t="shared" si="13"/>
        <v>W:\Performance Measurement\1. Freeway\1. raw data\2017\data files\det_598.txt</v>
      </c>
      <c r="J275" s="5" t="str">
        <f t="shared" si="14"/>
        <v>W:\Performance Measurement\1. Freeway\1. raw data\2017\data files\det_598.xlsx</v>
      </c>
      <c r="K275" s="5"/>
      <c r="M275" s="117" t="s">
        <v>76</v>
      </c>
      <c r="N275" s="10">
        <v>598</v>
      </c>
      <c r="O275" s="10">
        <v>3</v>
      </c>
      <c r="P275" s="10">
        <v>1</v>
      </c>
    </row>
    <row r="276" spans="4:16" x14ac:dyDescent="0.25">
      <c r="D276" s="109">
        <v>272</v>
      </c>
      <c r="E276" s="10">
        <v>599</v>
      </c>
      <c r="F276" s="10">
        <v>3</v>
      </c>
      <c r="G276" s="10">
        <v>1</v>
      </c>
      <c r="H276" s="5" t="str">
        <f t="shared" si="12"/>
        <v>det_599</v>
      </c>
      <c r="I276" s="5" t="str">
        <f t="shared" si="13"/>
        <v>W:\Performance Measurement\1. Freeway\1. raw data\2017\data files\det_599.txt</v>
      </c>
      <c r="J276" s="5" t="str">
        <f t="shared" si="14"/>
        <v>W:\Performance Measurement\1. Freeway\1. raw data\2017\data files\det_599.xlsx</v>
      </c>
      <c r="K276" s="5"/>
      <c r="M276" s="117" t="s">
        <v>76</v>
      </c>
      <c r="N276" s="10">
        <v>599</v>
      </c>
      <c r="O276" s="10">
        <v>3</v>
      </c>
      <c r="P276" s="10">
        <v>1</v>
      </c>
    </row>
    <row r="277" spans="4:16" x14ac:dyDescent="0.25">
      <c r="D277" s="109">
        <v>273</v>
      </c>
      <c r="E277" s="10">
        <v>600</v>
      </c>
      <c r="F277" s="10">
        <v>3</v>
      </c>
      <c r="G277" s="10">
        <v>1</v>
      </c>
      <c r="H277" s="5" t="str">
        <f t="shared" si="12"/>
        <v>det_600</v>
      </c>
      <c r="I277" s="5" t="str">
        <f t="shared" si="13"/>
        <v>W:\Performance Measurement\1. Freeway\1. raw data\2017\data files\det_600.txt</v>
      </c>
      <c r="J277" s="5" t="str">
        <f t="shared" si="14"/>
        <v>W:\Performance Measurement\1. Freeway\1. raw data\2017\data files\det_600.xlsx</v>
      </c>
      <c r="K277" s="5"/>
      <c r="M277" s="117" t="s">
        <v>76</v>
      </c>
      <c r="N277" s="10">
        <v>600</v>
      </c>
      <c r="O277" s="10">
        <v>3</v>
      </c>
      <c r="P277" s="10">
        <v>1</v>
      </c>
    </row>
    <row r="278" spans="4:16" x14ac:dyDescent="0.25">
      <c r="D278" s="109">
        <v>274</v>
      </c>
      <c r="E278" s="112">
        <v>586</v>
      </c>
      <c r="F278" s="112">
        <v>3</v>
      </c>
      <c r="G278" s="112">
        <v>0</v>
      </c>
      <c r="H278" s="5" t="str">
        <f t="shared" si="12"/>
        <v>det_586</v>
      </c>
      <c r="I278" s="5" t="str">
        <f t="shared" si="13"/>
        <v>W:\Performance Measurement\1. Freeway\1. raw data\2017\data files\det_586.txt</v>
      </c>
      <c r="J278" s="5" t="str">
        <f t="shared" si="14"/>
        <v>W:\Performance Measurement\1. Freeway\1. raw data\2017\data files\det_586.xlsx</v>
      </c>
      <c r="K278" s="5"/>
      <c r="M278" s="117" t="s">
        <v>77</v>
      </c>
      <c r="N278" s="112">
        <v>586</v>
      </c>
      <c r="O278" s="112">
        <v>3</v>
      </c>
      <c r="P278" s="112">
        <v>0</v>
      </c>
    </row>
    <row r="279" spans="4:16" x14ac:dyDescent="0.25">
      <c r="D279" s="109">
        <v>275</v>
      </c>
      <c r="E279" s="10">
        <v>587</v>
      </c>
      <c r="F279" s="10">
        <v>4</v>
      </c>
      <c r="G279" s="10">
        <v>0</v>
      </c>
      <c r="H279" s="5" t="str">
        <f t="shared" si="12"/>
        <v>det_587</v>
      </c>
      <c r="I279" s="5" t="str">
        <f t="shared" si="13"/>
        <v>W:\Performance Measurement\1. Freeway\1. raw data\2017\data files\det_587.txt</v>
      </c>
      <c r="J279" s="5" t="str">
        <f t="shared" si="14"/>
        <v>W:\Performance Measurement\1. Freeway\1. raw data\2017\data files\det_587.xlsx</v>
      </c>
      <c r="K279" s="5"/>
      <c r="M279" s="117" t="s">
        <v>77</v>
      </c>
      <c r="N279" s="10">
        <v>587</v>
      </c>
      <c r="O279" s="10">
        <v>4</v>
      </c>
      <c r="P279" s="10">
        <v>0</v>
      </c>
    </row>
    <row r="280" spans="4:16" x14ac:dyDescent="0.25">
      <c r="D280" s="109">
        <v>276</v>
      </c>
      <c r="E280" s="10">
        <v>588</v>
      </c>
      <c r="F280" s="10">
        <v>4</v>
      </c>
      <c r="G280" s="10">
        <v>0</v>
      </c>
      <c r="H280" s="5" t="str">
        <f t="shared" si="12"/>
        <v>det_588</v>
      </c>
      <c r="I280" s="5" t="str">
        <f t="shared" si="13"/>
        <v>W:\Performance Measurement\1. Freeway\1. raw data\2017\data files\det_588.txt</v>
      </c>
      <c r="J280" s="5" t="str">
        <f t="shared" si="14"/>
        <v>W:\Performance Measurement\1. Freeway\1. raw data\2017\data files\det_588.xlsx</v>
      </c>
      <c r="K280" s="5"/>
      <c r="M280" s="117" t="s">
        <v>77</v>
      </c>
      <c r="N280" s="10">
        <v>588</v>
      </c>
      <c r="O280" s="10">
        <v>4</v>
      </c>
      <c r="P280" s="10">
        <v>0</v>
      </c>
    </row>
    <row r="281" spans="4:16" x14ac:dyDescent="0.25">
      <c r="D281" s="109">
        <v>277</v>
      </c>
      <c r="E281" s="10">
        <v>589</v>
      </c>
      <c r="F281" s="10">
        <v>4</v>
      </c>
      <c r="G281" s="10">
        <v>0</v>
      </c>
      <c r="H281" s="5" t="str">
        <f t="shared" si="12"/>
        <v>det_589</v>
      </c>
      <c r="I281" s="5" t="str">
        <f t="shared" si="13"/>
        <v>W:\Performance Measurement\1. Freeway\1. raw data\2017\data files\det_589.txt</v>
      </c>
      <c r="J281" s="5" t="str">
        <f t="shared" si="14"/>
        <v>W:\Performance Measurement\1. Freeway\1. raw data\2017\data files\det_589.xlsx</v>
      </c>
      <c r="K281" s="5"/>
      <c r="M281" s="117" t="s">
        <v>77</v>
      </c>
      <c r="N281" s="10">
        <v>589</v>
      </c>
      <c r="O281" s="10">
        <v>4</v>
      </c>
      <c r="P281" s="10">
        <v>0</v>
      </c>
    </row>
    <row r="282" spans="4:16" x14ac:dyDescent="0.25">
      <c r="D282" s="109">
        <v>278</v>
      </c>
      <c r="E282" s="10">
        <v>590</v>
      </c>
      <c r="F282" s="10">
        <v>4</v>
      </c>
      <c r="G282" s="10">
        <v>0</v>
      </c>
      <c r="H282" s="5" t="str">
        <f t="shared" si="12"/>
        <v>det_590</v>
      </c>
      <c r="I282" s="5" t="str">
        <f t="shared" si="13"/>
        <v>W:\Performance Measurement\1. Freeway\1. raw data\2017\data files\det_590.txt</v>
      </c>
      <c r="J282" s="5" t="str">
        <f t="shared" si="14"/>
        <v>W:\Performance Measurement\1. Freeway\1. raw data\2017\data files\det_590.xlsx</v>
      </c>
      <c r="K282" s="5"/>
      <c r="M282" s="117" t="s">
        <v>77</v>
      </c>
      <c r="N282" s="10">
        <v>590</v>
      </c>
      <c r="O282" s="10">
        <v>4</v>
      </c>
      <c r="P282" s="10">
        <v>0</v>
      </c>
    </row>
    <row r="283" spans="4:16" x14ac:dyDescent="0.25">
      <c r="D283" s="109">
        <v>279</v>
      </c>
      <c r="E283" s="10">
        <v>591</v>
      </c>
      <c r="F283" s="10">
        <v>4</v>
      </c>
      <c r="G283" s="10">
        <v>0</v>
      </c>
      <c r="H283" s="5" t="str">
        <f t="shared" si="12"/>
        <v>det_591</v>
      </c>
      <c r="I283" s="5" t="str">
        <f t="shared" si="13"/>
        <v>W:\Performance Measurement\1. Freeway\1. raw data\2017\data files\det_591.txt</v>
      </c>
      <c r="J283" s="5" t="str">
        <f t="shared" si="14"/>
        <v>W:\Performance Measurement\1. Freeway\1. raw data\2017\data files\det_591.xlsx</v>
      </c>
      <c r="K283" s="5"/>
      <c r="M283" s="117" t="s">
        <v>77</v>
      </c>
      <c r="N283" s="10">
        <v>591</v>
      </c>
      <c r="O283" s="10">
        <v>4</v>
      </c>
      <c r="P283" s="10">
        <v>0</v>
      </c>
    </row>
    <row r="284" spans="4:16" x14ac:dyDescent="0.25">
      <c r="D284" s="109">
        <v>280</v>
      </c>
      <c r="E284" s="10">
        <v>592</v>
      </c>
      <c r="F284" s="10">
        <v>5</v>
      </c>
      <c r="G284" s="10">
        <v>0</v>
      </c>
      <c r="H284" s="5" t="str">
        <f t="shared" si="12"/>
        <v>det_592</v>
      </c>
      <c r="I284" s="5" t="str">
        <f t="shared" si="13"/>
        <v>W:\Performance Measurement\1. Freeway\1. raw data\2017\data files\det_592.txt</v>
      </c>
      <c r="J284" s="5" t="str">
        <f t="shared" si="14"/>
        <v>W:\Performance Measurement\1. Freeway\1. raw data\2017\data files\det_592.xlsx</v>
      </c>
      <c r="K284" s="5"/>
      <c r="M284" s="117" t="s">
        <v>77</v>
      </c>
      <c r="N284" s="10">
        <v>592</v>
      </c>
      <c r="O284" s="10">
        <v>5</v>
      </c>
      <c r="P284" s="10">
        <v>0</v>
      </c>
    </row>
    <row r="285" spans="4:16" x14ac:dyDescent="0.25">
      <c r="D285" s="109">
        <v>281</v>
      </c>
      <c r="E285" s="10">
        <v>593</v>
      </c>
      <c r="F285" s="10">
        <v>4</v>
      </c>
      <c r="G285" s="10">
        <v>0</v>
      </c>
      <c r="H285" s="5" t="str">
        <f t="shared" si="12"/>
        <v>det_593</v>
      </c>
      <c r="I285" s="5" t="str">
        <f t="shared" si="13"/>
        <v>W:\Performance Measurement\1. Freeway\1. raw data\2017\data files\det_593.txt</v>
      </c>
      <c r="J285" s="5" t="str">
        <f t="shared" si="14"/>
        <v>W:\Performance Measurement\1. Freeway\1. raw data\2017\data files\det_593.xlsx</v>
      </c>
      <c r="K285" s="5"/>
      <c r="M285" s="117" t="s">
        <v>77</v>
      </c>
      <c r="N285" s="10">
        <v>593</v>
      </c>
      <c r="O285" s="10">
        <v>4</v>
      </c>
      <c r="P285" s="10">
        <v>0</v>
      </c>
    </row>
    <row r="286" spans="4:16" x14ac:dyDescent="0.25">
      <c r="D286" s="109">
        <v>282</v>
      </c>
      <c r="E286" s="10">
        <v>579</v>
      </c>
      <c r="F286" s="10">
        <v>4</v>
      </c>
      <c r="G286" s="10">
        <v>0</v>
      </c>
      <c r="H286" s="5" t="str">
        <f t="shared" si="12"/>
        <v>det_579</v>
      </c>
      <c r="I286" s="5" t="str">
        <f t="shared" si="13"/>
        <v>W:\Performance Measurement\1. Freeway\1. raw data\2017\data files\det_579.txt</v>
      </c>
      <c r="J286" s="5" t="str">
        <f t="shared" si="14"/>
        <v>W:\Performance Measurement\1. Freeway\1. raw data\2017\data files\det_579.xlsx</v>
      </c>
      <c r="K286" s="5"/>
      <c r="M286" s="117" t="s">
        <v>77</v>
      </c>
      <c r="N286" s="10">
        <v>579</v>
      </c>
      <c r="O286" s="10">
        <v>4</v>
      </c>
      <c r="P286" s="10">
        <v>0</v>
      </c>
    </row>
    <row r="287" spans="4:16" x14ac:dyDescent="0.25">
      <c r="D287" s="109">
        <v>283</v>
      </c>
      <c r="E287" s="10">
        <v>580</v>
      </c>
      <c r="F287" s="10">
        <v>5</v>
      </c>
      <c r="G287" s="10">
        <v>0</v>
      </c>
      <c r="H287" s="5" t="str">
        <f t="shared" si="12"/>
        <v>det_580</v>
      </c>
      <c r="I287" s="5" t="str">
        <f t="shared" si="13"/>
        <v>W:\Performance Measurement\1. Freeway\1. raw data\2017\data files\det_580.txt</v>
      </c>
      <c r="J287" s="5" t="str">
        <f t="shared" si="14"/>
        <v>W:\Performance Measurement\1. Freeway\1. raw data\2017\data files\det_580.xlsx</v>
      </c>
      <c r="K287" s="5"/>
      <c r="M287" s="117" t="s">
        <v>77</v>
      </c>
      <c r="N287" s="10">
        <v>580</v>
      </c>
      <c r="O287" s="10">
        <v>5</v>
      </c>
      <c r="P287" s="10">
        <v>0</v>
      </c>
    </row>
    <row r="288" spans="4:16" x14ac:dyDescent="0.25">
      <c r="D288" s="109">
        <v>284</v>
      </c>
      <c r="E288" s="10">
        <v>581</v>
      </c>
      <c r="F288" s="10">
        <v>4</v>
      </c>
      <c r="G288" s="10">
        <v>0</v>
      </c>
      <c r="H288" s="5" t="str">
        <f t="shared" si="12"/>
        <v>det_581</v>
      </c>
      <c r="I288" s="5" t="str">
        <f t="shared" si="13"/>
        <v>W:\Performance Measurement\1. Freeway\1. raw data\2017\data files\det_581.txt</v>
      </c>
      <c r="J288" s="5" t="str">
        <f t="shared" si="14"/>
        <v>W:\Performance Measurement\1. Freeway\1. raw data\2017\data files\det_581.xlsx</v>
      </c>
      <c r="K288" s="5"/>
      <c r="M288" s="117" t="s">
        <v>77</v>
      </c>
      <c r="N288" s="10">
        <v>581</v>
      </c>
      <c r="O288" s="10">
        <v>4</v>
      </c>
      <c r="P288" s="10">
        <v>0</v>
      </c>
    </row>
    <row r="289" spans="4:16" x14ac:dyDescent="0.25">
      <c r="D289" s="109">
        <v>285</v>
      </c>
      <c r="E289" s="10">
        <v>582</v>
      </c>
      <c r="F289" s="10">
        <v>4</v>
      </c>
      <c r="G289" s="10">
        <v>0</v>
      </c>
      <c r="H289" s="5" t="str">
        <f t="shared" si="12"/>
        <v>det_582</v>
      </c>
      <c r="I289" s="5" t="str">
        <f t="shared" si="13"/>
        <v>W:\Performance Measurement\1. Freeway\1. raw data\2017\data files\det_582.txt</v>
      </c>
      <c r="J289" s="5" t="str">
        <f t="shared" si="14"/>
        <v>W:\Performance Measurement\1. Freeway\1. raw data\2017\data files\det_582.xlsx</v>
      </c>
      <c r="K289" s="5"/>
      <c r="M289" s="117" t="s">
        <v>77</v>
      </c>
      <c r="N289" s="10">
        <v>582</v>
      </c>
      <c r="O289" s="10">
        <v>4</v>
      </c>
      <c r="P289" s="10">
        <v>0</v>
      </c>
    </row>
    <row r="290" spans="4:16" x14ac:dyDescent="0.25">
      <c r="D290" s="109">
        <v>286</v>
      </c>
      <c r="E290" s="10">
        <v>583</v>
      </c>
      <c r="F290" s="10">
        <v>4</v>
      </c>
      <c r="G290" s="10">
        <v>0</v>
      </c>
      <c r="H290" s="5" t="str">
        <f t="shared" si="12"/>
        <v>det_583</v>
      </c>
      <c r="I290" s="5" t="str">
        <f t="shared" si="13"/>
        <v>W:\Performance Measurement\1. Freeway\1. raw data\2017\data files\det_583.txt</v>
      </c>
      <c r="J290" s="5" t="str">
        <f t="shared" si="14"/>
        <v>W:\Performance Measurement\1. Freeway\1. raw data\2017\data files\det_583.xlsx</v>
      </c>
      <c r="K290" s="5"/>
      <c r="M290" s="117" t="s">
        <v>77</v>
      </c>
      <c r="N290" s="10">
        <v>583</v>
      </c>
      <c r="O290" s="10">
        <v>4</v>
      </c>
      <c r="P290" s="10">
        <v>0</v>
      </c>
    </row>
    <row r="291" spans="4:16" x14ac:dyDescent="0.25">
      <c r="D291" s="109">
        <v>287</v>
      </c>
      <c r="E291" s="10">
        <v>584</v>
      </c>
      <c r="F291" s="10">
        <v>4</v>
      </c>
      <c r="G291" s="10">
        <v>0</v>
      </c>
      <c r="H291" s="5" t="str">
        <f t="shared" si="12"/>
        <v>det_584</v>
      </c>
      <c r="I291" s="5" t="str">
        <f t="shared" si="13"/>
        <v>W:\Performance Measurement\1. Freeway\1. raw data\2017\data files\det_584.txt</v>
      </c>
      <c r="J291" s="5" t="str">
        <f t="shared" si="14"/>
        <v>W:\Performance Measurement\1. Freeway\1. raw data\2017\data files\det_584.xlsx</v>
      </c>
      <c r="K291" s="5"/>
      <c r="M291" s="117" t="s">
        <v>77</v>
      </c>
      <c r="N291" s="10">
        <v>584</v>
      </c>
      <c r="O291" s="10">
        <v>4</v>
      </c>
      <c r="P291" s="10">
        <v>0</v>
      </c>
    </row>
    <row r="292" spans="4:16" x14ac:dyDescent="0.25">
      <c r="D292" s="109">
        <v>288</v>
      </c>
      <c r="E292" s="112">
        <v>585</v>
      </c>
      <c r="F292" s="112">
        <v>3</v>
      </c>
      <c r="G292" s="112">
        <v>0</v>
      </c>
      <c r="H292" s="5" t="str">
        <f t="shared" si="12"/>
        <v>det_585</v>
      </c>
      <c r="I292" s="5" t="str">
        <f t="shared" si="13"/>
        <v>W:\Performance Measurement\1. Freeway\1. raw data\2017\data files\det_585.txt</v>
      </c>
      <c r="J292" s="5" t="str">
        <f t="shared" si="14"/>
        <v>W:\Performance Measurement\1. Freeway\1. raw data\2017\data files\det_585.xlsx</v>
      </c>
      <c r="K292" s="5"/>
      <c r="M292" s="117" t="s">
        <v>77</v>
      </c>
      <c r="N292" s="112">
        <v>585</v>
      </c>
      <c r="O292" s="112">
        <v>3</v>
      </c>
      <c r="P292" s="112">
        <v>0</v>
      </c>
    </row>
    <row r="293" spans="4:16" x14ac:dyDescent="0.25">
      <c r="D293" s="109">
        <v>289</v>
      </c>
      <c r="E293" s="10">
        <v>650</v>
      </c>
      <c r="F293" s="10">
        <v>3</v>
      </c>
      <c r="G293" s="10">
        <v>1</v>
      </c>
      <c r="H293" s="5" t="str">
        <f t="shared" si="12"/>
        <v>det_650</v>
      </c>
      <c r="I293" s="5" t="str">
        <f t="shared" si="13"/>
        <v>W:\Performance Measurement\1. Freeway\1. raw data\2017\data files\det_650.txt</v>
      </c>
      <c r="J293" s="5" t="str">
        <f t="shared" si="14"/>
        <v>W:\Performance Measurement\1. Freeway\1. raw data\2017\data files\det_650.xlsx</v>
      </c>
      <c r="K293" s="5"/>
      <c r="M293" s="117" t="s">
        <v>78</v>
      </c>
      <c r="N293" s="10">
        <v>650</v>
      </c>
      <c r="O293" s="10">
        <v>3</v>
      </c>
      <c r="P293" s="10">
        <v>1</v>
      </c>
    </row>
    <row r="294" spans="4:16" x14ac:dyDescent="0.25">
      <c r="D294" s="109">
        <v>290</v>
      </c>
      <c r="E294" s="112">
        <v>666</v>
      </c>
      <c r="F294" s="112">
        <v>3</v>
      </c>
      <c r="G294" s="112">
        <v>1</v>
      </c>
      <c r="H294" s="5" t="str">
        <f t="shared" si="12"/>
        <v>det_666</v>
      </c>
      <c r="I294" s="5" t="str">
        <f t="shared" si="13"/>
        <v>W:\Performance Measurement\1. Freeway\1. raw data\2017\data files\det_666.txt</v>
      </c>
      <c r="J294" s="5" t="str">
        <f t="shared" si="14"/>
        <v>W:\Performance Measurement\1. Freeway\1. raw data\2017\data files\det_666.xlsx</v>
      </c>
      <c r="K294" s="5"/>
      <c r="M294" s="117" t="s">
        <v>78</v>
      </c>
      <c r="N294" s="112">
        <v>666</v>
      </c>
      <c r="O294" s="112">
        <v>3</v>
      </c>
      <c r="P294" s="112">
        <v>1</v>
      </c>
    </row>
    <row r="295" spans="4:16" x14ac:dyDescent="0.25">
      <c r="D295" s="109">
        <v>291</v>
      </c>
      <c r="E295" s="10">
        <v>667</v>
      </c>
      <c r="F295" s="10">
        <v>3</v>
      </c>
      <c r="G295" s="10">
        <v>1</v>
      </c>
      <c r="H295" s="5" t="str">
        <f t="shared" si="12"/>
        <v>det_667</v>
      </c>
      <c r="I295" s="5" t="str">
        <f t="shared" si="13"/>
        <v>W:\Performance Measurement\1. Freeway\1. raw data\2017\data files\det_667.txt</v>
      </c>
      <c r="J295" s="5" t="str">
        <f t="shared" si="14"/>
        <v>W:\Performance Measurement\1. Freeway\1. raw data\2017\data files\det_667.xlsx</v>
      </c>
      <c r="K295" s="5"/>
      <c r="M295" s="117" t="s">
        <v>78</v>
      </c>
      <c r="N295" s="10">
        <v>667</v>
      </c>
      <c r="O295" s="10">
        <v>3</v>
      </c>
      <c r="P295" s="10">
        <v>1</v>
      </c>
    </row>
    <row r="296" spans="4:16" x14ac:dyDescent="0.25">
      <c r="D296" s="109">
        <v>292</v>
      </c>
      <c r="E296" s="10">
        <v>668</v>
      </c>
      <c r="F296" s="10">
        <v>3</v>
      </c>
      <c r="G296" s="10">
        <v>1</v>
      </c>
      <c r="H296" s="5" t="str">
        <f t="shared" si="12"/>
        <v>det_668</v>
      </c>
      <c r="I296" s="5" t="str">
        <f t="shared" si="13"/>
        <v>W:\Performance Measurement\1. Freeway\1. raw data\2017\data files\det_668.txt</v>
      </c>
      <c r="J296" s="5" t="str">
        <f t="shared" si="14"/>
        <v>W:\Performance Measurement\1. Freeway\1. raw data\2017\data files\det_668.xlsx</v>
      </c>
      <c r="K296" s="5"/>
      <c r="M296" s="117" t="s">
        <v>78</v>
      </c>
      <c r="N296" s="10">
        <v>668</v>
      </c>
      <c r="O296" s="10">
        <v>3</v>
      </c>
      <c r="P296" s="10">
        <v>1</v>
      </c>
    </row>
    <row r="297" spans="4:16" x14ac:dyDescent="0.25">
      <c r="D297" s="109">
        <v>293</v>
      </c>
      <c r="E297" s="10">
        <v>669</v>
      </c>
      <c r="F297" s="10">
        <v>3</v>
      </c>
      <c r="G297" s="10">
        <v>1</v>
      </c>
      <c r="H297" s="5" t="str">
        <f t="shared" si="12"/>
        <v>det_669</v>
      </c>
      <c r="I297" s="5" t="str">
        <f t="shared" si="13"/>
        <v>W:\Performance Measurement\1. Freeway\1. raw data\2017\data files\det_669.txt</v>
      </c>
      <c r="J297" s="5" t="str">
        <f t="shared" si="14"/>
        <v>W:\Performance Measurement\1. Freeway\1. raw data\2017\data files\det_669.xlsx</v>
      </c>
      <c r="K297" s="5"/>
      <c r="M297" s="117" t="s">
        <v>78</v>
      </c>
      <c r="N297" s="10">
        <v>669</v>
      </c>
      <c r="O297" s="10">
        <v>3</v>
      </c>
      <c r="P297" s="10">
        <v>1</v>
      </c>
    </row>
    <row r="298" spans="4:16" x14ac:dyDescent="0.25">
      <c r="D298" s="109">
        <v>294</v>
      </c>
      <c r="E298" s="112">
        <v>670</v>
      </c>
      <c r="F298" s="112">
        <v>4</v>
      </c>
      <c r="G298" s="112">
        <v>1</v>
      </c>
      <c r="H298" s="5" t="str">
        <f t="shared" si="12"/>
        <v>det_670</v>
      </c>
      <c r="I298" s="5" t="str">
        <f t="shared" si="13"/>
        <v>W:\Performance Measurement\1. Freeway\1. raw data\2017\data files\det_670.txt</v>
      </c>
      <c r="J298" s="5" t="str">
        <f t="shared" si="14"/>
        <v>W:\Performance Measurement\1. Freeway\1. raw data\2017\data files\det_670.xlsx</v>
      </c>
      <c r="K298" s="5"/>
      <c r="M298" s="117" t="s">
        <v>78</v>
      </c>
      <c r="N298" s="112">
        <v>670</v>
      </c>
      <c r="O298" s="112">
        <v>4</v>
      </c>
      <c r="P298" s="112">
        <v>1</v>
      </c>
    </row>
    <row r="299" spans="4:16" x14ac:dyDescent="0.25">
      <c r="D299" s="109">
        <v>295</v>
      </c>
      <c r="E299" s="112">
        <v>671</v>
      </c>
      <c r="F299" s="112">
        <v>4</v>
      </c>
      <c r="G299" s="112">
        <v>1</v>
      </c>
      <c r="H299" s="5" t="str">
        <f t="shared" si="12"/>
        <v>det_671</v>
      </c>
      <c r="I299" s="5" t="str">
        <f t="shared" si="13"/>
        <v>W:\Performance Measurement\1. Freeway\1. raw data\2017\data files\det_671.txt</v>
      </c>
      <c r="J299" s="5" t="str">
        <f t="shared" si="14"/>
        <v>W:\Performance Measurement\1. Freeway\1. raw data\2017\data files\det_671.xlsx</v>
      </c>
      <c r="K299" s="5"/>
      <c r="M299" s="117" t="s">
        <v>78</v>
      </c>
      <c r="N299" s="112">
        <v>671</v>
      </c>
      <c r="O299" s="112">
        <v>4</v>
      </c>
      <c r="P299" s="112">
        <v>1</v>
      </c>
    </row>
    <row r="300" spans="4:16" x14ac:dyDescent="0.25">
      <c r="D300" s="109">
        <v>296</v>
      </c>
      <c r="E300" s="10">
        <v>672</v>
      </c>
      <c r="F300" s="10">
        <v>3</v>
      </c>
      <c r="G300" s="10">
        <v>1</v>
      </c>
      <c r="H300" s="5" t="str">
        <f t="shared" si="12"/>
        <v>det_672</v>
      </c>
      <c r="I300" s="5" t="str">
        <f t="shared" si="13"/>
        <v>W:\Performance Measurement\1. Freeway\1. raw data\2017\data files\det_672.txt</v>
      </c>
      <c r="J300" s="5" t="str">
        <f t="shared" si="14"/>
        <v>W:\Performance Measurement\1. Freeway\1. raw data\2017\data files\det_672.xlsx</v>
      </c>
      <c r="K300" s="5"/>
      <c r="M300" s="117" t="s">
        <v>78</v>
      </c>
      <c r="N300" s="10">
        <v>672</v>
      </c>
      <c r="O300" s="10">
        <v>3</v>
      </c>
      <c r="P300" s="10">
        <v>1</v>
      </c>
    </row>
    <row r="301" spans="4:16" x14ac:dyDescent="0.25">
      <c r="D301" s="109">
        <v>297</v>
      </c>
      <c r="E301" s="112">
        <v>673</v>
      </c>
      <c r="F301" s="112">
        <v>3</v>
      </c>
      <c r="G301" s="112">
        <v>0</v>
      </c>
      <c r="H301" s="5" t="str">
        <f t="shared" si="12"/>
        <v>det_673</v>
      </c>
      <c r="I301" s="5" t="str">
        <f t="shared" si="13"/>
        <v>W:\Performance Measurement\1. Freeway\1. raw data\2017\data files\det_673.txt</v>
      </c>
      <c r="J301" s="5" t="str">
        <f t="shared" si="14"/>
        <v>W:\Performance Measurement\1. Freeway\1. raw data\2017\data files\det_673.xlsx</v>
      </c>
      <c r="K301" s="5"/>
      <c r="M301" s="117" t="s">
        <v>78</v>
      </c>
      <c r="N301" s="112">
        <v>673</v>
      </c>
      <c r="O301" s="112">
        <v>3</v>
      </c>
      <c r="P301" s="112">
        <v>0</v>
      </c>
    </row>
    <row r="302" spans="4:16" x14ac:dyDescent="0.25">
      <c r="D302" s="109">
        <v>298</v>
      </c>
      <c r="E302" s="10">
        <v>674</v>
      </c>
      <c r="F302" s="10">
        <v>3</v>
      </c>
      <c r="G302" s="10">
        <v>1</v>
      </c>
      <c r="H302" s="5" t="str">
        <f t="shared" si="12"/>
        <v>det_674</v>
      </c>
      <c r="I302" s="5" t="str">
        <f t="shared" si="13"/>
        <v>W:\Performance Measurement\1. Freeway\1. raw data\2017\data files\det_674.txt</v>
      </c>
      <c r="J302" s="5" t="str">
        <f t="shared" si="14"/>
        <v>W:\Performance Measurement\1. Freeway\1. raw data\2017\data files\det_674.xlsx</v>
      </c>
      <c r="K302" s="5"/>
      <c r="M302" s="117" t="s">
        <v>78</v>
      </c>
      <c r="N302" s="10">
        <v>674</v>
      </c>
      <c r="O302" s="10">
        <v>3</v>
      </c>
      <c r="P302" s="10">
        <v>1</v>
      </c>
    </row>
    <row r="303" spans="4:16" x14ac:dyDescent="0.25">
      <c r="D303" s="109">
        <v>299</v>
      </c>
      <c r="E303" s="10">
        <v>675</v>
      </c>
      <c r="F303" s="10">
        <v>3</v>
      </c>
      <c r="G303" s="10">
        <v>1</v>
      </c>
      <c r="H303" s="5" t="str">
        <f t="shared" si="12"/>
        <v>det_675</v>
      </c>
      <c r="I303" s="5" t="str">
        <f t="shared" si="13"/>
        <v>W:\Performance Measurement\1. Freeway\1. raw data\2017\data files\det_675.txt</v>
      </c>
      <c r="J303" s="5" t="str">
        <f t="shared" si="14"/>
        <v>W:\Performance Measurement\1. Freeway\1. raw data\2017\data files\det_675.xlsx</v>
      </c>
      <c r="K303" s="5"/>
      <c r="M303" s="117" t="s">
        <v>78</v>
      </c>
      <c r="N303" s="10">
        <v>675</v>
      </c>
      <c r="O303" s="10">
        <v>3</v>
      </c>
      <c r="P303" s="10">
        <v>1</v>
      </c>
    </row>
    <row r="304" spans="4:16" x14ac:dyDescent="0.25">
      <c r="D304" s="109">
        <v>300</v>
      </c>
      <c r="E304" s="10">
        <v>676</v>
      </c>
      <c r="F304" s="10">
        <v>3</v>
      </c>
      <c r="G304" s="10">
        <v>1</v>
      </c>
      <c r="H304" s="5" t="str">
        <f t="shared" si="12"/>
        <v>det_676</v>
      </c>
      <c r="I304" s="5" t="str">
        <f t="shared" si="13"/>
        <v>W:\Performance Measurement\1. Freeway\1. raw data\2017\data files\det_676.txt</v>
      </c>
      <c r="J304" s="5" t="str">
        <f t="shared" si="14"/>
        <v>W:\Performance Measurement\1. Freeway\1. raw data\2017\data files\det_676.xlsx</v>
      </c>
      <c r="K304" s="5"/>
      <c r="M304" s="117" t="s">
        <v>78</v>
      </c>
      <c r="N304" s="10">
        <v>676</v>
      </c>
      <c r="O304" s="10">
        <v>3</v>
      </c>
      <c r="P304" s="10">
        <v>1</v>
      </c>
    </row>
    <row r="305" spans="4:16" x14ac:dyDescent="0.25">
      <c r="D305" s="109">
        <v>301</v>
      </c>
      <c r="E305" s="112">
        <v>677</v>
      </c>
      <c r="F305" s="112">
        <v>4</v>
      </c>
      <c r="G305" s="112">
        <v>1</v>
      </c>
      <c r="H305" s="5" t="str">
        <f t="shared" si="12"/>
        <v>det_677</v>
      </c>
      <c r="I305" s="5" t="str">
        <f t="shared" si="13"/>
        <v>W:\Performance Measurement\1. Freeway\1. raw data\2017\data files\det_677.txt</v>
      </c>
      <c r="J305" s="5" t="str">
        <f t="shared" si="14"/>
        <v>W:\Performance Measurement\1. Freeway\1. raw data\2017\data files\det_677.xlsx</v>
      </c>
      <c r="K305" s="5"/>
      <c r="M305" s="117" t="s">
        <v>78</v>
      </c>
      <c r="N305" s="112">
        <v>677</v>
      </c>
      <c r="O305" s="112">
        <v>4</v>
      </c>
      <c r="P305" s="112">
        <v>1</v>
      </c>
    </row>
    <row r="306" spans="4:16" x14ac:dyDescent="0.25">
      <c r="D306" s="109">
        <v>302</v>
      </c>
      <c r="E306" s="10">
        <v>678</v>
      </c>
      <c r="F306" s="10">
        <v>3</v>
      </c>
      <c r="G306" s="10">
        <v>1</v>
      </c>
      <c r="H306" s="5" t="str">
        <f t="shared" si="12"/>
        <v>det_678</v>
      </c>
      <c r="I306" s="5" t="str">
        <f t="shared" si="13"/>
        <v>W:\Performance Measurement\1. Freeway\1. raw data\2017\data files\det_678.txt</v>
      </c>
      <c r="J306" s="5" t="str">
        <f t="shared" si="14"/>
        <v>W:\Performance Measurement\1. Freeway\1. raw data\2017\data files\det_678.xlsx</v>
      </c>
      <c r="M306" s="117" t="s">
        <v>78</v>
      </c>
      <c r="N306" s="10">
        <v>678</v>
      </c>
      <c r="O306" s="10">
        <v>3</v>
      </c>
      <c r="P306" s="10">
        <v>1</v>
      </c>
    </row>
    <row r="307" spans="4:16" x14ac:dyDescent="0.25">
      <c r="D307" s="109">
        <v>303</v>
      </c>
      <c r="E307" s="10">
        <v>679</v>
      </c>
      <c r="F307" s="10">
        <v>3</v>
      </c>
      <c r="G307" s="10">
        <v>1</v>
      </c>
      <c r="H307" s="5" t="str">
        <f t="shared" si="12"/>
        <v>det_679</v>
      </c>
      <c r="I307" s="5" t="str">
        <f t="shared" si="13"/>
        <v>W:\Performance Measurement\1. Freeway\1. raw data\2017\data files\det_679.txt</v>
      </c>
      <c r="J307" s="5" t="str">
        <f t="shared" si="14"/>
        <v>W:\Performance Measurement\1. Freeway\1. raw data\2017\data files\det_679.xlsx</v>
      </c>
      <c r="M307" s="117" t="s">
        <v>78</v>
      </c>
      <c r="N307" s="10">
        <v>679</v>
      </c>
      <c r="O307" s="10">
        <v>3</v>
      </c>
      <c r="P307" s="10">
        <v>1</v>
      </c>
    </row>
    <row r="308" spans="4:16" x14ac:dyDescent="0.25">
      <c r="D308" s="109">
        <v>304</v>
      </c>
      <c r="E308" s="112">
        <v>680</v>
      </c>
      <c r="F308" s="112">
        <v>3</v>
      </c>
      <c r="G308" s="112">
        <v>0</v>
      </c>
      <c r="H308" s="5" t="str">
        <f t="shared" si="12"/>
        <v>det_680</v>
      </c>
      <c r="I308" s="5" t="str">
        <f t="shared" si="13"/>
        <v>W:\Performance Measurement\1. Freeway\1. raw data\2017\data files\det_680.txt</v>
      </c>
      <c r="J308" s="5" t="str">
        <f t="shared" si="14"/>
        <v>W:\Performance Measurement\1. Freeway\1. raw data\2017\data files\det_680.xlsx</v>
      </c>
      <c r="M308" s="117" t="s">
        <v>78</v>
      </c>
      <c r="N308" s="112">
        <v>680</v>
      </c>
      <c r="O308" s="112">
        <v>3</v>
      </c>
      <c r="P308" s="112">
        <v>0</v>
      </c>
    </row>
    <row r="309" spans="4:16" x14ac:dyDescent="0.25">
      <c r="D309" s="109">
        <v>305</v>
      </c>
      <c r="E309" s="10">
        <v>643</v>
      </c>
      <c r="F309" s="10">
        <v>2</v>
      </c>
      <c r="G309" s="10">
        <v>1</v>
      </c>
      <c r="H309" s="5" t="str">
        <f t="shared" si="12"/>
        <v>det_643</v>
      </c>
      <c r="I309" s="5" t="str">
        <f t="shared" si="13"/>
        <v>W:\Performance Measurement\1. Freeway\1. raw data\2017\data files\det_643.txt</v>
      </c>
      <c r="J309" s="5" t="str">
        <f t="shared" si="14"/>
        <v>W:\Performance Measurement\1. Freeway\1. raw data\2017\data files\det_643.xlsx</v>
      </c>
      <c r="M309" s="117" t="s">
        <v>282</v>
      </c>
      <c r="N309" s="10">
        <v>643</v>
      </c>
      <c r="O309" s="10">
        <v>2</v>
      </c>
      <c r="P309" s="10">
        <v>1</v>
      </c>
    </row>
    <row r="310" spans="4:16" x14ac:dyDescent="0.25">
      <c r="D310" s="109">
        <v>306</v>
      </c>
      <c r="E310" s="10">
        <v>644</v>
      </c>
      <c r="F310" s="10">
        <v>2</v>
      </c>
      <c r="G310" s="10">
        <v>1</v>
      </c>
      <c r="H310" s="5" t="str">
        <f t="shared" si="12"/>
        <v>det_644</v>
      </c>
      <c r="I310" s="5" t="str">
        <f t="shared" si="13"/>
        <v>W:\Performance Measurement\1. Freeway\1. raw data\2017\data files\det_644.txt</v>
      </c>
      <c r="J310" s="5" t="str">
        <f t="shared" si="14"/>
        <v>W:\Performance Measurement\1. Freeway\1. raw data\2017\data files\det_644.xlsx</v>
      </c>
      <c r="M310" s="117" t="s">
        <v>282</v>
      </c>
      <c r="N310" s="10">
        <v>644</v>
      </c>
      <c r="O310" s="10">
        <v>2</v>
      </c>
      <c r="P310" s="10">
        <v>1</v>
      </c>
    </row>
    <row r="311" spans="4:16" x14ac:dyDescent="0.25">
      <c r="D311" s="109">
        <v>307</v>
      </c>
      <c r="E311" s="10">
        <v>645</v>
      </c>
      <c r="F311" s="10">
        <v>2</v>
      </c>
      <c r="G311" s="10">
        <v>1</v>
      </c>
      <c r="H311" s="5" t="str">
        <f t="shared" si="12"/>
        <v>det_645</v>
      </c>
      <c r="I311" s="5" t="str">
        <f t="shared" si="13"/>
        <v>W:\Performance Measurement\1. Freeway\1. raw data\2017\data files\det_645.txt</v>
      </c>
      <c r="J311" s="5" t="str">
        <f t="shared" si="14"/>
        <v>W:\Performance Measurement\1. Freeway\1. raw data\2017\data files\det_645.xlsx</v>
      </c>
      <c r="M311" s="117" t="s">
        <v>282</v>
      </c>
      <c r="N311" s="10">
        <v>645</v>
      </c>
      <c r="O311" s="10">
        <v>2</v>
      </c>
      <c r="P311" s="10">
        <v>1</v>
      </c>
    </row>
    <row r="312" spans="4:16" x14ac:dyDescent="0.25">
      <c r="D312" s="109">
        <v>308</v>
      </c>
      <c r="E312" s="10">
        <v>646</v>
      </c>
      <c r="F312" s="10">
        <v>2</v>
      </c>
      <c r="G312" s="10">
        <v>1</v>
      </c>
      <c r="H312" s="5" t="str">
        <f t="shared" si="12"/>
        <v>det_646</v>
      </c>
      <c r="I312" s="5" t="str">
        <f t="shared" si="13"/>
        <v>W:\Performance Measurement\1. Freeway\1. raw data\2017\data files\det_646.txt</v>
      </c>
      <c r="J312" s="5" t="str">
        <f t="shared" si="14"/>
        <v>W:\Performance Measurement\1. Freeway\1. raw data\2017\data files\det_646.xlsx</v>
      </c>
      <c r="M312" s="117" t="s">
        <v>282</v>
      </c>
      <c r="N312" s="10">
        <v>646</v>
      </c>
      <c r="O312" s="10">
        <v>2</v>
      </c>
      <c r="P312" s="10">
        <v>1</v>
      </c>
    </row>
    <row r="313" spans="4:16" x14ac:dyDescent="0.25">
      <c r="D313" s="109">
        <v>309</v>
      </c>
      <c r="E313" s="10">
        <v>647</v>
      </c>
      <c r="F313" s="10">
        <v>2</v>
      </c>
      <c r="G313" s="10">
        <v>1</v>
      </c>
      <c r="H313" s="5" t="str">
        <f t="shared" si="12"/>
        <v>det_647</v>
      </c>
      <c r="I313" s="5" t="str">
        <f t="shared" si="13"/>
        <v>W:\Performance Measurement\1. Freeway\1. raw data\2017\data files\det_647.txt</v>
      </c>
      <c r="J313" s="5" t="str">
        <f t="shared" si="14"/>
        <v>W:\Performance Measurement\1. Freeway\1. raw data\2017\data files\det_647.xlsx</v>
      </c>
      <c r="M313" s="117" t="s">
        <v>282</v>
      </c>
      <c r="N313" s="10">
        <v>647</v>
      </c>
      <c r="O313" s="10">
        <v>2</v>
      </c>
      <c r="P313" s="10">
        <v>1</v>
      </c>
    </row>
    <row r="314" spans="4:16" x14ac:dyDescent="0.25">
      <c r="D314" s="109">
        <v>310</v>
      </c>
      <c r="E314" s="10">
        <v>648</v>
      </c>
      <c r="F314" s="10">
        <v>2</v>
      </c>
      <c r="G314" s="10">
        <v>1</v>
      </c>
      <c r="H314" s="5" t="str">
        <f t="shared" si="12"/>
        <v>det_648</v>
      </c>
      <c r="I314" s="5" t="str">
        <f t="shared" si="13"/>
        <v>W:\Performance Measurement\1. Freeway\1. raw data\2017\data files\det_648.txt</v>
      </c>
      <c r="J314" s="5" t="str">
        <f t="shared" si="14"/>
        <v>W:\Performance Measurement\1. Freeway\1. raw data\2017\data files\det_648.xlsx</v>
      </c>
      <c r="M314" s="117" t="s">
        <v>282</v>
      </c>
      <c r="N314" s="10">
        <v>648</v>
      </c>
      <c r="O314" s="10">
        <v>2</v>
      </c>
      <c r="P314" s="10">
        <v>1</v>
      </c>
    </row>
    <row r="315" spans="4:16" x14ac:dyDescent="0.25">
      <c r="D315" s="109">
        <v>311</v>
      </c>
      <c r="E315" s="10">
        <v>649</v>
      </c>
      <c r="F315" s="10">
        <v>2</v>
      </c>
      <c r="G315" s="10">
        <v>1</v>
      </c>
      <c r="H315" s="5" t="str">
        <f t="shared" si="12"/>
        <v>det_649</v>
      </c>
      <c r="I315" s="5" t="str">
        <f t="shared" si="13"/>
        <v>W:\Performance Measurement\1. Freeway\1. raw data\2017\data files\det_649.txt</v>
      </c>
      <c r="J315" s="5" t="str">
        <f t="shared" si="14"/>
        <v>W:\Performance Measurement\1. Freeway\1. raw data\2017\data files\det_649.xlsx</v>
      </c>
      <c r="M315" s="117" t="s">
        <v>282</v>
      </c>
      <c r="N315" s="10">
        <v>649</v>
      </c>
      <c r="O315" s="10">
        <v>2</v>
      </c>
      <c r="P315" s="10">
        <v>1</v>
      </c>
    </row>
    <row r="316" spans="4:16" x14ac:dyDescent="0.25">
      <c r="D316" s="109">
        <v>312</v>
      </c>
      <c r="E316" s="10">
        <v>659</v>
      </c>
      <c r="F316" s="10">
        <v>2</v>
      </c>
      <c r="G316" s="10">
        <v>1</v>
      </c>
      <c r="H316" s="5" t="str">
        <f t="shared" si="12"/>
        <v>det_659</v>
      </c>
      <c r="I316" s="5" t="str">
        <f t="shared" si="13"/>
        <v>W:\Performance Measurement\1. Freeway\1. raw data\2017\data files\det_659.txt</v>
      </c>
      <c r="J316" s="5" t="str">
        <f t="shared" si="14"/>
        <v>W:\Performance Measurement\1. Freeway\1. raw data\2017\data files\det_659.xlsx</v>
      </c>
      <c r="M316" s="117" t="s">
        <v>282</v>
      </c>
      <c r="N316" s="10">
        <v>659</v>
      </c>
      <c r="O316" s="10">
        <v>2</v>
      </c>
      <c r="P316" s="10">
        <v>1</v>
      </c>
    </row>
    <row r="317" spans="4:16" x14ac:dyDescent="0.25">
      <c r="D317" s="109">
        <v>313</v>
      </c>
      <c r="E317" s="10">
        <v>660</v>
      </c>
      <c r="F317" s="10">
        <v>2</v>
      </c>
      <c r="G317" s="10">
        <v>1</v>
      </c>
      <c r="H317" s="5" t="str">
        <f t="shared" si="12"/>
        <v>det_660</v>
      </c>
      <c r="I317" s="5" t="str">
        <f t="shared" si="13"/>
        <v>W:\Performance Measurement\1. Freeway\1. raw data\2017\data files\det_660.txt</v>
      </c>
      <c r="J317" s="5" t="str">
        <f t="shared" si="14"/>
        <v>W:\Performance Measurement\1. Freeway\1. raw data\2017\data files\det_660.xlsx</v>
      </c>
      <c r="M317" s="117" t="s">
        <v>282</v>
      </c>
      <c r="N317" s="10">
        <v>660</v>
      </c>
      <c r="O317" s="10">
        <v>2</v>
      </c>
      <c r="P317" s="10">
        <v>1</v>
      </c>
    </row>
    <row r="318" spans="4:16" x14ac:dyDescent="0.25">
      <c r="D318" s="109">
        <v>314</v>
      </c>
      <c r="E318" s="10">
        <v>661</v>
      </c>
      <c r="F318" s="10">
        <v>2</v>
      </c>
      <c r="G318" s="10">
        <v>1</v>
      </c>
      <c r="H318" s="5" t="str">
        <f t="shared" si="12"/>
        <v>det_661</v>
      </c>
      <c r="I318" s="5" t="str">
        <f t="shared" si="13"/>
        <v>W:\Performance Measurement\1. Freeway\1. raw data\2017\data files\det_661.txt</v>
      </c>
      <c r="J318" s="5" t="str">
        <f t="shared" si="14"/>
        <v>W:\Performance Measurement\1. Freeway\1. raw data\2017\data files\det_661.xlsx</v>
      </c>
      <c r="M318" s="117" t="s">
        <v>282</v>
      </c>
      <c r="N318" s="10">
        <v>661</v>
      </c>
      <c r="O318" s="10">
        <v>2</v>
      </c>
      <c r="P318" s="10">
        <v>1</v>
      </c>
    </row>
    <row r="319" spans="4:16" x14ac:dyDescent="0.25">
      <c r="D319" s="109">
        <v>315</v>
      </c>
      <c r="E319" s="10">
        <v>662</v>
      </c>
      <c r="F319" s="10">
        <v>2</v>
      </c>
      <c r="G319" s="10">
        <v>1</v>
      </c>
      <c r="H319" s="5" t="str">
        <f t="shared" si="12"/>
        <v>det_662</v>
      </c>
      <c r="I319" s="5" t="str">
        <f t="shared" si="13"/>
        <v>W:\Performance Measurement\1. Freeway\1. raw data\2017\data files\det_662.txt</v>
      </c>
      <c r="J319" s="5" t="str">
        <f t="shared" si="14"/>
        <v>W:\Performance Measurement\1. Freeway\1. raw data\2017\data files\det_662.xlsx</v>
      </c>
      <c r="M319" s="117" t="s">
        <v>282</v>
      </c>
      <c r="N319" s="10">
        <v>662</v>
      </c>
      <c r="O319" s="10">
        <v>2</v>
      </c>
      <c r="P319" s="10">
        <v>1</v>
      </c>
    </row>
    <row r="320" spans="4:16" x14ac:dyDescent="0.25">
      <c r="D320" s="109">
        <v>316</v>
      </c>
      <c r="E320" s="10">
        <v>663</v>
      </c>
      <c r="F320" s="10">
        <v>2</v>
      </c>
      <c r="G320" s="10">
        <v>1</v>
      </c>
      <c r="H320" s="5" t="str">
        <f t="shared" si="12"/>
        <v>det_663</v>
      </c>
      <c r="I320" s="5" t="str">
        <f t="shared" si="13"/>
        <v>W:\Performance Measurement\1. Freeway\1. raw data\2017\data files\det_663.txt</v>
      </c>
      <c r="J320" s="5" t="str">
        <f t="shared" si="14"/>
        <v>W:\Performance Measurement\1. Freeway\1. raw data\2017\data files\det_663.xlsx</v>
      </c>
      <c r="M320" s="117" t="s">
        <v>282</v>
      </c>
      <c r="N320" s="10">
        <v>663</v>
      </c>
      <c r="O320" s="10">
        <v>2</v>
      </c>
      <c r="P320" s="10">
        <v>1</v>
      </c>
    </row>
    <row r="321" spans="4:16" x14ac:dyDescent="0.25">
      <c r="D321" s="109">
        <v>317</v>
      </c>
      <c r="E321" s="10">
        <v>664</v>
      </c>
      <c r="F321" s="10">
        <v>2</v>
      </c>
      <c r="G321" s="10">
        <v>1</v>
      </c>
      <c r="H321" s="5" t="str">
        <f t="shared" si="12"/>
        <v>det_664</v>
      </c>
      <c r="I321" s="5" t="str">
        <f t="shared" si="13"/>
        <v>W:\Performance Measurement\1. Freeway\1. raw data\2017\data files\det_664.txt</v>
      </c>
      <c r="J321" s="5" t="str">
        <f t="shared" si="14"/>
        <v>W:\Performance Measurement\1. Freeway\1. raw data\2017\data files\det_664.xlsx</v>
      </c>
      <c r="M321" s="117" t="s">
        <v>282</v>
      </c>
      <c r="N321" s="10">
        <v>664</v>
      </c>
      <c r="O321" s="10">
        <v>2</v>
      </c>
      <c r="P321" s="10">
        <v>1</v>
      </c>
    </row>
    <row r="322" spans="4:16" x14ac:dyDescent="0.25">
      <c r="D322" s="109">
        <v>318</v>
      </c>
      <c r="E322" s="10">
        <v>665</v>
      </c>
      <c r="F322" s="10">
        <v>2</v>
      </c>
      <c r="G322" s="10">
        <v>1</v>
      </c>
      <c r="H322" s="5" t="str">
        <f t="shared" si="12"/>
        <v>det_665</v>
      </c>
      <c r="I322" s="5" t="str">
        <f t="shared" si="13"/>
        <v>W:\Performance Measurement\1. Freeway\1. raw data\2017\data files\det_665.txt</v>
      </c>
      <c r="J322" s="5" t="str">
        <f t="shared" si="14"/>
        <v>W:\Performance Measurement\1. Freeway\1. raw data\2017\data files\det_665.xlsx</v>
      </c>
      <c r="M322" s="117" t="s">
        <v>282</v>
      </c>
      <c r="N322" s="10">
        <v>665</v>
      </c>
      <c r="O322" s="10">
        <v>2</v>
      </c>
      <c r="P322" s="10">
        <v>1</v>
      </c>
    </row>
    <row r="323" spans="4:16" x14ac:dyDescent="0.25">
      <c r="D323" s="109">
        <v>319</v>
      </c>
      <c r="E323" s="10">
        <v>635</v>
      </c>
      <c r="F323" s="10">
        <v>2</v>
      </c>
      <c r="G323" s="10">
        <v>0</v>
      </c>
      <c r="H323" s="5" t="str">
        <f t="shared" si="12"/>
        <v>det_635</v>
      </c>
      <c r="I323" s="5" t="str">
        <f t="shared" si="13"/>
        <v>W:\Performance Measurement\1. Freeway\1. raw data\2017\data files\det_635.txt</v>
      </c>
      <c r="J323" s="5" t="str">
        <f t="shared" si="14"/>
        <v>W:\Performance Measurement\1. Freeway\1. raw data\2017\data files\det_635.xlsx</v>
      </c>
      <c r="M323" s="117" t="s">
        <v>283</v>
      </c>
      <c r="N323" s="10">
        <v>635</v>
      </c>
      <c r="O323" s="10">
        <v>2</v>
      </c>
      <c r="P323" s="10">
        <v>0</v>
      </c>
    </row>
    <row r="324" spans="4:16" x14ac:dyDescent="0.25">
      <c r="D324" s="109">
        <v>320</v>
      </c>
      <c r="E324" s="10">
        <v>636</v>
      </c>
      <c r="F324" s="10">
        <v>2</v>
      </c>
      <c r="G324" s="10">
        <v>1</v>
      </c>
      <c r="H324" s="5" t="str">
        <f t="shared" si="12"/>
        <v>det_636</v>
      </c>
      <c r="I324" s="5" t="str">
        <f t="shared" si="13"/>
        <v>W:\Performance Measurement\1. Freeway\1. raw data\2017\data files\det_636.txt</v>
      </c>
      <c r="J324" s="5" t="str">
        <f t="shared" si="14"/>
        <v>W:\Performance Measurement\1. Freeway\1. raw data\2017\data files\det_636.xlsx</v>
      </c>
      <c r="M324" s="117" t="s">
        <v>283</v>
      </c>
      <c r="N324" s="10">
        <v>636</v>
      </c>
      <c r="O324" s="10">
        <v>2</v>
      </c>
      <c r="P324" s="10">
        <v>1</v>
      </c>
    </row>
    <row r="325" spans="4:16" x14ac:dyDescent="0.25">
      <c r="D325" s="109">
        <v>321</v>
      </c>
      <c r="E325" s="10">
        <v>637</v>
      </c>
      <c r="F325" s="10">
        <v>2</v>
      </c>
      <c r="G325" s="10">
        <v>1</v>
      </c>
      <c r="H325" s="5" t="str">
        <f t="shared" ref="H325:H363" si="15">"det_"&amp;E325&amp;""</f>
        <v>det_637</v>
      </c>
      <c r="I325" s="5" t="str">
        <f t="shared" si="13"/>
        <v>W:\Performance Measurement\1. Freeway\1. raw data\2017\data files\det_637.txt</v>
      </c>
      <c r="J325" s="5" t="str">
        <f t="shared" si="14"/>
        <v>W:\Performance Measurement\1. Freeway\1. raw data\2017\data files\det_637.xlsx</v>
      </c>
      <c r="M325" s="117" t="s">
        <v>283</v>
      </c>
      <c r="N325" s="10">
        <v>637</v>
      </c>
      <c r="O325" s="10">
        <v>2</v>
      </c>
      <c r="P325" s="10">
        <v>1</v>
      </c>
    </row>
    <row r="326" spans="4:16" x14ac:dyDescent="0.25">
      <c r="D326" s="109">
        <v>322</v>
      </c>
      <c r="E326" s="10">
        <v>638</v>
      </c>
      <c r="F326" s="10">
        <v>2</v>
      </c>
      <c r="G326" s="10">
        <v>1</v>
      </c>
      <c r="H326" s="5" t="str">
        <f t="shared" si="15"/>
        <v>det_638</v>
      </c>
      <c r="I326" s="5" t="str">
        <f t="shared" si="13"/>
        <v>W:\Performance Measurement\1. Freeway\1. raw data\2017\data files\det_638.txt</v>
      </c>
      <c r="J326" s="5" t="str">
        <f t="shared" si="14"/>
        <v>W:\Performance Measurement\1. Freeway\1. raw data\2017\data files\det_638.xlsx</v>
      </c>
      <c r="M326" s="117" t="s">
        <v>283</v>
      </c>
      <c r="N326" s="10">
        <v>638</v>
      </c>
      <c r="O326" s="10">
        <v>2</v>
      </c>
      <c r="P326" s="10">
        <v>1</v>
      </c>
    </row>
    <row r="327" spans="4:16" x14ac:dyDescent="0.25">
      <c r="D327" s="109">
        <v>323</v>
      </c>
      <c r="E327" s="10">
        <v>639</v>
      </c>
      <c r="F327" s="10">
        <v>2</v>
      </c>
      <c r="G327" s="10">
        <v>1</v>
      </c>
      <c r="H327" s="5" t="str">
        <f t="shared" si="15"/>
        <v>det_639</v>
      </c>
      <c r="I327" s="5" t="str">
        <f t="shared" si="13"/>
        <v>W:\Performance Measurement\1. Freeway\1. raw data\2017\data files\det_639.txt</v>
      </c>
      <c r="J327" s="5" t="str">
        <f t="shared" si="14"/>
        <v>W:\Performance Measurement\1. Freeway\1. raw data\2017\data files\det_639.xlsx</v>
      </c>
      <c r="M327" s="117" t="s">
        <v>283</v>
      </c>
      <c r="N327" s="10">
        <v>639</v>
      </c>
      <c r="O327" s="10">
        <v>2</v>
      </c>
      <c r="P327" s="10">
        <v>1</v>
      </c>
    </row>
    <row r="328" spans="4:16" x14ac:dyDescent="0.25">
      <c r="D328" s="109">
        <v>324</v>
      </c>
      <c r="E328" s="10">
        <v>640</v>
      </c>
      <c r="F328" s="10">
        <v>2</v>
      </c>
      <c r="G328" s="10">
        <v>1</v>
      </c>
      <c r="H328" s="5" t="str">
        <f t="shared" si="15"/>
        <v>det_640</v>
      </c>
      <c r="I328" s="5" t="str">
        <f t="shared" si="13"/>
        <v>W:\Performance Measurement\1. Freeway\1. raw data\2017\data files\det_640.txt</v>
      </c>
      <c r="J328" s="5" t="str">
        <f t="shared" si="14"/>
        <v>W:\Performance Measurement\1. Freeway\1. raw data\2017\data files\det_640.xlsx</v>
      </c>
      <c r="M328" s="117" t="s">
        <v>283</v>
      </c>
      <c r="N328" s="10">
        <v>640</v>
      </c>
      <c r="O328" s="10">
        <v>2</v>
      </c>
      <c r="P328" s="10">
        <v>1</v>
      </c>
    </row>
    <row r="329" spans="4:16" x14ac:dyDescent="0.25">
      <c r="D329" s="109">
        <v>325</v>
      </c>
      <c r="E329" s="10">
        <v>641</v>
      </c>
      <c r="F329" s="10">
        <v>2</v>
      </c>
      <c r="G329" s="10">
        <v>1</v>
      </c>
      <c r="H329" s="5" t="str">
        <f t="shared" si="15"/>
        <v>det_641</v>
      </c>
      <c r="I329" s="5" t="str">
        <f t="shared" si="13"/>
        <v>W:\Performance Measurement\1. Freeway\1. raw data\2017\data files\det_641.txt</v>
      </c>
      <c r="J329" s="5" t="str">
        <f t="shared" si="14"/>
        <v>W:\Performance Measurement\1. Freeway\1. raw data\2017\data files\det_641.xlsx</v>
      </c>
      <c r="M329" s="117" t="s">
        <v>283</v>
      </c>
      <c r="N329" s="10">
        <v>641</v>
      </c>
      <c r="O329" s="10">
        <v>2</v>
      </c>
      <c r="P329" s="10">
        <v>1</v>
      </c>
    </row>
    <row r="330" spans="4:16" x14ac:dyDescent="0.25">
      <c r="D330" s="109">
        <v>326</v>
      </c>
      <c r="E330" s="10">
        <v>642</v>
      </c>
      <c r="F330" s="10">
        <v>2</v>
      </c>
      <c r="G330" s="10">
        <v>1</v>
      </c>
      <c r="H330" s="5" t="str">
        <f t="shared" si="15"/>
        <v>det_642</v>
      </c>
      <c r="I330" s="5" t="str">
        <f t="shared" ref="I330:I363" si="16">$B$5&amp;"\"&amp;H330&amp;".txt"</f>
        <v>W:\Performance Measurement\1. Freeway\1. raw data\2017\data files\det_642.txt</v>
      </c>
      <c r="J330" s="5" t="str">
        <f t="shared" ref="J330:J363" si="17">$B$5&amp;"\"&amp;H330&amp;".xlsx"</f>
        <v>W:\Performance Measurement\1. Freeway\1. raw data\2017\data files\det_642.xlsx</v>
      </c>
      <c r="M330" s="117" t="s">
        <v>283</v>
      </c>
      <c r="N330" s="10">
        <v>642</v>
      </c>
      <c r="O330" s="10">
        <v>2</v>
      </c>
      <c r="P330" s="10">
        <v>1</v>
      </c>
    </row>
    <row r="331" spans="4:16" x14ac:dyDescent="0.25">
      <c r="D331" s="109">
        <v>327</v>
      </c>
      <c r="E331" s="10">
        <v>651</v>
      </c>
      <c r="F331" s="10">
        <v>3</v>
      </c>
      <c r="G331" s="10">
        <v>0</v>
      </c>
      <c r="H331" s="5" t="str">
        <f t="shared" si="15"/>
        <v>det_651</v>
      </c>
      <c r="I331" s="5" t="str">
        <f t="shared" si="16"/>
        <v>W:\Performance Measurement\1. Freeway\1. raw data\2017\data files\det_651.txt</v>
      </c>
      <c r="J331" s="5" t="str">
        <f t="shared" si="17"/>
        <v>W:\Performance Measurement\1. Freeway\1. raw data\2017\data files\det_651.xlsx</v>
      </c>
      <c r="M331" s="117" t="s">
        <v>283</v>
      </c>
      <c r="N331" s="10">
        <v>651</v>
      </c>
      <c r="O331" s="10">
        <v>3</v>
      </c>
      <c r="P331" s="10">
        <v>0</v>
      </c>
    </row>
    <row r="332" spans="4:16" x14ac:dyDescent="0.25">
      <c r="D332" s="109">
        <v>328</v>
      </c>
      <c r="E332" s="10">
        <v>652</v>
      </c>
      <c r="F332" s="10">
        <v>3</v>
      </c>
      <c r="G332" s="10">
        <v>1</v>
      </c>
      <c r="H332" s="5" t="str">
        <f t="shared" si="15"/>
        <v>det_652</v>
      </c>
      <c r="I332" s="5" t="str">
        <f t="shared" si="16"/>
        <v>W:\Performance Measurement\1. Freeway\1. raw data\2017\data files\det_652.txt</v>
      </c>
      <c r="J332" s="5" t="str">
        <f t="shared" si="17"/>
        <v>W:\Performance Measurement\1. Freeway\1. raw data\2017\data files\det_652.xlsx</v>
      </c>
      <c r="M332" s="117" t="s">
        <v>283</v>
      </c>
      <c r="N332" s="10">
        <v>652</v>
      </c>
      <c r="O332" s="10">
        <v>3</v>
      </c>
      <c r="P332" s="10">
        <v>1</v>
      </c>
    </row>
    <row r="333" spans="4:16" x14ac:dyDescent="0.25">
      <c r="D333" s="109">
        <v>329</v>
      </c>
      <c r="E333" s="10">
        <v>653</v>
      </c>
      <c r="F333" s="10">
        <v>3</v>
      </c>
      <c r="G333" s="10">
        <v>1</v>
      </c>
      <c r="H333" s="5" t="str">
        <f t="shared" si="15"/>
        <v>det_653</v>
      </c>
      <c r="I333" s="5" t="str">
        <f t="shared" si="16"/>
        <v>W:\Performance Measurement\1. Freeway\1. raw data\2017\data files\det_653.txt</v>
      </c>
      <c r="J333" s="5" t="str">
        <f t="shared" si="17"/>
        <v>W:\Performance Measurement\1. Freeway\1. raw data\2017\data files\det_653.xlsx</v>
      </c>
      <c r="M333" s="117" t="s">
        <v>283</v>
      </c>
      <c r="N333" s="10">
        <v>653</v>
      </c>
      <c r="O333" s="10">
        <v>3</v>
      </c>
      <c r="P333" s="10">
        <v>1</v>
      </c>
    </row>
    <row r="334" spans="4:16" x14ac:dyDescent="0.25">
      <c r="D334" s="109">
        <v>330</v>
      </c>
      <c r="E334" s="115">
        <v>654</v>
      </c>
      <c r="F334" s="115">
        <v>2</v>
      </c>
      <c r="G334" s="115">
        <v>1</v>
      </c>
      <c r="H334" s="5" t="str">
        <f t="shared" si="15"/>
        <v>det_654</v>
      </c>
      <c r="I334" s="5" t="str">
        <f t="shared" si="16"/>
        <v>W:\Performance Measurement\1. Freeway\1. raw data\2017\data files\det_654.txt</v>
      </c>
      <c r="J334" s="5" t="str">
        <f t="shared" si="17"/>
        <v>W:\Performance Measurement\1. Freeway\1. raw data\2017\data files\det_654.xlsx</v>
      </c>
      <c r="M334" s="117" t="s">
        <v>283</v>
      </c>
      <c r="N334" s="115">
        <v>654</v>
      </c>
      <c r="O334" s="115">
        <v>2</v>
      </c>
      <c r="P334" s="115">
        <v>1</v>
      </c>
    </row>
    <row r="335" spans="4:16" x14ac:dyDescent="0.25">
      <c r="D335" s="109">
        <v>331</v>
      </c>
      <c r="E335" s="10">
        <v>655</v>
      </c>
      <c r="F335" s="10">
        <v>3</v>
      </c>
      <c r="G335" s="10">
        <v>1</v>
      </c>
      <c r="H335" s="5" t="str">
        <f t="shared" si="15"/>
        <v>det_655</v>
      </c>
      <c r="I335" s="5" t="str">
        <f t="shared" si="16"/>
        <v>W:\Performance Measurement\1. Freeway\1. raw data\2017\data files\det_655.txt</v>
      </c>
      <c r="J335" s="5" t="str">
        <f t="shared" si="17"/>
        <v>W:\Performance Measurement\1. Freeway\1. raw data\2017\data files\det_655.xlsx</v>
      </c>
      <c r="M335" s="117" t="s">
        <v>283</v>
      </c>
      <c r="N335" s="10">
        <v>655</v>
      </c>
      <c r="O335" s="10">
        <v>3</v>
      </c>
      <c r="P335" s="10">
        <v>1</v>
      </c>
    </row>
    <row r="336" spans="4:16" x14ac:dyDescent="0.25">
      <c r="D336" s="109">
        <v>332</v>
      </c>
      <c r="E336" s="10">
        <v>656</v>
      </c>
      <c r="F336" s="10">
        <v>3</v>
      </c>
      <c r="G336" s="10">
        <v>1</v>
      </c>
      <c r="H336" s="5" t="str">
        <f t="shared" si="15"/>
        <v>det_656</v>
      </c>
      <c r="I336" s="5" t="str">
        <f t="shared" si="16"/>
        <v>W:\Performance Measurement\1. Freeway\1. raw data\2017\data files\det_656.txt</v>
      </c>
      <c r="J336" s="5" t="str">
        <f t="shared" si="17"/>
        <v>W:\Performance Measurement\1. Freeway\1. raw data\2017\data files\det_656.xlsx</v>
      </c>
      <c r="M336" s="117" t="s">
        <v>283</v>
      </c>
      <c r="N336" s="10">
        <v>656</v>
      </c>
      <c r="O336" s="10">
        <v>3</v>
      </c>
      <c r="P336" s="10">
        <v>1</v>
      </c>
    </row>
    <row r="337" spans="4:16" x14ac:dyDescent="0.25">
      <c r="D337" s="109">
        <v>333</v>
      </c>
      <c r="E337" s="10">
        <v>657</v>
      </c>
      <c r="F337" s="10">
        <v>3</v>
      </c>
      <c r="G337" s="10">
        <v>1</v>
      </c>
      <c r="H337" s="5" t="str">
        <f t="shared" si="15"/>
        <v>det_657</v>
      </c>
      <c r="I337" s="5" t="str">
        <f t="shared" si="16"/>
        <v>W:\Performance Measurement\1. Freeway\1. raw data\2017\data files\det_657.txt</v>
      </c>
      <c r="J337" s="5" t="str">
        <f t="shared" si="17"/>
        <v>W:\Performance Measurement\1. Freeway\1. raw data\2017\data files\det_657.xlsx</v>
      </c>
      <c r="M337" s="117" t="s">
        <v>283</v>
      </c>
      <c r="N337" s="10">
        <v>657</v>
      </c>
      <c r="O337" s="10">
        <v>3</v>
      </c>
      <c r="P337" s="10">
        <v>1</v>
      </c>
    </row>
    <row r="338" spans="4:16" x14ac:dyDescent="0.25">
      <c r="D338" s="109">
        <v>334</v>
      </c>
      <c r="E338" s="10">
        <v>658</v>
      </c>
      <c r="F338" s="10">
        <v>2</v>
      </c>
      <c r="G338" s="10">
        <v>1</v>
      </c>
      <c r="H338" s="5" t="str">
        <f t="shared" si="15"/>
        <v>det_658</v>
      </c>
      <c r="I338" s="5" t="str">
        <f t="shared" si="16"/>
        <v>W:\Performance Measurement\1. Freeway\1. raw data\2017\data files\det_658.txt</v>
      </c>
      <c r="J338" s="5" t="str">
        <f t="shared" si="17"/>
        <v>W:\Performance Measurement\1. Freeway\1. raw data\2017\data files\det_658.xlsx</v>
      </c>
      <c r="M338" s="117" t="s">
        <v>283</v>
      </c>
      <c r="N338" s="10">
        <v>658</v>
      </c>
      <c r="O338" s="10">
        <v>2</v>
      </c>
      <c r="P338" s="10">
        <v>1</v>
      </c>
    </row>
    <row r="339" spans="4:16" x14ac:dyDescent="0.25">
      <c r="D339" s="109">
        <v>335</v>
      </c>
      <c r="E339" s="10">
        <v>624</v>
      </c>
      <c r="F339" s="10">
        <v>3</v>
      </c>
      <c r="G339" s="10">
        <v>1</v>
      </c>
      <c r="H339" s="5" t="str">
        <f t="shared" si="15"/>
        <v>det_624</v>
      </c>
      <c r="I339" s="5" t="str">
        <f t="shared" si="16"/>
        <v>W:\Performance Measurement\1. Freeway\1. raw data\2017\data files\det_624.txt</v>
      </c>
      <c r="J339" s="5" t="str">
        <f t="shared" si="17"/>
        <v>W:\Performance Measurement\1. Freeway\1. raw data\2017\data files\det_624.xlsx</v>
      </c>
      <c r="M339" s="117" t="s">
        <v>284</v>
      </c>
      <c r="N339" s="10">
        <v>624</v>
      </c>
      <c r="O339" s="10">
        <v>3</v>
      </c>
      <c r="P339" s="10">
        <v>1</v>
      </c>
    </row>
    <row r="340" spans="4:16" x14ac:dyDescent="0.25">
      <c r="D340" s="109">
        <v>336</v>
      </c>
      <c r="E340" s="10">
        <v>626</v>
      </c>
      <c r="F340" s="10">
        <v>3</v>
      </c>
      <c r="G340" s="10">
        <v>1</v>
      </c>
      <c r="H340" s="5" t="str">
        <f t="shared" si="15"/>
        <v>det_626</v>
      </c>
      <c r="I340" s="5" t="str">
        <f t="shared" si="16"/>
        <v>W:\Performance Measurement\1. Freeway\1. raw data\2017\data files\det_626.txt</v>
      </c>
      <c r="J340" s="5" t="str">
        <f t="shared" si="17"/>
        <v>W:\Performance Measurement\1. Freeway\1. raw data\2017\data files\det_626.xlsx</v>
      </c>
      <c r="M340" s="117" t="s">
        <v>284</v>
      </c>
      <c r="N340" s="10">
        <v>626</v>
      </c>
      <c r="O340" s="10">
        <v>3</v>
      </c>
      <c r="P340" s="10">
        <v>1</v>
      </c>
    </row>
    <row r="341" spans="4:16" x14ac:dyDescent="0.25">
      <c r="D341" s="109">
        <v>337</v>
      </c>
      <c r="E341" s="10">
        <v>628</v>
      </c>
      <c r="F341" s="10">
        <v>3</v>
      </c>
      <c r="G341" s="10">
        <v>1</v>
      </c>
      <c r="H341" s="5" t="str">
        <f t="shared" si="15"/>
        <v>det_628</v>
      </c>
      <c r="I341" s="5" t="str">
        <f t="shared" si="16"/>
        <v>W:\Performance Measurement\1. Freeway\1. raw data\2017\data files\det_628.txt</v>
      </c>
      <c r="J341" s="5" t="str">
        <f t="shared" si="17"/>
        <v>W:\Performance Measurement\1. Freeway\1. raw data\2017\data files\det_628.xlsx</v>
      </c>
      <c r="M341" s="117" t="s">
        <v>284</v>
      </c>
      <c r="N341" s="10">
        <v>628</v>
      </c>
      <c r="O341" s="10">
        <v>3</v>
      </c>
      <c r="P341" s="10">
        <v>1</v>
      </c>
    </row>
    <row r="342" spans="4:16" x14ac:dyDescent="0.25">
      <c r="D342" s="109">
        <v>338</v>
      </c>
      <c r="E342" s="10">
        <v>630</v>
      </c>
      <c r="F342" s="10">
        <v>3</v>
      </c>
      <c r="G342" s="10">
        <v>1</v>
      </c>
      <c r="H342" s="5" t="str">
        <f t="shared" si="15"/>
        <v>det_630</v>
      </c>
      <c r="I342" s="5" t="str">
        <f t="shared" si="16"/>
        <v>W:\Performance Measurement\1. Freeway\1. raw data\2017\data files\det_630.txt</v>
      </c>
      <c r="J342" s="5" t="str">
        <f t="shared" si="17"/>
        <v>W:\Performance Measurement\1. Freeway\1. raw data\2017\data files\det_630.xlsx</v>
      </c>
      <c r="M342" s="117" t="s">
        <v>284</v>
      </c>
      <c r="N342" s="10">
        <v>630</v>
      </c>
      <c r="O342" s="10">
        <v>3</v>
      </c>
      <c r="P342" s="10">
        <v>1</v>
      </c>
    </row>
    <row r="343" spans="4:16" x14ac:dyDescent="0.25">
      <c r="D343" s="109">
        <v>339</v>
      </c>
      <c r="E343" s="10">
        <v>632</v>
      </c>
      <c r="F343" s="10">
        <v>3</v>
      </c>
      <c r="G343" s="10">
        <v>1</v>
      </c>
      <c r="H343" s="5" t="str">
        <f t="shared" si="15"/>
        <v>det_632</v>
      </c>
      <c r="I343" s="5" t="str">
        <f t="shared" si="16"/>
        <v>W:\Performance Measurement\1. Freeway\1. raw data\2017\data files\det_632.txt</v>
      </c>
      <c r="J343" s="5" t="str">
        <f t="shared" si="17"/>
        <v>W:\Performance Measurement\1. Freeway\1. raw data\2017\data files\det_632.xlsx</v>
      </c>
      <c r="M343" s="117" t="s">
        <v>284</v>
      </c>
      <c r="N343" s="10">
        <v>632</v>
      </c>
      <c r="O343" s="10">
        <v>3</v>
      </c>
      <c r="P343" s="10">
        <v>1</v>
      </c>
    </row>
    <row r="344" spans="4:16" x14ac:dyDescent="0.25">
      <c r="D344" s="109">
        <v>340</v>
      </c>
      <c r="E344" s="10">
        <v>634</v>
      </c>
      <c r="F344" s="10">
        <v>3</v>
      </c>
      <c r="G344" s="10">
        <v>1</v>
      </c>
      <c r="H344" s="5" t="str">
        <f t="shared" si="15"/>
        <v>det_634</v>
      </c>
      <c r="I344" s="5" t="str">
        <f t="shared" si="16"/>
        <v>W:\Performance Measurement\1. Freeway\1. raw data\2017\data files\det_634.txt</v>
      </c>
      <c r="J344" s="5" t="str">
        <f t="shared" si="17"/>
        <v>W:\Performance Measurement\1. Freeway\1. raw data\2017\data files\det_634.xlsx</v>
      </c>
      <c r="M344" s="117" t="s">
        <v>284</v>
      </c>
      <c r="N344" s="10">
        <v>634</v>
      </c>
      <c r="O344" s="10">
        <v>3</v>
      </c>
      <c r="P344" s="10">
        <v>1</v>
      </c>
    </row>
    <row r="345" spans="4:16" x14ac:dyDescent="0.25">
      <c r="D345" s="109">
        <v>341</v>
      </c>
      <c r="E345" s="10">
        <v>625</v>
      </c>
      <c r="F345" s="10">
        <v>3</v>
      </c>
      <c r="G345" s="10">
        <v>1</v>
      </c>
      <c r="H345" s="5" t="str">
        <f t="shared" si="15"/>
        <v>det_625</v>
      </c>
      <c r="I345" s="5" t="str">
        <f t="shared" si="16"/>
        <v>W:\Performance Measurement\1. Freeway\1. raw data\2017\data files\det_625.txt</v>
      </c>
      <c r="J345" s="5" t="str">
        <f t="shared" si="17"/>
        <v>W:\Performance Measurement\1. Freeway\1. raw data\2017\data files\det_625.xlsx</v>
      </c>
      <c r="M345" s="117" t="s">
        <v>284</v>
      </c>
      <c r="N345" s="10">
        <v>625</v>
      </c>
      <c r="O345" s="10">
        <v>3</v>
      </c>
      <c r="P345" s="10">
        <v>1</v>
      </c>
    </row>
    <row r="346" spans="4:16" x14ac:dyDescent="0.25">
      <c r="D346" s="109">
        <v>342</v>
      </c>
      <c r="E346" s="10">
        <v>627</v>
      </c>
      <c r="F346" s="10">
        <v>3</v>
      </c>
      <c r="G346" s="10">
        <v>1</v>
      </c>
      <c r="H346" s="5" t="str">
        <f t="shared" si="15"/>
        <v>det_627</v>
      </c>
      <c r="I346" s="5" t="str">
        <f t="shared" si="16"/>
        <v>W:\Performance Measurement\1. Freeway\1. raw data\2017\data files\det_627.txt</v>
      </c>
      <c r="J346" s="5" t="str">
        <f t="shared" si="17"/>
        <v>W:\Performance Measurement\1. Freeway\1. raw data\2017\data files\det_627.xlsx</v>
      </c>
      <c r="M346" s="117" t="s">
        <v>284</v>
      </c>
      <c r="N346" s="10">
        <v>627</v>
      </c>
      <c r="O346" s="10">
        <v>3</v>
      </c>
      <c r="P346" s="10">
        <v>1</v>
      </c>
    </row>
    <row r="347" spans="4:16" x14ac:dyDescent="0.25">
      <c r="D347" s="109">
        <v>343</v>
      </c>
      <c r="E347" s="10">
        <v>629</v>
      </c>
      <c r="F347" s="10">
        <v>3</v>
      </c>
      <c r="G347" s="10">
        <v>1</v>
      </c>
      <c r="H347" s="5" t="str">
        <f t="shared" si="15"/>
        <v>det_629</v>
      </c>
      <c r="I347" s="5" t="str">
        <f t="shared" si="16"/>
        <v>W:\Performance Measurement\1. Freeway\1. raw data\2017\data files\det_629.txt</v>
      </c>
      <c r="J347" s="5" t="str">
        <f t="shared" si="17"/>
        <v>W:\Performance Measurement\1. Freeway\1. raw data\2017\data files\det_629.xlsx</v>
      </c>
      <c r="M347" s="117" t="s">
        <v>284</v>
      </c>
      <c r="N347" s="10">
        <v>629</v>
      </c>
      <c r="O347" s="10">
        <v>3</v>
      </c>
      <c r="P347" s="10">
        <v>1</v>
      </c>
    </row>
    <row r="348" spans="4:16" x14ac:dyDescent="0.25">
      <c r="D348" s="109">
        <v>344</v>
      </c>
      <c r="E348" s="10">
        <v>631</v>
      </c>
      <c r="F348" s="10">
        <v>3</v>
      </c>
      <c r="G348" s="10">
        <v>1</v>
      </c>
      <c r="H348" s="5" t="str">
        <f t="shared" si="15"/>
        <v>det_631</v>
      </c>
      <c r="I348" s="5" t="str">
        <f t="shared" si="16"/>
        <v>W:\Performance Measurement\1. Freeway\1. raw data\2017\data files\det_631.txt</v>
      </c>
      <c r="J348" s="5" t="str">
        <f t="shared" si="17"/>
        <v>W:\Performance Measurement\1. Freeway\1. raw data\2017\data files\det_631.xlsx</v>
      </c>
      <c r="M348" s="117" t="s">
        <v>284</v>
      </c>
      <c r="N348" s="10">
        <v>631</v>
      </c>
      <c r="O348" s="10">
        <v>3</v>
      </c>
      <c r="P348" s="10">
        <v>1</v>
      </c>
    </row>
    <row r="349" spans="4:16" x14ac:dyDescent="0.25">
      <c r="D349" s="109">
        <v>345</v>
      </c>
      <c r="E349" s="10">
        <v>633</v>
      </c>
      <c r="F349" s="10">
        <v>4</v>
      </c>
      <c r="G349" s="10">
        <v>1</v>
      </c>
      <c r="H349" s="5" t="str">
        <f t="shared" si="15"/>
        <v>det_633</v>
      </c>
      <c r="I349" s="5" t="str">
        <f t="shared" si="16"/>
        <v>W:\Performance Measurement\1. Freeway\1. raw data\2017\data files\det_633.txt</v>
      </c>
      <c r="J349" s="5" t="str">
        <f t="shared" si="17"/>
        <v>W:\Performance Measurement\1. Freeway\1. raw data\2017\data files\det_633.xlsx</v>
      </c>
      <c r="M349" s="117" t="s">
        <v>284</v>
      </c>
      <c r="N349" s="10">
        <v>633</v>
      </c>
      <c r="O349" s="10">
        <v>4</v>
      </c>
      <c r="P349" s="10">
        <v>1</v>
      </c>
    </row>
    <row r="350" spans="4:16" x14ac:dyDescent="0.25">
      <c r="D350" s="109">
        <v>346</v>
      </c>
      <c r="E350" s="10">
        <v>607</v>
      </c>
      <c r="F350" s="10">
        <v>4</v>
      </c>
      <c r="G350" s="10">
        <v>0</v>
      </c>
      <c r="H350" s="5" t="str">
        <f t="shared" si="15"/>
        <v>det_607</v>
      </c>
      <c r="I350" s="5" t="str">
        <f t="shared" si="16"/>
        <v>W:\Performance Measurement\1. Freeway\1. raw data\2017\data files\det_607.txt</v>
      </c>
      <c r="J350" s="5" t="str">
        <f t="shared" si="17"/>
        <v>W:\Performance Measurement\1. Freeway\1. raw data\2017\data files\det_607.xlsx</v>
      </c>
      <c r="M350" s="117" t="s">
        <v>79</v>
      </c>
      <c r="N350" s="10">
        <v>607</v>
      </c>
      <c r="O350" s="10">
        <v>4</v>
      </c>
      <c r="P350" s="10">
        <v>0</v>
      </c>
    </row>
    <row r="351" spans="4:16" x14ac:dyDescent="0.25">
      <c r="D351" s="109">
        <v>347</v>
      </c>
      <c r="E351" s="10">
        <v>608</v>
      </c>
      <c r="F351" s="10">
        <v>4</v>
      </c>
      <c r="G351" s="10">
        <v>0</v>
      </c>
      <c r="H351" s="5" t="str">
        <f t="shared" si="15"/>
        <v>det_608</v>
      </c>
      <c r="I351" s="5" t="str">
        <f t="shared" si="16"/>
        <v>W:\Performance Measurement\1. Freeway\1. raw data\2017\data files\det_608.txt</v>
      </c>
      <c r="J351" s="5" t="str">
        <f t="shared" si="17"/>
        <v>W:\Performance Measurement\1. Freeway\1. raw data\2017\data files\det_608.xlsx</v>
      </c>
      <c r="M351" s="117" t="s">
        <v>79</v>
      </c>
      <c r="N351" s="10">
        <v>608</v>
      </c>
      <c r="O351" s="10">
        <v>4</v>
      </c>
      <c r="P351" s="10">
        <v>0</v>
      </c>
    </row>
    <row r="352" spans="4:16" x14ac:dyDescent="0.25">
      <c r="D352" s="109">
        <v>348</v>
      </c>
      <c r="E352" s="115">
        <v>609</v>
      </c>
      <c r="F352" s="115">
        <v>2</v>
      </c>
      <c r="G352" s="115">
        <v>0</v>
      </c>
      <c r="H352" s="5" t="str">
        <f t="shared" si="15"/>
        <v>det_609</v>
      </c>
      <c r="I352" s="5" t="str">
        <f t="shared" si="16"/>
        <v>W:\Performance Measurement\1. Freeway\1. raw data\2017\data files\det_609.txt</v>
      </c>
      <c r="J352" s="5" t="str">
        <f t="shared" si="17"/>
        <v>W:\Performance Measurement\1. Freeway\1. raw data\2017\data files\det_609.xlsx</v>
      </c>
      <c r="M352" s="117" t="s">
        <v>79</v>
      </c>
      <c r="N352" s="115">
        <v>609</v>
      </c>
      <c r="O352" s="115">
        <v>2</v>
      </c>
      <c r="P352" s="115">
        <v>0</v>
      </c>
    </row>
    <row r="353" spans="4:16" x14ac:dyDescent="0.25">
      <c r="D353" s="109">
        <v>349</v>
      </c>
      <c r="E353" s="10">
        <v>610</v>
      </c>
      <c r="F353" s="10">
        <v>4</v>
      </c>
      <c r="G353" s="10">
        <v>0</v>
      </c>
      <c r="H353" s="5" t="str">
        <f t="shared" si="15"/>
        <v>det_610</v>
      </c>
      <c r="I353" s="5" t="str">
        <f t="shared" si="16"/>
        <v>W:\Performance Measurement\1. Freeway\1. raw data\2017\data files\det_610.txt</v>
      </c>
      <c r="J353" s="5" t="str">
        <f t="shared" si="17"/>
        <v>W:\Performance Measurement\1. Freeway\1. raw data\2017\data files\det_610.xlsx</v>
      </c>
      <c r="M353" s="117" t="s">
        <v>79</v>
      </c>
      <c r="N353" s="10">
        <v>610</v>
      </c>
      <c r="O353" s="10">
        <v>4</v>
      </c>
      <c r="P353" s="10">
        <v>0</v>
      </c>
    </row>
    <row r="354" spans="4:16" x14ac:dyDescent="0.25">
      <c r="D354" s="109">
        <v>350</v>
      </c>
      <c r="E354" s="10">
        <v>611</v>
      </c>
      <c r="F354" s="10">
        <v>4</v>
      </c>
      <c r="G354" s="10">
        <v>0</v>
      </c>
      <c r="H354" s="5" t="str">
        <f t="shared" si="15"/>
        <v>det_611</v>
      </c>
      <c r="I354" s="5" t="str">
        <f t="shared" si="16"/>
        <v>W:\Performance Measurement\1. Freeway\1. raw data\2017\data files\det_611.txt</v>
      </c>
      <c r="J354" s="5" t="str">
        <f t="shared" si="17"/>
        <v>W:\Performance Measurement\1. Freeway\1. raw data\2017\data files\det_611.xlsx</v>
      </c>
      <c r="M354" s="117" t="s">
        <v>79</v>
      </c>
      <c r="N354" s="10">
        <v>611</v>
      </c>
      <c r="O354" s="10">
        <v>4</v>
      </c>
      <c r="P354" s="10">
        <v>0</v>
      </c>
    </row>
    <row r="355" spans="4:16" x14ac:dyDescent="0.25">
      <c r="D355" s="109">
        <v>351</v>
      </c>
      <c r="E355" s="10">
        <v>612</v>
      </c>
      <c r="F355" s="10">
        <v>4</v>
      </c>
      <c r="G355" s="10">
        <v>0</v>
      </c>
      <c r="H355" s="5" t="str">
        <f t="shared" si="15"/>
        <v>det_612</v>
      </c>
      <c r="I355" s="5" t="str">
        <f t="shared" si="16"/>
        <v>W:\Performance Measurement\1. Freeway\1. raw data\2017\data files\det_612.txt</v>
      </c>
      <c r="J355" s="5" t="str">
        <f t="shared" si="17"/>
        <v>W:\Performance Measurement\1. Freeway\1. raw data\2017\data files\det_612.xlsx</v>
      </c>
      <c r="M355" s="117" t="s">
        <v>79</v>
      </c>
      <c r="N355" s="10">
        <v>612</v>
      </c>
      <c r="O355" s="10">
        <v>4</v>
      </c>
      <c r="P355" s="10">
        <v>0</v>
      </c>
    </row>
    <row r="356" spans="4:16" x14ac:dyDescent="0.25">
      <c r="D356" s="109">
        <v>352</v>
      </c>
      <c r="E356" s="10">
        <v>613</v>
      </c>
      <c r="F356" s="10">
        <v>4</v>
      </c>
      <c r="G356" s="10">
        <v>0</v>
      </c>
      <c r="H356" s="5" t="str">
        <f t="shared" si="15"/>
        <v>det_613</v>
      </c>
      <c r="I356" s="5" t="str">
        <f t="shared" si="16"/>
        <v>W:\Performance Measurement\1. Freeway\1. raw data\2017\data files\det_613.txt</v>
      </c>
      <c r="J356" s="5" t="str">
        <f t="shared" si="17"/>
        <v>W:\Performance Measurement\1. Freeway\1. raw data\2017\data files\det_613.xlsx</v>
      </c>
      <c r="M356" s="117" t="s">
        <v>79</v>
      </c>
      <c r="N356" s="10">
        <v>613</v>
      </c>
      <c r="O356" s="10">
        <v>4</v>
      </c>
      <c r="P356" s="10">
        <v>0</v>
      </c>
    </row>
    <row r="357" spans="4:16" x14ac:dyDescent="0.25">
      <c r="D357" s="109">
        <v>353</v>
      </c>
      <c r="E357" s="10">
        <v>614</v>
      </c>
      <c r="F357" s="10">
        <v>4</v>
      </c>
      <c r="G357" s="10">
        <v>0</v>
      </c>
      <c r="H357" s="5" t="str">
        <f t="shared" si="15"/>
        <v>det_614</v>
      </c>
      <c r="I357" s="5" t="str">
        <f t="shared" si="16"/>
        <v>W:\Performance Measurement\1. Freeway\1. raw data\2017\data files\det_614.txt</v>
      </c>
      <c r="J357" s="5" t="str">
        <f t="shared" si="17"/>
        <v>W:\Performance Measurement\1. Freeway\1. raw data\2017\data files\det_614.xlsx</v>
      </c>
      <c r="M357" s="117" t="s">
        <v>79</v>
      </c>
      <c r="N357" s="10">
        <v>614</v>
      </c>
      <c r="O357" s="10">
        <v>4</v>
      </c>
      <c r="P357" s="10">
        <v>0</v>
      </c>
    </row>
    <row r="358" spans="4:16" x14ac:dyDescent="0.25">
      <c r="D358" s="109">
        <v>354</v>
      </c>
      <c r="E358" s="10">
        <v>615</v>
      </c>
      <c r="F358" s="10">
        <v>4</v>
      </c>
      <c r="G358" s="10">
        <v>0</v>
      </c>
      <c r="H358" s="5" t="str">
        <f t="shared" si="15"/>
        <v>det_615</v>
      </c>
      <c r="I358" s="5" t="str">
        <f t="shared" si="16"/>
        <v>W:\Performance Measurement\1. Freeway\1. raw data\2017\data files\det_615.txt</v>
      </c>
      <c r="J358" s="5" t="str">
        <f t="shared" si="17"/>
        <v>W:\Performance Measurement\1. Freeway\1. raw data\2017\data files\det_615.xlsx</v>
      </c>
      <c r="M358" s="117" t="s">
        <v>79</v>
      </c>
      <c r="N358" s="10">
        <v>615</v>
      </c>
      <c r="O358" s="10">
        <v>4</v>
      </c>
      <c r="P358" s="10">
        <v>0</v>
      </c>
    </row>
    <row r="359" spans="4:16" x14ac:dyDescent="0.25">
      <c r="D359" s="109">
        <v>355</v>
      </c>
      <c r="E359" s="10">
        <v>616</v>
      </c>
      <c r="F359" s="10">
        <v>4</v>
      </c>
      <c r="G359" s="10">
        <v>0</v>
      </c>
      <c r="H359" s="5" t="str">
        <f t="shared" si="15"/>
        <v>det_616</v>
      </c>
      <c r="I359" s="5" t="str">
        <f t="shared" si="16"/>
        <v>W:\Performance Measurement\1. Freeway\1. raw data\2017\data files\det_616.txt</v>
      </c>
      <c r="J359" s="5" t="str">
        <f t="shared" si="17"/>
        <v>W:\Performance Measurement\1. Freeway\1. raw data\2017\data files\det_616.xlsx</v>
      </c>
      <c r="M359" s="117" t="s">
        <v>79</v>
      </c>
      <c r="N359" s="10">
        <v>616</v>
      </c>
      <c r="O359" s="10">
        <v>4</v>
      </c>
      <c r="P359" s="10">
        <v>0</v>
      </c>
    </row>
    <row r="360" spans="4:16" x14ac:dyDescent="0.25">
      <c r="D360" s="109">
        <v>356</v>
      </c>
      <c r="E360" s="10">
        <v>617</v>
      </c>
      <c r="F360" s="10">
        <v>4</v>
      </c>
      <c r="G360" s="10">
        <v>0</v>
      </c>
      <c r="H360" s="5" t="str">
        <f t="shared" si="15"/>
        <v>det_617</v>
      </c>
      <c r="I360" s="5" t="str">
        <f t="shared" si="16"/>
        <v>W:\Performance Measurement\1. Freeway\1. raw data\2017\data files\det_617.txt</v>
      </c>
      <c r="J360" s="5" t="str">
        <f t="shared" si="17"/>
        <v>W:\Performance Measurement\1. Freeway\1. raw data\2017\data files\det_617.xlsx</v>
      </c>
      <c r="M360" s="117" t="s">
        <v>79</v>
      </c>
      <c r="N360" s="10">
        <v>617</v>
      </c>
      <c r="O360" s="10">
        <v>4</v>
      </c>
      <c r="P360" s="10">
        <v>0</v>
      </c>
    </row>
    <row r="361" spans="4:16" x14ac:dyDescent="0.25">
      <c r="D361" s="109">
        <v>357</v>
      </c>
      <c r="E361" s="10">
        <v>618</v>
      </c>
      <c r="F361" s="10">
        <v>4</v>
      </c>
      <c r="G361" s="10">
        <v>0</v>
      </c>
      <c r="H361" s="5" t="str">
        <f t="shared" si="15"/>
        <v>det_618</v>
      </c>
      <c r="I361" s="5" t="str">
        <f t="shared" si="16"/>
        <v>W:\Performance Measurement\1. Freeway\1. raw data\2017\data files\det_618.txt</v>
      </c>
      <c r="J361" s="5" t="str">
        <f t="shared" si="17"/>
        <v>W:\Performance Measurement\1. Freeway\1. raw data\2017\data files\det_618.xlsx</v>
      </c>
      <c r="M361" s="117" t="s">
        <v>79</v>
      </c>
      <c r="N361" s="10">
        <v>618</v>
      </c>
      <c r="O361" s="10">
        <v>4</v>
      </c>
      <c r="P361" s="10">
        <v>0</v>
      </c>
    </row>
    <row r="362" spans="4:16" x14ac:dyDescent="0.25">
      <c r="D362" s="109">
        <v>358</v>
      </c>
      <c r="E362" s="10">
        <v>619</v>
      </c>
      <c r="F362" s="10">
        <v>4</v>
      </c>
      <c r="G362" s="10">
        <v>0</v>
      </c>
      <c r="H362" s="5" t="str">
        <f t="shared" si="15"/>
        <v>det_619</v>
      </c>
      <c r="I362" s="5" t="str">
        <f t="shared" si="16"/>
        <v>W:\Performance Measurement\1. Freeway\1. raw data\2017\data files\det_619.txt</v>
      </c>
      <c r="J362" s="5" t="str">
        <f t="shared" si="17"/>
        <v>W:\Performance Measurement\1. Freeway\1. raw data\2017\data files\det_619.xlsx</v>
      </c>
      <c r="M362" s="117" t="s">
        <v>79</v>
      </c>
      <c r="N362" s="10">
        <v>619</v>
      </c>
      <c r="O362" s="10">
        <v>4</v>
      </c>
      <c r="P362" s="10">
        <v>0</v>
      </c>
    </row>
    <row r="363" spans="4:16" x14ac:dyDescent="0.25">
      <c r="D363" s="109">
        <v>359</v>
      </c>
      <c r="E363" s="10">
        <v>620</v>
      </c>
      <c r="F363" s="10">
        <v>4</v>
      </c>
      <c r="G363" s="10">
        <v>0</v>
      </c>
      <c r="H363" s="5" t="str">
        <f t="shared" si="15"/>
        <v>det_620</v>
      </c>
      <c r="I363" s="5" t="str">
        <f t="shared" si="16"/>
        <v>W:\Performance Measurement\1. Freeway\1. raw data\2017\data files\det_620.txt</v>
      </c>
      <c r="J363" s="5" t="str">
        <f t="shared" si="17"/>
        <v>W:\Performance Measurement\1. Freeway\1. raw data\2017\data files\det_620.xlsx</v>
      </c>
      <c r="M363" s="117" t="s">
        <v>79</v>
      </c>
      <c r="N363" s="10">
        <v>620</v>
      </c>
      <c r="O363" s="10">
        <v>4</v>
      </c>
      <c r="P363" s="10">
        <v>0</v>
      </c>
    </row>
    <row r="364" spans="4:16" x14ac:dyDescent="0.25">
      <c r="D364" s="109">
        <v>360</v>
      </c>
      <c r="N364" s="10"/>
      <c r="O364" s="10"/>
      <c r="P364" s="10"/>
    </row>
    <row r="365" spans="4:16" x14ac:dyDescent="0.25">
      <c r="N365" s="10"/>
      <c r="O365" s="10"/>
      <c r="P365" s="10"/>
    </row>
    <row r="366" spans="4:16" x14ac:dyDescent="0.25">
      <c r="N366" s="10"/>
      <c r="O366" s="10"/>
      <c r="P366" s="10"/>
    </row>
    <row r="367" spans="4:16" x14ac:dyDescent="0.25">
      <c r="N367" s="10"/>
      <c r="O367" s="10"/>
      <c r="P367" s="10"/>
    </row>
    <row r="368" spans="4:16" x14ac:dyDescent="0.25">
      <c r="N368" s="10"/>
      <c r="O368" s="10"/>
      <c r="P368" s="10"/>
    </row>
    <row r="369" spans="14:16" x14ac:dyDescent="0.25">
      <c r="N369" s="10"/>
      <c r="O369" s="10"/>
      <c r="P369" s="10"/>
    </row>
    <row r="370" spans="14:16" x14ac:dyDescent="0.25">
      <c r="N370" s="10"/>
      <c r="O370" s="10"/>
      <c r="P370" s="10"/>
    </row>
    <row r="371" spans="14:16" x14ac:dyDescent="0.25">
      <c r="N371" s="10"/>
      <c r="O371" s="10"/>
      <c r="P371" s="10"/>
    </row>
    <row r="372" spans="14:16" x14ac:dyDescent="0.25">
      <c r="N372" s="10"/>
      <c r="O372" s="10"/>
      <c r="P372" s="10"/>
    </row>
    <row r="373" spans="14:16" x14ac:dyDescent="0.25">
      <c r="N373" s="10"/>
      <c r="O373" s="10"/>
      <c r="P373" s="10"/>
    </row>
    <row r="374" spans="14:16" x14ac:dyDescent="0.25">
      <c r="N374" s="10"/>
      <c r="O374" s="10"/>
      <c r="P374" s="10"/>
    </row>
    <row r="375" spans="14:16" x14ac:dyDescent="0.25">
      <c r="N375" s="10"/>
      <c r="O375" s="10"/>
      <c r="P375" s="10"/>
    </row>
    <row r="376" spans="14:16" x14ac:dyDescent="0.25">
      <c r="N376" s="10"/>
      <c r="O376" s="10"/>
      <c r="P376" s="10"/>
    </row>
    <row r="377" spans="14:16" x14ac:dyDescent="0.25">
      <c r="N377" s="10"/>
      <c r="O377" s="10"/>
      <c r="P377" s="10"/>
    </row>
    <row r="378" spans="14:16" x14ac:dyDescent="0.25">
      <c r="N378" s="10"/>
      <c r="O378" s="10"/>
      <c r="P378" s="10"/>
    </row>
    <row r="379" spans="14:16" x14ac:dyDescent="0.25">
      <c r="N379" s="10"/>
      <c r="O379" s="10"/>
      <c r="P379" s="10"/>
    </row>
    <row r="380" spans="14:16" x14ac:dyDescent="0.25">
      <c r="N380" s="10"/>
      <c r="O380" s="10"/>
      <c r="P380" s="10"/>
    </row>
    <row r="381" spans="14:16" x14ac:dyDescent="0.25">
      <c r="N381" s="10"/>
      <c r="O381" s="10"/>
      <c r="P381" s="10"/>
    </row>
    <row r="382" spans="14:16" x14ac:dyDescent="0.25">
      <c r="N382" s="10"/>
      <c r="O382" s="10"/>
      <c r="P382" s="10"/>
    </row>
    <row r="383" spans="14:16" x14ac:dyDescent="0.25">
      <c r="N383" s="10"/>
      <c r="O383" s="10"/>
      <c r="P383" s="10"/>
    </row>
    <row r="384" spans="14:16" x14ac:dyDescent="0.25">
      <c r="N384" s="10"/>
      <c r="O384" s="10"/>
      <c r="P384" s="10"/>
    </row>
    <row r="385" spans="14:16" x14ac:dyDescent="0.25">
      <c r="N385" s="10"/>
      <c r="O385" s="10"/>
      <c r="P385" s="10"/>
    </row>
    <row r="386" spans="14:16" x14ac:dyDescent="0.25">
      <c r="N386" s="10"/>
      <c r="O386" s="10"/>
      <c r="P386" s="10"/>
    </row>
    <row r="387" spans="14:16" x14ac:dyDescent="0.25">
      <c r="N387" s="10"/>
      <c r="O387" s="10"/>
      <c r="P387" s="10"/>
    </row>
    <row r="388" spans="14:16" x14ac:dyDescent="0.25">
      <c r="N388" s="10"/>
      <c r="O388" s="10"/>
      <c r="P388" s="10"/>
    </row>
    <row r="389" spans="14:16" x14ac:dyDescent="0.25">
      <c r="N389" s="10"/>
      <c r="O389" s="10"/>
      <c r="P389" s="10"/>
    </row>
    <row r="390" spans="14:16" x14ac:dyDescent="0.25">
      <c r="N390" s="10"/>
      <c r="O390" s="10"/>
      <c r="P390" s="10"/>
    </row>
    <row r="391" spans="14:16" x14ac:dyDescent="0.25">
      <c r="N391" s="10"/>
      <c r="O391" s="10"/>
      <c r="P391" s="10"/>
    </row>
    <row r="392" spans="14:16" x14ac:dyDescent="0.25">
      <c r="N392" s="10"/>
      <c r="O392" s="10"/>
      <c r="P392" s="10"/>
    </row>
    <row r="393" spans="14:16" x14ac:dyDescent="0.25">
      <c r="N393" s="10"/>
      <c r="O393" s="10"/>
      <c r="P393" s="10"/>
    </row>
    <row r="394" spans="14:16" x14ac:dyDescent="0.25">
      <c r="N394" s="10"/>
      <c r="O394" s="10"/>
      <c r="P394" s="10"/>
    </row>
    <row r="395" spans="14:16" x14ac:dyDescent="0.25">
      <c r="N395" s="10"/>
      <c r="O395" s="10"/>
      <c r="P395" s="10"/>
    </row>
    <row r="396" spans="14:16" x14ac:dyDescent="0.25">
      <c r="N396" s="10"/>
      <c r="O396" s="10"/>
      <c r="P396" s="10"/>
    </row>
    <row r="397" spans="14:16" x14ac:dyDescent="0.25">
      <c r="N397" s="10"/>
      <c r="O397" s="10"/>
      <c r="P397" s="10"/>
    </row>
    <row r="398" spans="14:16" x14ac:dyDescent="0.25">
      <c r="N398" s="10"/>
      <c r="O398" s="10"/>
      <c r="P398" s="10"/>
    </row>
    <row r="399" spans="14:16" x14ac:dyDescent="0.25">
      <c r="N399" s="10"/>
      <c r="O399" s="10"/>
      <c r="P399" s="10"/>
    </row>
    <row r="400" spans="14:16" x14ac:dyDescent="0.25">
      <c r="N400" s="10"/>
      <c r="O400" s="10"/>
      <c r="P400" s="10"/>
    </row>
    <row r="401" spans="14:16" x14ac:dyDescent="0.25">
      <c r="N401" s="10"/>
      <c r="O401" s="10"/>
      <c r="P401" s="10"/>
    </row>
    <row r="402" spans="14:16" x14ac:dyDescent="0.25">
      <c r="N402" s="10"/>
      <c r="O402" s="10"/>
      <c r="P402" s="10"/>
    </row>
    <row r="403" spans="14:16" x14ac:dyDescent="0.25">
      <c r="N403" s="10"/>
      <c r="O403" s="10"/>
      <c r="P403" s="10"/>
    </row>
    <row r="404" spans="14:16" x14ac:dyDescent="0.25">
      <c r="N404" s="10"/>
      <c r="O404" s="10"/>
      <c r="P404" s="10"/>
    </row>
    <row r="405" spans="14:16" x14ac:dyDescent="0.25">
      <c r="N405" s="10"/>
      <c r="O405" s="10"/>
      <c r="P405" s="10"/>
    </row>
    <row r="406" spans="14:16" x14ac:dyDescent="0.25">
      <c r="N406" s="10"/>
      <c r="O406" s="10"/>
      <c r="P406" s="10"/>
    </row>
    <row r="407" spans="14:16" x14ac:dyDescent="0.25">
      <c r="N407" s="10"/>
      <c r="O407" s="10"/>
      <c r="P407" s="10"/>
    </row>
    <row r="408" spans="14:16" x14ac:dyDescent="0.25">
      <c r="N408" s="10"/>
      <c r="O408" s="10"/>
      <c r="P408" s="10"/>
    </row>
    <row r="409" spans="14:16" x14ac:dyDescent="0.25">
      <c r="N409" s="10"/>
      <c r="O409" s="10"/>
      <c r="P409" s="10"/>
    </row>
    <row r="410" spans="14:16" x14ac:dyDescent="0.25">
      <c r="N410" s="10"/>
      <c r="O410" s="10"/>
      <c r="P410" s="10"/>
    </row>
    <row r="411" spans="14:16" x14ac:dyDescent="0.25">
      <c r="N411" s="10"/>
      <c r="O411" s="10"/>
      <c r="P411" s="10"/>
    </row>
    <row r="412" spans="14:16" x14ac:dyDescent="0.25">
      <c r="N412" s="10"/>
      <c r="O412" s="10"/>
      <c r="P412" s="10"/>
    </row>
    <row r="413" spans="14:16" x14ac:dyDescent="0.25">
      <c r="N413" s="10"/>
      <c r="O413" s="10"/>
      <c r="P413" s="10"/>
    </row>
    <row r="414" spans="14:16" x14ac:dyDescent="0.25">
      <c r="N414" s="10"/>
      <c r="O414" s="10"/>
      <c r="P414" s="10"/>
    </row>
    <row r="415" spans="14:16" x14ac:dyDescent="0.25">
      <c r="N415" s="10"/>
      <c r="O415" s="10"/>
      <c r="P415" s="10"/>
    </row>
    <row r="416" spans="14:16" x14ac:dyDescent="0.25">
      <c r="N416" s="10"/>
      <c r="O416" s="10"/>
      <c r="P416" s="10"/>
    </row>
    <row r="417" spans="14:16" x14ac:dyDescent="0.25">
      <c r="N417" s="10"/>
      <c r="O417" s="10"/>
      <c r="P417" s="10"/>
    </row>
    <row r="418" spans="14:16" x14ac:dyDescent="0.25">
      <c r="N418" s="10"/>
      <c r="O418" s="10"/>
      <c r="P418" s="10"/>
    </row>
    <row r="419" spans="14:16" x14ac:dyDescent="0.25">
      <c r="N419" s="10"/>
      <c r="O419" s="10"/>
      <c r="P419" s="10"/>
    </row>
    <row r="420" spans="14:16" x14ac:dyDescent="0.25">
      <c r="N420" s="10"/>
      <c r="O420" s="10"/>
      <c r="P420" s="10"/>
    </row>
    <row r="421" spans="14:16" x14ac:dyDescent="0.25">
      <c r="N421" s="10"/>
      <c r="O421" s="10"/>
      <c r="P421" s="10"/>
    </row>
    <row r="422" spans="14:16" x14ac:dyDescent="0.25">
      <c r="N422" s="10"/>
      <c r="O422" s="10"/>
      <c r="P422" s="10"/>
    </row>
    <row r="423" spans="14:16" x14ac:dyDescent="0.25">
      <c r="N423" s="10"/>
      <c r="O423" s="10"/>
      <c r="P423" s="10"/>
    </row>
    <row r="424" spans="14:16" x14ac:dyDescent="0.25">
      <c r="N424" s="10"/>
      <c r="O424" s="10"/>
      <c r="P424" s="10"/>
    </row>
    <row r="425" spans="14:16" x14ac:dyDescent="0.25">
      <c r="N425" s="10"/>
      <c r="O425" s="10"/>
      <c r="P425" s="10"/>
    </row>
    <row r="426" spans="14:16" x14ac:dyDescent="0.25">
      <c r="N426" s="10"/>
      <c r="O426" s="10"/>
      <c r="P426" s="10"/>
    </row>
    <row r="427" spans="14:16" x14ac:dyDescent="0.25">
      <c r="N427" s="10"/>
      <c r="O427" s="10"/>
      <c r="P427" s="10"/>
    </row>
    <row r="428" spans="14:16" x14ac:dyDescent="0.25">
      <c r="N428" s="10"/>
      <c r="O428" s="10"/>
      <c r="P428" s="10"/>
    </row>
    <row r="429" spans="14:16" x14ac:dyDescent="0.25">
      <c r="N429" s="10"/>
      <c r="O429" s="10"/>
      <c r="P429" s="10"/>
    </row>
    <row r="430" spans="14:16" x14ac:dyDescent="0.25">
      <c r="N430" s="10"/>
      <c r="O430" s="10"/>
      <c r="P430" s="10"/>
    </row>
    <row r="431" spans="14:16" x14ac:dyDescent="0.25">
      <c r="N431" s="10"/>
      <c r="O431" s="10"/>
      <c r="P431" s="10"/>
    </row>
    <row r="432" spans="14:16" x14ac:dyDescent="0.25">
      <c r="N432" s="10"/>
      <c r="O432" s="10"/>
      <c r="P432" s="10"/>
    </row>
    <row r="433" spans="14:16" x14ac:dyDescent="0.25">
      <c r="N433" s="10"/>
      <c r="O433" s="10"/>
      <c r="P433" s="10"/>
    </row>
    <row r="434" spans="14:16" x14ac:dyDescent="0.25">
      <c r="N434" s="10"/>
      <c r="O434" s="10"/>
      <c r="P434" s="10"/>
    </row>
    <row r="435" spans="14:16" x14ac:dyDescent="0.25">
      <c r="N435" s="10"/>
      <c r="O435" s="10"/>
      <c r="P435" s="10"/>
    </row>
    <row r="436" spans="14:16" x14ac:dyDescent="0.25">
      <c r="N436" s="10"/>
      <c r="O436" s="10"/>
      <c r="P436" s="10"/>
    </row>
    <row r="437" spans="14:16" x14ac:dyDescent="0.25">
      <c r="N437" s="10"/>
      <c r="O437" s="10"/>
      <c r="P437" s="10"/>
    </row>
    <row r="438" spans="14:16" x14ac:dyDescent="0.25">
      <c r="N438" s="10"/>
      <c r="O438" s="10"/>
      <c r="P438" s="10"/>
    </row>
    <row r="439" spans="14:16" x14ac:dyDescent="0.25">
      <c r="N439" s="10"/>
      <c r="O439" s="10"/>
      <c r="P439" s="10"/>
    </row>
    <row r="440" spans="14:16" x14ac:dyDescent="0.25">
      <c r="N440" s="10"/>
      <c r="O440" s="10"/>
      <c r="P440" s="10"/>
    </row>
    <row r="441" spans="14:16" x14ac:dyDescent="0.25">
      <c r="N441" s="10"/>
      <c r="O441" s="10"/>
      <c r="P441" s="10"/>
    </row>
    <row r="442" spans="14:16" x14ac:dyDescent="0.25">
      <c r="N442" s="10"/>
      <c r="O442" s="10"/>
      <c r="P442" s="10"/>
    </row>
    <row r="443" spans="14:16" x14ac:dyDescent="0.25">
      <c r="N443" s="10"/>
      <c r="O443" s="10"/>
      <c r="P443" s="10"/>
    </row>
    <row r="444" spans="14:16" x14ac:dyDescent="0.25">
      <c r="N444" s="10"/>
      <c r="O444" s="10"/>
      <c r="P444" s="10"/>
    </row>
    <row r="445" spans="14:16" x14ac:dyDescent="0.25">
      <c r="N445" s="10"/>
      <c r="O445" s="10"/>
      <c r="P445" s="10"/>
    </row>
    <row r="446" spans="14:16" x14ac:dyDescent="0.25">
      <c r="N446" s="10"/>
      <c r="O446" s="10"/>
      <c r="P446" s="10"/>
    </row>
    <row r="447" spans="14:16" x14ac:dyDescent="0.25">
      <c r="N447" s="10"/>
      <c r="O447" s="10"/>
      <c r="P447" s="10"/>
    </row>
    <row r="448" spans="14:16" x14ac:dyDescent="0.25">
      <c r="N448" s="10"/>
      <c r="O448" s="10"/>
      <c r="P448" s="10"/>
    </row>
    <row r="449" spans="14:16" x14ac:dyDescent="0.25">
      <c r="N449" s="10"/>
      <c r="O449" s="10"/>
      <c r="P449" s="10"/>
    </row>
    <row r="450" spans="14:16" x14ac:dyDescent="0.25">
      <c r="N450" s="10"/>
      <c r="O450" s="10"/>
      <c r="P450" s="10"/>
    </row>
    <row r="451" spans="14:16" x14ac:dyDescent="0.25">
      <c r="N451" s="10"/>
      <c r="O451" s="10"/>
      <c r="P451" s="10"/>
    </row>
    <row r="452" spans="14:16" x14ac:dyDescent="0.25">
      <c r="N452" s="10"/>
      <c r="O452" s="10"/>
      <c r="P452" s="10"/>
    </row>
    <row r="453" spans="14:16" x14ac:dyDescent="0.25">
      <c r="N453" s="10"/>
      <c r="O453" s="10"/>
      <c r="P453" s="10"/>
    </row>
    <row r="454" spans="14:16" x14ac:dyDescent="0.25">
      <c r="N454" s="10"/>
      <c r="O454" s="10"/>
      <c r="P454" s="10"/>
    </row>
    <row r="455" spans="14:16" x14ac:dyDescent="0.25">
      <c r="N455" s="10"/>
      <c r="O455" s="10"/>
      <c r="P455" s="10"/>
    </row>
    <row r="456" spans="14:16" x14ac:dyDescent="0.25">
      <c r="N456" s="10"/>
      <c r="O456" s="10"/>
      <c r="P456" s="10"/>
    </row>
    <row r="457" spans="14:16" x14ac:dyDescent="0.25">
      <c r="N457" s="10"/>
      <c r="O457" s="10"/>
      <c r="P457" s="10"/>
    </row>
    <row r="458" spans="14:16" x14ac:dyDescent="0.25">
      <c r="N458" s="10"/>
      <c r="O458" s="10"/>
      <c r="P458" s="10"/>
    </row>
    <row r="459" spans="14:16" x14ac:dyDescent="0.25">
      <c r="N459" s="10"/>
      <c r="O459" s="10"/>
      <c r="P459" s="10"/>
    </row>
    <row r="460" spans="14:16" x14ac:dyDescent="0.25">
      <c r="N460" s="10"/>
      <c r="O460" s="10"/>
      <c r="P460" s="10"/>
    </row>
    <row r="461" spans="14:16" x14ac:dyDescent="0.25">
      <c r="N461" s="10"/>
      <c r="O461" s="10"/>
      <c r="P461" s="10"/>
    </row>
    <row r="462" spans="14:16" x14ac:dyDescent="0.25">
      <c r="N462" s="10"/>
      <c r="O462" s="10"/>
      <c r="P462" s="10"/>
    </row>
    <row r="463" spans="14:16" x14ac:dyDescent="0.25">
      <c r="N463" s="10"/>
      <c r="O463" s="10"/>
      <c r="P463" s="10"/>
    </row>
    <row r="464" spans="14:16" x14ac:dyDescent="0.25">
      <c r="N464" s="10"/>
      <c r="O464" s="10"/>
      <c r="P464" s="10"/>
    </row>
    <row r="465" spans="14:16" x14ac:dyDescent="0.25">
      <c r="N465" s="10"/>
      <c r="O465" s="10"/>
      <c r="P465" s="10"/>
    </row>
    <row r="466" spans="14:16" x14ac:dyDescent="0.25">
      <c r="N466" s="10"/>
      <c r="O466" s="10"/>
      <c r="P466" s="10"/>
    </row>
    <row r="467" spans="14:16" x14ac:dyDescent="0.25">
      <c r="N467" s="10"/>
      <c r="O467" s="10"/>
      <c r="P467" s="10"/>
    </row>
    <row r="468" spans="14:16" x14ac:dyDescent="0.25">
      <c r="N468" s="10"/>
      <c r="O468" s="10"/>
      <c r="P468" s="10"/>
    </row>
    <row r="469" spans="14:16" x14ac:dyDescent="0.25">
      <c r="N469" s="10"/>
      <c r="O469" s="10"/>
      <c r="P469" s="10"/>
    </row>
    <row r="470" spans="14:16" x14ac:dyDescent="0.25">
      <c r="N470" s="10"/>
      <c r="O470" s="10"/>
      <c r="P470" s="10"/>
    </row>
    <row r="471" spans="14:16" x14ac:dyDescent="0.25">
      <c r="N471" s="10"/>
      <c r="O471" s="10"/>
      <c r="P471" s="10"/>
    </row>
    <row r="472" spans="14:16" x14ac:dyDescent="0.25">
      <c r="N472" s="10"/>
      <c r="O472" s="10"/>
      <c r="P472" s="10"/>
    </row>
    <row r="473" spans="14:16" x14ac:dyDescent="0.25">
      <c r="N473" s="10"/>
      <c r="O473" s="10"/>
      <c r="P473" s="10"/>
    </row>
    <row r="474" spans="14:16" x14ac:dyDescent="0.25">
      <c r="N474" s="10"/>
      <c r="O474" s="10"/>
      <c r="P474" s="10"/>
    </row>
    <row r="475" spans="14:16" x14ac:dyDescent="0.25">
      <c r="N475" s="10"/>
      <c r="O475" s="10"/>
      <c r="P475" s="10"/>
    </row>
    <row r="476" spans="14:16" x14ac:dyDescent="0.25">
      <c r="N476" s="10"/>
      <c r="O476" s="10"/>
      <c r="P476" s="10"/>
    </row>
    <row r="477" spans="14:16" x14ac:dyDescent="0.25">
      <c r="N477" s="10"/>
      <c r="O477" s="10"/>
      <c r="P477" s="10"/>
    </row>
    <row r="478" spans="14:16" x14ac:dyDescent="0.25">
      <c r="N478" s="10"/>
      <c r="O478" s="10"/>
      <c r="P478" s="10"/>
    </row>
    <row r="479" spans="14:16" x14ac:dyDescent="0.25">
      <c r="N479" s="10"/>
      <c r="O479" s="10"/>
      <c r="P479" s="10"/>
    </row>
    <row r="480" spans="14:16" x14ac:dyDescent="0.25">
      <c r="N480" s="10"/>
      <c r="O480" s="10"/>
      <c r="P480" s="10"/>
    </row>
    <row r="481" spans="14:16" x14ac:dyDescent="0.25">
      <c r="N481" s="10"/>
      <c r="O481" s="10"/>
      <c r="P481" s="10"/>
    </row>
    <row r="482" spans="14:16" x14ac:dyDescent="0.25">
      <c r="N482" s="10"/>
      <c r="O482" s="10"/>
      <c r="P482" s="10"/>
    </row>
    <row r="483" spans="14:16" x14ac:dyDescent="0.25">
      <c r="N483" s="10"/>
      <c r="O483" s="10"/>
      <c r="P483" s="10"/>
    </row>
    <row r="484" spans="14:16" x14ac:dyDescent="0.25">
      <c r="N484" s="10"/>
      <c r="O484" s="10"/>
      <c r="P484" s="10"/>
    </row>
    <row r="485" spans="14:16" x14ac:dyDescent="0.25">
      <c r="N485" s="10"/>
      <c r="O485" s="10"/>
      <c r="P485" s="10"/>
    </row>
    <row r="486" spans="14:16" x14ac:dyDescent="0.25">
      <c r="N486" s="10"/>
      <c r="O486" s="10"/>
      <c r="P486" s="10"/>
    </row>
    <row r="487" spans="14:16" x14ac:dyDescent="0.25">
      <c r="N487" s="10"/>
      <c r="O487" s="10"/>
      <c r="P487" s="10"/>
    </row>
    <row r="488" spans="14:16" x14ac:dyDescent="0.25">
      <c r="N488" s="10"/>
      <c r="O488" s="10"/>
      <c r="P488" s="10"/>
    </row>
    <row r="489" spans="14:16" x14ac:dyDescent="0.25">
      <c r="N489" s="10"/>
      <c r="O489" s="10"/>
      <c r="P489" s="10"/>
    </row>
    <row r="490" spans="14:16" x14ac:dyDescent="0.25">
      <c r="N490" s="10"/>
      <c r="O490" s="10"/>
      <c r="P490" s="10"/>
    </row>
    <row r="491" spans="14:16" x14ac:dyDescent="0.25">
      <c r="N491" s="10"/>
      <c r="O491" s="10"/>
      <c r="P491" s="10"/>
    </row>
    <row r="492" spans="14:16" x14ac:dyDescent="0.25">
      <c r="N492" s="10"/>
      <c r="O492" s="10"/>
      <c r="P492" s="10"/>
    </row>
    <row r="493" spans="14:16" x14ac:dyDescent="0.25">
      <c r="N493" s="10"/>
      <c r="O493" s="10"/>
      <c r="P493" s="10"/>
    </row>
    <row r="494" spans="14:16" x14ac:dyDescent="0.25">
      <c r="N494" s="10"/>
      <c r="O494" s="10"/>
      <c r="P494" s="10"/>
    </row>
    <row r="495" spans="14:16" x14ac:dyDescent="0.25">
      <c r="N495" s="10"/>
      <c r="O495" s="10"/>
      <c r="P495" s="10"/>
    </row>
    <row r="496" spans="14:16" x14ac:dyDescent="0.25">
      <c r="N496" s="10"/>
      <c r="O496" s="10"/>
      <c r="P496" s="10"/>
    </row>
    <row r="497" spans="14:16" x14ac:dyDescent="0.25">
      <c r="N497" s="10"/>
      <c r="O497" s="10"/>
      <c r="P497" s="10"/>
    </row>
    <row r="498" spans="14:16" x14ac:dyDescent="0.25">
      <c r="N498" s="10"/>
      <c r="O498" s="10"/>
      <c r="P498" s="10"/>
    </row>
    <row r="499" spans="14:16" x14ac:dyDescent="0.25">
      <c r="N499" s="10"/>
      <c r="O499" s="10"/>
      <c r="P499" s="10"/>
    </row>
    <row r="500" spans="14:16" x14ac:dyDescent="0.25">
      <c r="N500" s="10"/>
      <c r="O500" s="10"/>
      <c r="P500" s="10"/>
    </row>
    <row r="501" spans="14:16" x14ac:dyDescent="0.25">
      <c r="N501" s="10"/>
      <c r="O501" s="10"/>
      <c r="P501" s="10"/>
    </row>
    <row r="502" spans="14:16" x14ac:dyDescent="0.25">
      <c r="N502" s="10"/>
      <c r="O502" s="10"/>
      <c r="P502" s="10"/>
    </row>
    <row r="503" spans="14:16" x14ac:dyDescent="0.25">
      <c r="N503" s="10"/>
      <c r="O503" s="10"/>
      <c r="P503" s="10"/>
    </row>
    <row r="504" spans="14:16" x14ac:dyDescent="0.25">
      <c r="N504" s="10"/>
      <c r="O504" s="10"/>
      <c r="P504" s="10"/>
    </row>
    <row r="505" spans="14:16" x14ac:dyDescent="0.25">
      <c r="N505" s="10"/>
      <c r="O505" s="10"/>
      <c r="P505" s="10"/>
    </row>
    <row r="506" spans="14:16" x14ac:dyDescent="0.25">
      <c r="N506" s="10"/>
      <c r="O506" s="10"/>
      <c r="P506" s="10"/>
    </row>
    <row r="507" spans="14:16" x14ac:dyDescent="0.25">
      <c r="N507" s="10"/>
      <c r="O507" s="10"/>
      <c r="P507" s="10"/>
    </row>
    <row r="508" spans="14:16" x14ac:dyDescent="0.25">
      <c r="N508" s="10"/>
      <c r="O508" s="10"/>
      <c r="P508" s="10"/>
    </row>
    <row r="509" spans="14:16" x14ac:dyDescent="0.25">
      <c r="N509" s="10"/>
      <c r="O509" s="10"/>
      <c r="P509"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locked="0" defaultSize="0" print="0" autoFill="0" autoPict="0" macro="[0]!Step3">
                <anchor moveWithCells="1" sizeWithCells="1">
                  <from>
                    <xdr:col>1</xdr:col>
                    <xdr:colOff>0</xdr:colOff>
                    <xdr:row>2</xdr:row>
                    <xdr:rowOff>0</xdr:rowOff>
                  </from>
                  <to>
                    <xdr:col>2</xdr:col>
                    <xdr:colOff>638175</xdr:colOff>
                    <xdr:row>3</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P509"/>
  <sheetViews>
    <sheetView tabSelected="1" zoomScaleNormal="100" workbookViewId="0">
      <pane ySplit="6975" topLeftCell="A204"/>
      <selection activeCell="C18" sqref="C18"/>
      <selection pane="bottomLeft" activeCell="C31" sqref="C31"/>
    </sheetView>
  </sheetViews>
  <sheetFormatPr defaultRowHeight="15" x14ac:dyDescent="0.25"/>
  <cols>
    <col min="1" max="1" width="4.140625" style="109" customWidth="1"/>
    <col min="2" max="2" width="10.7109375" style="109" customWidth="1"/>
    <col min="3" max="3" width="21.7109375" style="109" customWidth="1"/>
    <col min="4" max="4" width="8.7109375" style="109" customWidth="1"/>
    <col min="5" max="8" width="10.7109375" style="109" customWidth="1"/>
    <col min="9" max="9" width="76" style="109" customWidth="1"/>
    <col min="10" max="10" width="24" style="109" customWidth="1"/>
    <col min="11" max="11" width="10.5703125" style="109" customWidth="1"/>
    <col min="12" max="12" width="41" style="109" customWidth="1"/>
    <col min="13" max="16384" width="9.140625" style="109"/>
  </cols>
  <sheetData>
    <row r="1" spans="2:16" ht="18.75" x14ac:dyDescent="0.3">
      <c r="B1" s="13" t="s">
        <v>21</v>
      </c>
      <c r="C1" s="13"/>
      <c r="D1" s="13"/>
      <c r="E1" s="13"/>
      <c r="H1" s="13"/>
      <c r="I1" s="12" t="s">
        <v>20</v>
      </c>
    </row>
    <row r="2" spans="2:16" x14ac:dyDescent="0.25">
      <c r="E2" s="6"/>
      <c r="F2" s="6"/>
      <c r="G2" s="6"/>
      <c r="H2" s="6"/>
      <c r="I2" s="6"/>
      <c r="J2" s="6"/>
      <c r="K2" s="6"/>
    </row>
    <row r="3" spans="2:16" x14ac:dyDescent="0.25">
      <c r="E3" s="6"/>
      <c r="F3" s="6"/>
      <c r="G3" s="6"/>
      <c r="M3" s="109" t="s">
        <v>279</v>
      </c>
    </row>
    <row r="4" spans="2:16" x14ac:dyDescent="0.25">
      <c r="D4" s="109" t="s">
        <v>19</v>
      </c>
      <c r="E4" s="109" t="s">
        <v>18</v>
      </c>
      <c r="F4" s="109" t="s">
        <v>38</v>
      </c>
      <c r="G4" s="109" t="s">
        <v>39</v>
      </c>
      <c r="H4" s="109" t="s">
        <v>17</v>
      </c>
      <c r="I4" s="109" t="s">
        <v>16</v>
      </c>
      <c r="J4" s="109" t="s">
        <v>15</v>
      </c>
      <c r="M4" s="109" t="s">
        <v>275</v>
      </c>
      <c r="N4" s="109" t="s">
        <v>18</v>
      </c>
      <c r="O4" s="109" t="s">
        <v>38</v>
      </c>
      <c r="P4" s="109" t="s">
        <v>39</v>
      </c>
    </row>
    <row r="5" spans="2:16" x14ac:dyDescent="0.25">
      <c r="B5" s="2" t="s">
        <v>293</v>
      </c>
      <c r="C5" s="109" t="s">
        <v>14</v>
      </c>
      <c r="D5" s="109">
        <v>1</v>
      </c>
      <c r="E5" s="112">
        <v>2</v>
      </c>
      <c r="F5" s="112">
        <v>4</v>
      </c>
      <c r="G5" s="112">
        <v>0</v>
      </c>
      <c r="H5" s="5" t="str">
        <f t="shared" ref="H5:H68" si="0">"det_"&amp;E5&amp;""</f>
        <v>det_2</v>
      </c>
      <c r="I5" s="5" t="str">
        <f t="shared" ref="I5:I68" si="1">$B$5&amp;"\"&amp;H5&amp;".txt"</f>
        <v>I:\Transportation Performance\Data\ADOT FMS\1. Raw Data\2018\data files\test\det_2.txt</v>
      </c>
      <c r="J5" s="5" t="str">
        <f t="shared" ref="J5:J68" si="2">$B$5&amp;"\"&amp;H5&amp;".xlsx"</f>
        <v>I:\Transportation Performance\Data\ADOT FMS\1. Raw Data\2018\data files\test\det_2.xlsx</v>
      </c>
      <c r="K5" s="5"/>
      <c r="M5" s="114" t="s">
        <v>58</v>
      </c>
      <c r="N5" s="112">
        <v>2</v>
      </c>
      <c r="O5" s="112">
        <v>4</v>
      </c>
      <c r="P5" s="112">
        <v>0</v>
      </c>
    </row>
    <row r="6" spans="2:16" x14ac:dyDescent="0.25">
      <c r="B6" s="2" t="s">
        <v>292</v>
      </c>
      <c r="C6" s="109" t="s">
        <v>13</v>
      </c>
      <c r="D6" s="109">
        <v>2</v>
      </c>
      <c r="E6" s="10">
        <v>8</v>
      </c>
      <c r="F6" s="10">
        <v>4</v>
      </c>
      <c r="G6" s="10">
        <v>1</v>
      </c>
      <c r="H6" s="5" t="str">
        <f t="shared" si="0"/>
        <v>det_8</v>
      </c>
      <c r="I6" s="5" t="str">
        <f t="shared" si="1"/>
        <v>I:\Transportation Performance\Data\ADOT FMS\1. Raw Data\2018\data files\test\det_8.txt</v>
      </c>
      <c r="J6" s="5" t="str">
        <f t="shared" si="2"/>
        <v>I:\Transportation Performance\Data\ADOT FMS\1. Raw Data\2018\data files\test\det_8.xlsx</v>
      </c>
      <c r="K6" s="5"/>
      <c r="M6" s="114" t="s">
        <v>58</v>
      </c>
      <c r="N6" s="10">
        <v>8</v>
      </c>
      <c r="O6" s="10">
        <v>4</v>
      </c>
      <c r="P6" s="10">
        <v>1</v>
      </c>
    </row>
    <row r="7" spans="2:16" x14ac:dyDescent="0.25">
      <c r="B7" s="2" t="s">
        <v>291</v>
      </c>
      <c r="C7" s="109" t="s">
        <v>11</v>
      </c>
      <c r="D7" s="109">
        <v>3</v>
      </c>
      <c r="E7" s="10">
        <v>14</v>
      </c>
      <c r="F7" s="10">
        <v>4</v>
      </c>
      <c r="G7" s="10">
        <v>1</v>
      </c>
      <c r="H7" s="5" t="str">
        <f t="shared" si="0"/>
        <v>det_14</v>
      </c>
      <c r="I7" s="5" t="str">
        <f t="shared" si="1"/>
        <v>I:\Transportation Performance\Data\ADOT FMS\1. Raw Data\2018\data files\test\det_14.txt</v>
      </c>
      <c r="J7" s="5" t="str">
        <f t="shared" si="2"/>
        <v>I:\Transportation Performance\Data\ADOT FMS\1. Raw Data\2018\data files\test\det_14.xlsx</v>
      </c>
      <c r="K7" s="5"/>
      <c r="M7" s="114" t="s">
        <v>58</v>
      </c>
      <c r="N7" s="10">
        <v>14</v>
      </c>
      <c r="O7" s="10">
        <v>4</v>
      </c>
      <c r="P7" s="10">
        <v>1</v>
      </c>
    </row>
    <row r="8" spans="2:16" x14ac:dyDescent="0.25">
      <c r="B8" s="2" t="s">
        <v>260</v>
      </c>
      <c r="C8" s="1" t="s">
        <v>10</v>
      </c>
      <c r="D8" s="109">
        <v>4</v>
      </c>
      <c r="E8" s="10">
        <v>20</v>
      </c>
      <c r="F8" s="10">
        <v>4</v>
      </c>
      <c r="G8" s="10">
        <v>1</v>
      </c>
      <c r="H8" s="5" t="str">
        <f t="shared" si="0"/>
        <v>det_20</v>
      </c>
      <c r="I8" s="5" t="str">
        <f t="shared" si="1"/>
        <v>I:\Transportation Performance\Data\ADOT FMS\1. Raw Data\2018\data files\test\det_20.txt</v>
      </c>
      <c r="J8" s="5" t="str">
        <f t="shared" si="2"/>
        <v>I:\Transportation Performance\Data\ADOT FMS\1. Raw Data\2018\data files\test\det_20.xlsx</v>
      </c>
      <c r="K8" s="5"/>
      <c r="M8" s="114" t="s">
        <v>58</v>
      </c>
      <c r="N8" s="10">
        <v>20</v>
      </c>
      <c r="O8" s="10">
        <v>4</v>
      </c>
      <c r="P8" s="10">
        <v>1</v>
      </c>
    </row>
    <row r="9" spans="2:16" x14ac:dyDescent="0.25">
      <c r="D9" s="109">
        <v>5</v>
      </c>
      <c r="E9" s="10">
        <v>25</v>
      </c>
      <c r="F9" s="10">
        <v>4</v>
      </c>
      <c r="G9" s="10">
        <v>1</v>
      </c>
      <c r="H9" s="5" t="str">
        <f t="shared" si="0"/>
        <v>det_25</v>
      </c>
      <c r="I9" s="5" t="str">
        <f t="shared" si="1"/>
        <v>I:\Transportation Performance\Data\ADOT FMS\1. Raw Data\2018\data files\test\det_25.txt</v>
      </c>
      <c r="J9" s="5" t="str">
        <f t="shared" si="2"/>
        <v>I:\Transportation Performance\Data\ADOT FMS\1. Raw Data\2018\data files\test\det_25.xlsx</v>
      </c>
      <c r="K9" s="5"/>
      <c r="M9" s="114" t="s">
        <v>58</v>
      </c>
      <c r="N9" s="10">
        <v>25</v>
      </c>
      <c r="O9" s="10">
        <v>4</v>
      </c>
      <c r="P9" s="10">
        <v>1</v>
      </c>
    </row>
    <row r="10" spans="2:16" x14ac:dyDescent="0.25">
      <c r="B10" s="3">
        <v>2018</v>
      </c>
      <c r="C10" s="109" t="s">
        <v>9</v>
      </c>
      <c r="D10" s="109">
        <v>6</v>
      </c>
      <c r="E10" s="10">
        <v>30</v>
      </c>
      <c r="F10" s="10">
        <v>4</v>
      </c>
      <c r="G10" s="10">
        <v>1</v>
      </c>
      <c r="H10" s="5" t="str">
        <f t="shared" si="0"/>
        <v>det_30</v>
      </c>
      <c r="I10" s="5" t="str">
        <f t="shared" si="1"/>
        <v>I:\Transportation Performance\Data\ADOT FMS\1. Raw Data\2018\data files\test\det_30.txt</v>
      </c>
      <c r="J10" s="5" t="str">
        <f t="shared" si="2"/>
        <v>I:\Transportation Performance\Data\ADOT FMS\1. Raw Data\2018\data files\test\det_30.xlsx</v>
      </c>
      <c r="K10" s="5"/>
      <c r="M10" s="114" t="s">
        <v>58</v>
      </c>
      <c r="N10" s="10">
        <v>30</v>
      </c>
      <c r="O10" s="10">
        <v>4</v>
      </c>
      <c r="P10" s="10">
        <v>1</v>
      </c>
    </row>
    <row r="11" spans="2:16" x14ac:dyDescent="0.25">
      <c r="B11" s="3">
        <v>365</v>
      </c>
      <c r="C11" s="109" t="s">
        <v>0</v>
      </c>
      <c r="D11" s="109">
        <v>7</v>
      </c>
      <c r="E11" s="10">
        <v>68</v>
      </c>
      <c r="F11" s="10">
        <v>4</v>
      </c>
      <c r="G11" s="10">
        <v>1</v>
      </c>
      <c r="H11" s="5" t="str">
        <f t="shared" si="0"/>
        <v>det_68</v>
      </c>
      <c r="I11" s="5" t="str">
        <f t="shared" si="1"/>
        <v>I:\Transportation Performance\Data\ADOT FMS\1. Raw Data\2018\data files\test\det_68.txt</v>
      </c>
      <c r="J11" s="5" t="str">
        <f t="shared" si="2"/>
        <v>I:\Transportation Performance\Data\ADOT FMS\1. Raw Data\2018\data files\test\det_68.xlsx</v>
      </c>
      <c r="K11" s="5"/>
      <c r="M11" s="114" t="s">
        <v>58</v>
      </c>
      <c r="N11" s="10">
        <v>68</v>
      </c>
      <c r="O11" s="10">
        <v>4</v>
      </c>
      <c r="P11" s="10">
        <v>1</v>
      </c>
    </row>
    <row r="12" spans="2:16" x14ac:dyDescent="0.25">
      <c r="B12" s="3">
        <v>250</v>
      </c>
      <c r="C12" s="109" t="s">
        <v>1</v>
      </c>
      <c r="D12" s="109">
        <v>8</v>
      </c>
      <c r="E12" s="10">
        <v>133</v>
      </c>
      <c r="F12" s="10">
        <v>5</v>
      </c>
      <c r="G12" s="10">
        <v>1</v>
      </c>
      <c r="H12" s="5" t="str">
        <f t="shared" si="0"/>
        <v>det_133</v>
      </c>
      <c r="I12" s="5" t="str">
        <f t="shared" si="1"/>
        <v>I:\Transportation Performance\Data\ADOT FMS\1. Raw Data\2018\data files\test\det_133.txt</v>
      </c>
      <c r="J12" s="5" t="str">
        <f t="shared" si="2"/>
        <v>I:\Transportation Performance\Data\ADOT FMS\1. Raw Data\2018\data files\test\det_133.xlsx</v>
      </c>
      <c r="K12" s="5"/>
      <c r="M12" s="114" t="s">
        <v>58</v>
      </c>
      <c r="N12" s="10">
        <v>133</v>
      </c>
      <c r="O12" s="10">
        <v>5</v>
      </c>
      <c r="P12" s="10">
        <v>1</v>
      </c>
    </row>
    <row r="13" spans="2:16" x14ac:dyDescent="0.25">
      <c r="D13" s="109">
        <v>9</v>
      </c>
      <c r="E13" s="10">
        <v>73</v>
      </c>
      <c r="F13" s="10">
        <v>5</v>
      </c>
      <c r="G13" s="10">
        <v>1</v>
      </c>
      <c r="H13" s="5" t="str">
        <f t="shared" si="0"/>
        <v>det_73</v>
      </c>
      <c r="I13" s="5" t="str">
        <f t="shared" si="1"/>
        <v>I:\Transportation Performance\Data\ADOT FMS\1. Raw Data\2018\data files\test\det_73.txt</v>
      </c>
      <c r="J13" s="5" t="str">
        <f t="shared" si="2"/>
        <v>I:\Transportation Performance\Data\ADOT FMS\1. Raw Data\2018\data files\test\det_73.xlsx</v>
      </c>
      <c r="K13" s="5"/>
      <c r="M13" s="114" t="s">
        <v>58</v>
      </c>
      <c r="N13" s="10">
        <v>73</v>
      </c>
      <c r="O13" s="10">
        <v>5</v>
      </c>
      <c r="P13" s="10">
        <v>1</v>
      </c>
    </row>
    <row r="14" spans="2:16" x14ac:dyDescent="0.25">
      <c r="B14" s="3">
        <v>1</v>
      </c>
      <c r="C14" s="1" t="s">
        <v>8</v>
      </c>
      <c r="D14" s="109">
        <v>10</v>
      </c>
      <c r="E14" s="10">
        <v>35</v>
      </c>
      <c r="F14" s="10">
        <v>4</v>
      </c>
      <c r="G14" s="10">
        <v>1</v>
      </c>
      <c r="H14" s="5" t="str">
        <f t="shared" si="0"/>
        <v>det_35</v>
      </c>
      <c r="I14" s="5" t="str">
        <f t="shared" si="1"/>
        <v>I:\Transportation Performance\Data\ADOT FMS\1. Raw Data\2018\data files\test\det_35.txt</v>
      </c>
      <c r="J14" s="5" t="str">
        <f t="shared" si="2"/>
        <v>I:\Transportation Performance\Data\ADOT FMS\1. Raw Data\2018\data files\test\det_35.xlsx</v>
      </c>
      <c r="K14" s="5"/>
      <c r="M14" s="114" t="s">
        <v>58</v>
      </c>
      <c r="N14" s="10">
        <v>35</v>
      </c>
      <c r="O14" s="10">
        <v>4</v>
      </c>
      <c r="P14" s="10">
        <v>1</v>
      </c>
    </row>
    <row r="15" spans="2:16" x14ac:dyDescent="0.25">
      <c r="D15" s="109">
        <v>11</v>
      </c>
      <c r="E15" s="10">
        <v>29</v>
      </c>
      <c r="F15" s="10">
        <v>4</v>
      </c>
      <c r="G15" s="10">
        <v>1</v>
      </c>
      <c r="H15" s="5" t="str">
        <f t="shared" si="0"/>
        <v>det_29</v>
      </c>
      <c r="I15" s="5" t="str">
        <f t="shared" si="1"/>
        <v>I:\Transportation Performance\Data\ADOT FMS\1. Raw Data\2018\data files\test\det_29.txt</v>
      </c>
      <c r="J15" s="5" t="str">
        <f t="shared" si="2"/>
        <v>I:\Transportation Performance\Data\ADOT FMS\1. Raw Data\2018\data files\test\det_29.xlsx</v>
      </c>
      <c r="K15" s="5"/>
      <c r="M15" s="114" t="s">
        <v>58</v>
      </c>
      <c r="N15" s="10">
        <v>29</v>
      </c>
      <c r="O15" s="10">
        <v>4</v>
      </c>
      <c r="P15" s="10">
        <v>1</v>
      </c>
    </row>
    <row r="16" spans="2:16" x14ac:dyDescent="0.25">
      <c r="B16" s="3">
        <v>201</v>
      </c>
      <c r="C16" s="109" t="s">
        <v>7</v>
      </c>
      <c r="D16" s="109">
        <v>12</v>
      </c>
      <c r="E16" s="10">
        <v>24</v>
      </c>
      <c r="F16" s="10">
        <v>4</v>
      </c>
      <c r="G16" s="10">
        <v>1</v>
      </c>
      <c r="H16" s="5" t="str">
        <f t="shared" si="0"/>
        <v>det_24</v>
      </c>
      <c r="I16" s="5" t="str">
        <f t="shared" si="1"/>
        <v>I:\Transportation Performance\Data\ADOT FMS\1. Raw Data\2018\data files\test\det_24.txt</v>
      </c>
      <c r="J16" s="5" t="str">
        <f t="shared" si="2"/>
        <v>I:\Transportation Performance\Data\ADOT FMS\1. Raw Data\2018\data files\test\det_24.xlsx</v>
      </c>
      <c r="K16" s="5"/>
      <c r="M16" s="114" t="s">
        <v>58</v>
      </c>
      <c r="N16" s="10">
        <v>24</v>
      </c>
      <c r="O16" s="10">
        <v>4</v>
      </c>
      <c r="P16" s="10">
        <v>1</v>
      </c>
    </row>
    <row r="17" spans="1:16" x14ac:dyDescent="0.25">
      <c r="B17" s="3">
        <v>203</v>
      </c>
      <c r="C17" s="109" t="s">
        <v>6</v>
      </c>
      <c r="D17" s="109">
        <v>13</v>
      </c>
      <c r="E17" s="10">
        <v>17</v>
      </c>
      <c r="F17" s="10">
        <v>4</v>
      </c>
      <c r="G17" s="10">
        <v>1</v>
      </c>
      <c r="H17" s="5" t="str">
        <f t="shared" si="0"/>
        <v>det_17</v>
      </c>
      <c r="I17" s="5" t="str">
        <f t="shared" si="1"/>
        <v>I:\Transportation Performance\Data\ADOT FMS\1. Raw Data\2018\data files\test\det_17.txt</v>
      </c>
      <c r="J17" s="5" t="str">
        <f t="shared" si="2"/>
        <v>I:\Transportation Performance\Data\ADOT FMS\1. Raw Data\2018\data files\test\det_17.xlsx</v>
      </c>
      <c r="K17" s="5"/>
      <c r="M17" s="114" t="s">
        <v>58</v>
      </c>
      <c r="N17" s="10">
        <v>17</v>
      </c>
      <c r="O17" s="10">
        <v>4</v>
      </c>
      <c r="P17" s="10">
        <v>1</v>
      </c>
    </row>
    <row r="18" spans="1:16" x14ac:dyDescent="0.25">
      <c r="C18" s="1"/>
      <c r="D18" s="109">
        <v>14</v>
      </c>
      <c r="E18" s="10">
        <v>11</v>
      </c>
      <c r="F18" s="10">
        <v>4</v>
      </c>
      <c r="G18" s="10">
        <v>1</v>
      </c>
      <c r="H18" s="5" t="str">
        <f t="shared" si="0"/>
        <v>det_11</v>
      </c>
      <c r="I18" s="5" t="str">
        <f t="shared" si="1"/>
        <v>I:\Transportation Performance\Data\ADOT FMS\1. Raw Data\2018\data files\test\det_11.txt</v>
      </c>
      <c r="J18" s="5" t="str">
        <f t="shared" si="2"/>
        <v>I:\Transportation Performance\Data\ADOT FMS\1. Raw Data\2018\data files\test\det_11.xlsx</v>
      </c>
      <c r="K18" s="5"/>
      <c r="M18" s="114" t="s">
        <v>58</v>
      </c>
      <c r="N18" s="10">
        <v>11</v>
      </c>
      <c r="O18" s="10">
        <v>4</v>
      </c>
      <c r="P18" s="10">
        <v>1</v>
      </c>
    </row>
    <row r="19" spans="1:16" x14ac:dyDescent="0.25">
      <c r="B19" s="7" t="str">
        <f>"E1:X"&amp;B$11*36/B14+1</f>
        <v>E1:X13141</v>
      </c>
      <c r="C19" s="1" t="s">
        <v>5</v>
      </c>
      <c r="D19" s="109">
        <v>15</v>
      </c>
      <c r="E19" s="10">
        <v>4</v>
      </c>
      <c r="F19" s="10">
        <v>4</v>
      </c>
      <c r="G19" s="10">
        <v>1</v>
      </c>
      <c r="H19" s="5" t="str">
        <f t="shared" si="0"/>
        <v>det_4</v>
      </c>
      <c r="I19" s="5" t="str">
        <f t="shared" si="1"/>
        <v>I:\Transportation Performance\Data\ADOT FMS\1. Raw Data\2018\data files\test\det_4.txt</v>
      </c>
      <c r="J19" s="5" t="str">
        <f t="shared" si="2"/>
        <v>I:\Transportation Performance\Data\ADOT FMS\1. Raw Data\2018\data files\test\det_4.xlsx</v>
      </c>
      <c r="K19" s="5"/>
      <c r="M19" s="114" t="s">
        <v>58</v>
      </c>
      <c r="N19" s="10">
        <v>4</v>
      </c>
      <c r="O19" s="10">
        <v>4</v>
      </c>
      <c r="P19" s="10">
        <v>1</v>
      </c>
    </row>
    <row r="20" spans="1:16" x14ac:dyDescent="0.25">
      <c r="B20" s="7" t="str">
        <f>"E1:X"&amp;B$11*72/B14+1</f>
        <v>E1:X26281</v>
      </c>
      <c r="C20" s="1" t="s">
        <v>4</v>
      </c>
      <c r="D20" s="109">
        <v>16</v>
      </c>
      <c r="E20" s="10">
        <v>1</v>
      </c>
      <c r="F20" s="10">
        <v>4</v>
      </c>
      <c r="G20" s="10">
        <v>1</v>
      </c>
      <c r="H20" s="5" t="str">
        <f t="shared" si="0"/>
        <v>det_1</v>
      </c>
      <c r="I20" s="5" t="str">
        <f t="shared" si="1"/>
        <v>I:\Transportation Performance\Data\ADOT FMS\1. Raw Data\2018\data files\test\det_1.txt</v>
      </c>
      <c r="J20" s="5" t="str">
        <f t="shared" si="2"/>
        <v>I:\Transportation Performance\Data\ADOT FMS\1. Raw Data\2018\data files\test\det_1.xlsx</v>
      </c>
      <c r="K20" s="5"/>
      <c r="M20" s="114" t="s">
        <v>58</v>
      </c>
      <c r="N20" s="10">
        <v>1</v>
      </c>
      <c r="O20" s="10">
        <v>4</v>
      </c>
      <c r="P20" s="10">
        <v>1</v>
      </c>
    </row>
    <row r="21" spans="1:16" x14ac:dyDescent="0.25">
      <c r="B21" s="7" t="str">
        <f>"E1:X"&amp;B$11*48/B14+1</f>
        <v>E1:X17521</v>
      </c>
      <c r="C21" s="1" t="s">
        <v>3</v>
      </c>
      <c r="D21" s="109">
        <v>17</v>
      </c>
      <c r="E21" s="10">
        <v>75</v>
      </c>
      <c r="F21" s="10">
        <v>5</v>
      </c>
      <c r="G21" s="10">
        <v>1</v>
      </c>
      <c r="H21" s="5" t="str">
        <f t="shared" si="0"/>
        <v>det_75</v>
      </c>
      <c r="I21" s="5" t="str">
        <f t="shared" si="1"/>
        <v>I:\Transportation Performance\Data\ADOT FMS\1. Raw Data\2018\data files\test\det_75.txt</v>
      </c>
      <c r="J21" s="5" t="str">
        <f t="shared" si="2"/>
        <v>I:\Transportation Performance\Data\ADOT FMS\1. Raw Data\2018\data files\test\det_75.xlsx</v>
      </c>
      <c r="K21" s="5"/>
      <c r="M21" s="114" t="s">
        <v>59</v>
      </c>
      <c r="N21" s="10">
        <v>75</v>
      </c>
      <c r="O21" s="10">
        <v>5</v>
      </c>
      <c r="P21" s="10">
        <v>1</v>
      </c>
    </row>
    <row r="22" spans="1:16" x14ac:dyDescent="0.25">
      <c r="B22" s="7" t="str">
        <f>"E1:X"&amp;B$11*132/B14+1</f>
        <v>E1:X48181</v>
      </c>
      <c r="C22" s="1" t="s">
        <v>2</v>
      </c>
      <c r="D22" s="109">
        <v>18</v>
      </c>
      <c r="E22" s="10">
        <v>80</v>
      </c>
      <c r="F22" s="10">
        <v>4</v>
      </c>
      <c r="G22" s="10">
        <v>1</v>
      </c>
      <c r="H22" s="5" t="str">
        <f t="shared" si="0"/>
        <v>det_80</v>
      </c>
      <c r="I22" s="5" t="str">
        <f t="shared" si="1"/>
        <v>I:\Transportation Performance\Data\ADOT FMS\1. Raw Data\2018\data files\test\det_80.txt</v>
      </c>
      <c r="J22" s="5" t="str">
        <f t="shared" si="2"/>
        <v>I:\Transportation Performance\Data\ADOT FMS\1. Raw Data\2018\data files\test\det_80.xlsx</v>
      </c>
      <c r="K22" s="5"/>
      <c r="M22" s="114" t="s">
        <v>59</v>
      </c>
      <c r="N22" s="10">
        <v>80</v>
      </c>
      <c r="O22" s="10">
        <v>4</v>
      </c>
      <c r="P22" s="10">
        <v>1</v>
      </c>
    </row>
    <row r="23" spans="1:16" x14ac:dyDescent="0.25">
      <c r="D23" s="109">
        <v>19</v>
      </c>
      <c r="E23" s="10">
        <v>85</v>
      </c>
      <c r="F23" s="10">
        <v>4</v>
      </c>
      <c r="G23" s="10">
        <v>1</v>
      </c>
      <c r="H23" s="5" t="str">
        <f t="shared" si="0"/>
        <v>det_85</v>
      </c>
      <c r="I23" s="5" t="str">
        <f t="shared" si="1"/>
        <v>I:\Transportation Performance\Data\ADOT FMS\1. Raw Data\2018\data files\test\det_85.txt</v>
      </c>
      <c r="J23" s="5" t="str">
        <f t="shared" si="2"/>
        <v>I:\Transportation Performance\Data\ADOT FMS\1. Raw Data\2018\data files\test\det_85.xlsx</v>
      </c>
      <c r="K23" s="5"/>
      <c r="M23" s="114" t="s">
        <v>59</v>
      </c>
      <c r="N23" s="10">
        <v>85</v>
      </c>
      <c r="O23" s="10">
        <v>4</v>
      </c>
      <c r="P23" s="10">
        <v>1</v>
      </c>
    </row>
    <row r="24" spans="1:16" x14ac:dyDescent="0.25">
      <c r="B24" s="4" t="str">
        <f>B6&amp;"\"&amp;B7</f>
        <v>I:\Transportation Performance\Data\ADOT FMS\2. Processed Data\a. Template Files\blank2018.xlsx</v>
      </c>
      <c r="D24" s="109">
        <v>20</v>
      </c>
      <c r="E24" s="112">
        <v>87</v>
      </c>
      <c r="F24" s="112">
        <v>3</v>
      </c>
      <c r="G24" s="112">
        <v>1</v>
      </c>
      <c r="H24" s="5" t="str">
        <f t="shared" si="0"/>
        <v>det_87</v>
      </c>
      <c r="I24" s="5" t="str">
        <f t="shared" si="1"/>
        <v>I:\Transportation Performance\Data\ADOT FMS\1. Raw Data\2018\data files\test\det_87.txt</v>
      </c>
      <c r="J24" s="5" t="str">
        <f t="shared" si="2"/>
        <v>I:\Transportation Performance\Data\ADOT FMS\1. Raw Data\2018\data files\test\det_87.xlsx</v>
      </c>
      <c r="K24" s="5"/>
      <c r="M24" s="114" t="s">
        <v>59</v>
      </c>
      <c r="N24" s="112">
        <v>87</v>
      </c>
      <c r="O24" s="112">
        <v>3</v>
      </c>
      <c r="P24" s="112">
        <v>1</v>
      </c>
    </row>
    <row r="25" spans="1:16" x14ac:dyDescent="0.25">
      <c r="B25" s="4" t="str">
        <f>B6&amp;"\"&amp;B8</f>
        <v>I:\Transportation Performance\Data\ADOT FMS\2. Processed Data\a. Template Files\Template.xlsx</v>
      </c>
      <c r="C25" s="1"/>
      <c r="D25" s="109">
        <v>21</v>
      </c>
      <c r="E25" s="112">
        <v>139</v>
      </c>
      <c r="F25" s="112">
        <v>4</v>
      </c>
      <c r="G25" s="112">
        <v>1</v>
      </c>
      <c r="H25" s="5" t="str">
        <f t="shared" si="0"/>
        <v>det_139</v>
      </c>
      <c r="I25" s="5" t="str">
        <f t="shared" si="1"/>
        <v>I:\Transportation Performance\Data\ADOT FMS\1. Raw Data\2018\data files\test\det_139.txt</v>
      </c>
      <c r="J25" s="5" t="str">
        <f t="shared" si="2"/>
        <v>I:\Transportation Performance\Data\ADOT FMS\1. Raw Data\2018\data files\test\det_139.xlsx</v>
      </c>
      <c r="K25" s="5"/>
      <c r="M25" s="114" t="s">
        <v>59</v>
      </c>
      <c r="N25" s="10">
        <v>139</v>
      </c>
      <c r="O25" s="10">
        <v>5</v>
      </c>
      <c r="P25" s="10">
        <v>1</v>
      </c>
    </row>
    <row r="26" spans="1:16" x14ac:dyDescent="0.25">
      <c r="B26" s="4"/>
      <c r="D26" s="109">
        <v>22</v>
      </c>
      <c r="E26" s="10">
        <v>84</v>
      </c>
      <c r="F26" s="10">
        <v>4</v>
      </c>
      <c r="G26" s="10">
        <v>1</v>
      </c>
      <c r="H26" s="5" t="str">
        <f t="shared" si="0"/>
        <v>det_84</v>
      </c>
      <c r="I26" s="5" t="str">
        <f t="shared" si="1"/>
        <v>I:\Transportation Performance\Data\ADOT FMS\1. Raw Data\2018\data files\test\det_84.txt</v>
      </c>
      <c r="J26" s="5" t="str">
        <f t="shared" si="2"/>
        <v>I:\Transportation Performance\Data\ADOT FMS\1. Raw Data\2018\data files\test\det_84.xlsx</v>
      </c>
      <c r="K26" s="5"/>
      <c r="M26" s="114" t="s">
        <v>59</v>
      </c>
      <c r="N26" s="10">
        <v>84</v>
      </c>
      <c r="O26" s="10">
        <v>4</v>
      </c>
      <c r="P26" s="10">
        <v>1</v>
      </c>
    </row>
    <row r="27" spans="1:16" x14ac:dyDescent="0.25">
      <c r="D27" s="109">
        <v>23</v>
      </c>
      <c r="E27" s="10">
        <v>78</v>
      </c>
      <c r="F27" s="10">
        <v>4</v>
      </c>
      <c r="G27" s="10">
        <v>1</v>
      </c>
      <c r="H27" s="5" t="str">
        <f t="shared" si="0"/>
        <v>det_78</v>
      </c>
      <c r="I27" s="5" t="str">
        <f t="shared" si="1"/>
        <v>I:\Transportation Performance\Data\ADOT FMS\1. Raw Data\2018\data files\test\det_78.txt</v>
      </c>
      <c r="J27" s="5" t="str">
        <f t="shared" si="2"/>
        <v>I:\Transportation Performance\Data\ADOT FMS\1. Raw Data\2018\data files\test\det_78.xlsx</v>
      </c>
      <c r="K27" s="5"/>
      <c r="M27" s="114" t="s">
        <v>59</v>
      </c>
      <c r="N27" s="10">
        <v>78</v>
      </c>
      <c r="O27" s="10">
        <v>4</v>
      </c>
      <c r="P27" s="10">
        <v>1</v>
      </c>
    </row>
    <row r="28" spans="1:16" x14ac:dyDescent="0.25">
      <c r="D28" s="109">
        <v>24</v>
      </c>
      <c r="E28" s="10">
        <v>137</v>
      </c>
      <c r="F28" s="10">
        <v>3</v>
      </c>
      <c r="G28" s="10">
        <v>1</v>
      </c>
      <c r="H28" s="5" t="str">
        <f t="shared" si="0"/>
        <v>det_137</v>
      </c>
      <c r="I28" s="5" t="str">
        <f t="shared" si="1"/>
        <v>I:\Transportation Performance\Data\ADOT FMS\1. Raw Data\2018\data files\test\det_137.txt</v>
      </c>
      <c r="J28" s="5" t="str">
        <f t="shared" si="2"/>
        <v>I:\Transportation Performance\Data\ADOT FMS\1. Raw Data\2018\data files\test\det_137.xlsx</v>
      </c>
      <c r="K28" s="5"/>
      <c r="M28" s="114" t="s">
        <v>59</v>
      </c>
      <c r="N28" s="10">
        <v>137</v>
      </c>
      <c r="O28" s="10">
        <v>3</v>
      </c>
      <c r="P28" s="10">
        <v>1</v>
      </c>
    </row>
    <row r="29" spans="1:16" x14ac:dyDescent="0.25">
      <c r="A29" s="1"/>
      <c r="C29" s="1"/>
      <c r="D29" s="109">
        <v>25</v>
      </c>
      <c r="E29" s="112">
        <v>89</v>
      </c>
      <c r="F29" s="112">
        <v>3</v>
      </c>
      <c r="G29" s="112">
        <v>1</v>
      </c>
      <c r="H29" s="5" t="str">
        <f t="shared" si="0"/>
        <v>det_89</v>
      </c>
      <c r="I29" s="5" t="str">
        <f t="shared" si="1"/>
        <v>I:\Transportation Performance\Data\ADOT FMS\1. Raw Data\2018\data files\test\det_89.txt</v>
      </c>
      <c r="J29" s="5" t="str">
        <f t="shared" si="2"/>
        <v>I:\Transportation Performance\Data\ADOT FMS\1. Raw Data\2018\data files\test\det_89.xlsx</v>
      </c>
      <c r="K29" s="5"/>
      <c r="M29" s="114" t="s">
        <v>60</v>
      </c>
      <c r="N29" s="10">
        <v>89</v>
      </c>
      <c r="O29" s="10">
        <v>4</v>
      </c>
      <c r="P29" s="10">
        <v>1</v>
      </c>
    </row>
    <row r="30" spans="1:16" x14ac:dyDescent="0.25">
      <c r="A30" s="1"/>
      <c r="C30" s="1"/>
      <c r="D30" s="109">
        <v>26</v>
      </c>
      <c r="E30" s="10">
        <v>149</v>
      </c>
      <c r="F30" s="10">
        <v>3</v>
      </c>
      <c r="G30" s="10">
        <v>1</v>
      </c>
      <c r="H30" s="5" t="str">
        <f t="shared" si="0"/>
        <v>det_149</v>
      </c>
      <c r="I30" s="5" t="str">
        <f t="shared" si="1"/>
        <v>I:\Transportation Performance\Data\ADOT FMS\1. Raw Data\2018\data files\test\det_149.txt</v>
      </c>
      <c r="J30" s="5" t="str">
        <f t="shared" si="2"/>
        <v>I:\Transportation Performance\Data\ADOT FMS\1. Raw Data\2018\data files\test\det_149.xlsx</v>
      </c>
      <c r="K30" s="5"/>
      <c r="M30" s="114" t="s">
        <v>60</v>
      </c>
      <c r="N30" s="10">
        <v>149</v>
      </c>
      <c r="O30" s="10">
        <v>3</v>
      </c>
      <c r="P30" s="10">
        <v>1</v>
      </c>
    </row>
    <row r="31" spans="1:16" x14ac:dyDescent="0.25">
      <c r="A31" s="1"/>
      <c r="C31" s="1"/>
      <c r="D31" s="109">
        <v>27</v>
      </c>
      <c r="E31" s="10">
        <v>93</v>
      </c>
      <c r="F31" s="10">
        <v>3</v>
      </c>
      <c r="G31" s="10">
        <v>1</v>
      </c>
      <c r="H31" s="5" t="str">
        <f t="shared" si="0"/>
        <v>det_93</v>
      </c>
      <c r="I31" s="5" t="str">
        <f t="shared" si="1"/>
        <v>I:\Transportation Performance\Data\ADOT FMS\1. Raw Data\2018\data files\test\det_93.txt</v>
      </c>
      <c r="J31" s="5" t="str">
        <f t="shared" si="2"/>
        <v>I:\Transportation Performance\Data\ADOT FMS\1. Raw Data\2018\data files\test\det_93.xlsx</v>
      </c>
      <c r="K31" s="5"/>
      <c r="M31" s="114" t="s">
        <v>60</v>
      </c>
      <c r="N31" s="10">
        <v>93</v>
      </c>
      <c r="O31" s="10">
        <v>3</v>
      </c>
      <c r="P31" s="10">
        <v>1</v>
      </c>
    </row>
    <row r="32" spans="1:16" x14ac:dyDescent="0.25">
      <c r="A32" s="1"/>
      <c r="C32" s="1"/>
      <c r="D32" s="109">
        <v>28</v>
      </c>
      <c r="E32" s="10">
        <v>40</v>
      </c>
      <c r="F32" s="10">
        <v>5</v>
      </c>
      <c r="G32" s="10">
        <v>1</v>
      </c>
      <c r="H32" s="5" t="str">
        <f t="shared" si="0"/>
        <v>det_40</v>
      </c>
      <c r="I32" s="5" t="str">
        <f t="shared" si="1"/>
        <v>I:\Transportation Performance\Data\ADOT FMS\1. Raw Data\2018\data files\test\det_40.txt</v>
      </c>
      <c r="J32" s="5" t="str">
        <f t="shared" si="2"/>
        <v>I:\Transportation Performance\Data\ADOT FMS\1. Raw Data\2018\data files\test\det_40.xlsx</v>
      </c>
      <c r="K32" s="5"/>
      <c r="M32" s="114" t="s">
        <v>60</v>
      </c>
      <c r="N32" s="10">
        <v>40</v>
      </c>
      <c r="O32" s="10">
        <v>5</v>
      </c>
      <c r="P32" s="10">
        <v>1</v>
      </c>
    </row>
    <row r="33" spans="1:16" x14ac:dyDescent="0.25">
      <c r="A33" s="1"/>
      <c r="C33" s="1"/>
      <c r="D33" s="109">
        <v>29</v>
      </c>
      <c r="E33" s="10">
        <v>46</v>
      </c>
      <c r="F33" s="10">
        <v>5</v>
      </c>
      <c r="G33" s="10">
        <v>1</v>
      </c>
      <c r="H33" s="5" t="str">
        <f t="shared" si="0"/>
        <v>det_46</v>
      </c>
      <c r="I33" s="5" t="str">
        <f t="shared" si="1"/>
        <v>I:\Transportation Performance\Data\ADOT FMS\1. Raw Data\2018\data files\test\det_46.txt</v>
      </c>
      <c r="J33" s="5" t="str">
        <f t="shared" si="2"/>
        <v>I:\Transportation Performance\Data\ADOT FMS\1. Raw Data\2018\data files\test\det_46.xlsx</v>
      </c>
      <c r="K33" s="5"/>
      <c r="M33" s="114" t="s">
        <v>60</v>
      </c>
      <c r="N33" s="10">
        <v>46</v>
      </c>
      <c r="O33" s="10">
        <v>5</v>
      </c>
      <c r="P33" s="10">
        <v>1</v>
      </c>
    </row>
    <row r="34" spans="1:16" x14ac:dyDescent="0.25">
      <c r="A34" s="1"/>
      <c r="C34" s="1"/>
      <c r="D34" s="109">
        <v>30</v>
      </c>
      <c r="E34" s="10">
        <v>50</v>
      </c>
      <c r="F34" s="10">
        <v>4</v>
      </c>
      <c r="G34" s="10">
        <v>1</v>
      </c>
      <c r="H34" s="5" t="str">
        <f t="shared" si="0"/>
        <v>det_50</v>
      </c>
      <c r="I34" s="5" t="str">
        <f t="shared" si="1"/>
        <v>I:\Transportation Performance\Data\ADOT FMS\1. Raw Data\2018\data files\test\det_50.txt</v>
      </c>
      <c r="J34" s="5" t="str">
        <f t="shared" si="2"/>
        <v>I:\Transportation Performance\Data\ADOT FMS\1. Raw Data\2018\data files\test\det_50.xlsx</v>
      </c>
      <c r="K34" s="5"/>
      <c r="M34" s="114" t="s">
        <v>60</v>
      </c>
      <c r="N34" s="10">
        <v>50</v>
      </c>
      <c r="O34" s="10">
        <v>4</v>
      </c>
      <c r="P34" s="10">
        <v>1</v>
      </c>
    </row>
    <row r="35" spans="1:16" x14ac:dyDescent="0.25">
      <c r="A35" s="1"/>
      <c r="C35" s="1"/>
      <c r="D35" s="109">
        <v>31</v>
      </c>
      <c r="E35" s="10">
        <v>55</v>
      </c>
      <c r="F35" s="10">
        <v>5</v>
      </c>
      <c r="G35" s="10">
        <v>1</v>
      </c>
      <c r="H35" s="5" t="str">
        <f t="shared" si="0"/>
        <v>det_55</v>
      </c>
      <c r="I35" s="5" t="str">
        <f t="shared" si="1"/>
        <v>I:\Transportation Performance\Data\ADOT FMS\1. Raw Data\2018\data files\test\det_55.txt</v>
      </c>
      <c r="J35" s="5" t="str">
        <f t="shared" si="2"/>
        <v>I:\Transportation Performance\Data\ADOT FMS\1. Raw Data\2018\data files\test\det_55.xlsx</v>
      </c>
      <c r="K35" s="5"/>
      <c r="M35" s="114" t="s">
        <v>60</v>
      </c>
      <c r="N35" s="10">
        <v>55</v>
      </c>
      <c r="O35" s="10">
        <v>5</v>
      </c>
      <c r="P35" s="10">
        <v>1</v>
      </c>
    </row>
    <row r="36" spans="1:16" x14ac:dyDescent="0.25">
      <c r="A36" s="1"/>
      <c r="D36" s="109">
        <v>32</v>
      </c>
      <c r="E36" s="10">
        <v>59</v>
      </c>
      <c r="F36" s="10">
        <v>4</v>
      </c>
      <c r="G36" s="10">
        <v>1</v>
      </c>
      <c r="H36" s="5" t="str">
        <f t="shared" si="0"/>
        <v>det_59</v>
      </c>
      <c r="I36" s="5" t="str">
        <f t="shared" si="1"/>
        <v>I:\Transportation Performance\Data\ADOT FMS\1. Raw Data\2018\data files\test\det_59.txt</v>
      </c>
      <c r="J36" s="5" t="str">
        <f t="shared" si="2"/>
        <v>I:\Transportation Performance\Data\ADOT FMS\1. Raw Data\2018\data files\test\det_59.xlsx</v>
      </c>
      <c r="K36" s="5"/>
      <c r="M36" s="114" t="s">
        <v>60</v>
      </c>
      <c r="N36" s="10">
        <v>59</v>
      </c>
      <c r="O36" s="10">
        <v>4</v>
      </c>
      <c r="P36" s="10">
        <v>1</v>
      </c>
    </row>
    <row r="37" spans="1:16" x14ac:dyDescent="0.25">
      <c r="D37" s="109">
        <v>33</v>
      </c>
      <c r="E37" s="10">
        <v>64</v>
      </c>
      <c r="F37" s="10">
        <v>5</v>
      </c>
      <c r="G37" s="10">
        <v>1</v>
      </c>
      <c r="H37" s="5" t="str">
        <f t="shared" si="0"/>
        <v>det_64</v>
      </c>
      <c r="I37" s="5" t="str">
        <f t="shared" si="1"/>
        <v>I:\Transportation Performance\Data\ADOT FMS\1. Raw Data\2018\data files\test\det_64.txt</v>
      </c>
      <c r="J37" s="5" t="str">
        <f t="shared" si="2"/>
        <v>I:\Transportation Performance\Data\ADOT FMS\1. Raw Data\2018\data files\test\det_64.xlsx</v>
      </c>
      <c r="K37" s="5"/>
      <c r="M37" s="114" t="s">
        <v>60</v>
      </c>
      <c r="N37" s="10">
        <v>64</v>
      </c>
      <c r="O37" s="10">
        <v>5</v>
      </c>
      <c r="P37" s="10">
        <v>1</v>
      </c>
    </row>
    <row r="38" spans="1:16" x14ac:dyDescent="0.25">
      <c r="D38" s="109">
        <v>34</v>
      </c>
      <c r="E38" s="10">
        <v>393</v>
      </c>
      <c r="F38" s="10">
        <v>3</v>
      </c>
      <c r="G38" s="10">
        <v>1</v>
      </c>
      <c r="H38" s="5" t="str">
        <f t="shared" si="0"/>
        <v>det_393</v>
      </c>
      <c r="I38" s="5" t="str">
        <f t="shared" si="1"/>
        <v>I:\Transportation Performance\Data\ADOT FMS\1. Raw Data\2018\data files\test\det_393.txt</v>
      </c>
      <c r="J38" s="5" t="str">
        <f t="shared" si="2"/>
        <v>I:\Transportation Performance\Data\ADOT FMS\1. Raw Data\2018\data files\test\det_393.xlsx</v>
      </c>
      <c r="K38" s="5"/>
      <c r="M38" s="114" t="s">
        <v>60</v>
      </c>
      <c r="N38" s="10">
        <v>393</v>
      </c>
      <c r="O38" s="10">
        <v>3</v>
      </c>
      <c r="P38" s="10">
        <v>1</v>
      </c>
    </row>
    <row r="39" spans="1:16" x14ac:dyDescent="0.25">
      <c r="D39" s="109">
        <v>35</v>
      </c>
      <c r="E39" s="10">
        <v>425</v>
      </c>
      <c r="F39" s="10">
        <v>3</v>
      </c>
      <c r="G39" s="10">
        <v>1</v>
      </c>
      <c r="H39" s="5" t="str">
        <f t="shared" si="0"/>
        <v>det_425</v>
      </c>
      <c r="I39" s="5" t="str">
        <f t="shared" si="1"/>
        <v>I:\Transportation Performance\Data\ADOT FMS\1. Raw Data\2018\data files\test\det_425.txt</v>
      </c>
      <c r="J39" s="5" t="str">
        <f t="shared" si="2"/>
        <v>I:\Transportation Performance\Data\ADOT FMS\1. Raw Data\2018\data files\test\det_425.xlsx</v>
      </c>
      <c r="K39" s="5"/>
      <c r="M39" s="114" t="s">
        <v>60</v>
      </c>
      <c r="N39" s="10">
        <v>425</v>
      </c>
      <c r="O39" s="10">
        <v>3</v>
      </c>
      <c r="P39" s="10">
        <v>1</v>
      </c>
    </row>
    <row r="40" spans="1:16" x14ac:dyDescent="0.25">
      <c r="D40" s="109">
        <v>36</v>
      </c>
      <c r="E40" s="10">
        <v>66</v>
      </c>
      <c r="F40" s="10">
        <v>6</v>
      </c>
      <c r="G40" s="10">
        <v>1</v>
      </c>
      <c r="H40" s="5" t="str">
        <f t="shared" si="0"/>
        <v>det_66</v>
      </c>
      <c r="I40" s="5" t="str">
        <f t="shared" si="1"/>
        <v>I:\Transportation Performance\Data\ADOT FMS\1. Raw Data\2018\data files\test\det_66.txt</v>
      </c>
      <c r="J40" s="5" t="str">
        <f t="shared" si="2"/>
        <v>I:\Transportation Performance\Data\ADOT FMS\1. Raw Data\2018\data files\test\det_66.xlsx</v>
      </c>
      <c r="K40" s="5"/>
      <c r="M40" s="114" t="s">
        <v>60</v>
      </c>
      <c r="N40" s="10">
        <v>66</v>
      </c>
      <c r="O40" s="10">
        <v>6</v>
      </c>
      <c r="P40" s="10">
        <v>1</v>
      </c>
    </row>
    <row r="41" spans="1:16" x14ac:dyDescent="0.25">
      <c r="D41" s="109">
        <v>37</v>
      </c>
      <c r="E41" s="10">
        <v>63</v>
      </c>
      <c r="F41" s="10">
        <v>4</v>
      </c>
      <c r="G41" s="10">
        <v>1</v>
      </c>
      <c r="H41" s="5" t="str">
        <f t="shared" si="0"/>
        <v>det_63</v>
      </c>
      <c r="I41" s="5" t="str">
        <f t="shared" si="1"/>
        <v>I:\Transportation Performance\Data\ADOT FMS\1. Raw Data\2018\data files\test\det_63.txt</v>
      </c>
      <c r="J41" s="5" t="str">
        <f t="shared" si="2"/>
        <v>I:\Transportation Performance\Data\ADOT FMS\1. Raw Data\2018\data files\test\det_63.xlsx</v>
      </c>
      <c r="K41" s="5"/>
      <c r="M41" s="114" t="s">
        <v>60</v>
      </c>
      <c r="N41" s="10">
        <v>63</v>
      </c>
      <c r="O41" s="10">
        <v>4</v>
      </c>
      <c r="P41" s="10">
        <v>1</v>
      </c>
    </row>
    <row r="42" spans="1:16" x14ac:dyDescent="0.25">
      <c r="D42" s="109">
        <v>38</v>
      </c>
      <c r="E42" s="10">
        <v>60</v>
      </c>
      <c r="F42" s="10">
        <v>5</v>
      </c>
      <c r="G42" s="10">
        <v>1</v>
      </c>
      <c r="H42" s="5" t="str">
        <f t="shared" si="0"/>
        <v>det_60</v>
      </c>
      <c r="I42" s="5" t="str">
        <f t="shared" si="1"/>
        <v>I:\Transportation Performance\Data\ADOT FMS\1. Raw Data\2018\data files\test\det_60.txt</v>
      </c>
      <c r="J42" s="5" t="str">
        <f t="shared" si="2"/>
        <v>I:\Transportation Performance\Data\ADOT FMS\1. Raw Data\2018\data files\test\det_60.xlsx</v>
      </c>
      <c r="K42" s="5"/>
      <c r="M42" s="114" t="s">
        <v>60</v>
      </c>
      <c r="N42" s="10">
        <v>60</v>
      </c>
      <c r="O42" s="10">
        <v>5</v>
      </c>
      <c r="P42" s="10">
        <v>1</v>
      </c>
    </row>
    <row r="43" spans="1:16" x14ac:dyDescent="0.25">
      <c r="D43" s="109">
        <v>39</v>
      </c>
      <c r="E43" s="10">
        <v>53</v>
      </c>
      <c r="F43" s="10">
        <v>4</v>
      </c>
      <c r="G43" s="10">
        <v>1</v>
      </c>
      <c r="H43" s="5" t="str">
        <f t="shared" si="0"/>
        <v>det_53</v>
      </c>
      <c r="I43" s="5" t="str">
        <f t="shared" si="1"/>
        <v>I:\Transportation Performance\Data\ADOT FMS\1. Raw Data\2018\data files\test\det_53.txt</v>
      </c>
      <c r="J43" s="5" t="str">
        <f t="shared" si="2"/>
        <v>I:\Transportation Performance\Data\ADOT FMS\1. Raw Data\2018\data files\test\det_53.xlsx</v>
      </c>
      <c r="K43" s="5"/>
      <c r="M43" s="114" t="s">
        <v>60</v>
      </c>
      <c r="N43" s="10">
        <v>53</v>
      </c>
      <c r="O43" s="10">
        <v>4</v>
      </c>
      <c r="P43" s="10">
        <v>1</v>
      </c>
    </row>
    <row r="44" spans="1:16" x14ac:dyDescent="0.25">
      <c r="D44" s="109">
        <v>40</v>
      </c>
      <c r="E44" s="10">
        <v>47</v>
      </c>
      <c r="F44" s="10">
        <v>5</v>
      </c>
      <c r="G44" s="10">
        <v>1</v>
      </c>
      <c r="H44" s="5" t="str">
        <f t="shared" si="0"/>
        <v>det_47</v>
      </c>
      <c r="I44" s="5" t="str">
        <f t="shared" si="1"/>
        <v>I:\Transportation Performance\Data\ADOT FMS\1. Raw Data\2018\data files\test\det_47.txt</v>
      </c>
      <c r="J44" s="5" t="str">
        <f t="shared" si="2"/>
        <v>I:\Transportation Performance\Data\ADOT FMS\1. Raw Data\2018\data files\test\det_47.xlsx</v>
      </c>
      <c r="K44" s="5"/>
      <c r="M44" s="114" t="s">
        <v>60</v>
      </c>
      <c r="N44" s="10">
        <v>47</v>
      </c>
      <c r="O44" s="10">
        <v>5</v>
      </c>
      <c r="P44" s="10">
        <v>1</v>
      </c>
    </row>
    <row r="45" spans="1:16" x14ac:dyDescent="0.25">
      <c r="D45" s="109">
        <v>41</v>
      </c>
      <c r="E45" s="115">
        <v>41</v>
      </c>
      <c r="F45" s="115">
        <v>6</v>
      </c>
      <c r="G45" s="115">
        <v>1</v>
      </c>
      <c r="H45" s="5" t="str">
        <f t="shared" si="0"/>
        <v>det_41</v>
      </c>
      <c r="I45" s="5" t="str">
        <f t="shared" si="1"/>
        <v>I:\Transportation Performance\Data\ADOT FMS\1. Raw Data\2018\data files\test\det_41.txt</v>
      </c>
      <c r="J45" s="5" t="str">
        <f t="shared" si="2"/>
        <v>I:\Transportation Performance\Data\ADOT FMS\1. Raw Data\2018\data files\test\det_41.xlsx</v>
      </c>
      <c r="K45" s="5"/>
      <c r="M45" s="114" t="s">
        <v>60</v>
      </c>
      <c r="N45" s="115">
        <v>41</v>
      </c>
      <c r="O45" s="115">
        <v>6</v>
      </c>
      <c r="P45" s="115">
        <v>1</v>
      </c>
    </row>
    <row r="46" spans="1:16" x14ac:dyDescent="0.25">
      <c r="D46" s="109">
        <v>42</v>
      </c>
      <c r="E46" s="10">
        <v>144</v>
      </c>
      <c r="F46" s="10">
        <v>3</v>
      </c>
      <c r="G46" s="10">
        <v>1</v>
      </c>
      <c r="H46" s="5" t="str">
        <f t="shared" si="0"/>
        <v>det_144</v>
      </c>
      <c r="I46" s="5" t="str">
        <f t="shared" si="1"/>
        <v>I:\Transportation Performance\Data\ADOT FMS\1. Raw Data\2018\data files\test\det_144.txt</v>
      </c>
      <c r="J46" s="5" t="str">
        <f t="shared" si="2"/>
        <v>I:\Transportation Performance\Data\ADOT FMS\1. Raw Data\2018\data files\test\det_144.xlsx</v>
      </c>
      <c r="K46" s="5"/>
      <c r="M46" s="114" t="s">
        <v>60</v>
      </c>
      <c r="N46" s="10">
        <v>144</v>
      </c>
      <c r="O46" s="10">
        <v>3</v>
      </c>
      <c r="P46" s="10">
        <v>1</v>
      </c>
    </row>
    <row r="47" spans="1:16" x14ac:dyDescent="0.25">
      <c r="D47" s="109">
        <v>43</v>
      </c>
      <c r="E47" s="10">
        <v>92</v>
      </c>
      <c r="F47" s="10">
        <v>3</v>
      </c>
      <c r="G47" s="10">
        <v>1</v>
      </c>
      <c r="H47" s="5" t="str">
        <f t="shared" si="0"/>
        <v>det_92</v>
      </c>
      <c r="I47" s="5" t="str">
        <f t="shared" si="1"/>
        <v>I:\Transportation Performance\Data\ADOT FMS\1. Raw Data\2018\data files\test\det_92.txt</v>
      </c>
      <c r="J47" s="5" t="str">
        <f t="shared" si="2"/>
        <v>I:\Transportation Performance\Data\ADOT FMS\1. Raw Data\2018\data files\test\det_92.xlsx</v>
      </c>
      <c r="K47" s="5"/>
      <c r="M47" s="114" t="s">
        <v>60</v>
      </c>
      <c r="N47" s="10">
        <v>92</v>
      </c>
      <c r="O47" s="10">
        <v>3</v>
      </c>
      <c r="P47" s="10">
        <v>1</v>
      </c>
    </row>
    <row r="48" spans="1:16" x14ac:dyDescent="0.25">
      <c r="D48" s="109">
        <v>44</v>
      </c>
      <c r="E48" s="10">
        <v>141</v>
      </c>
      <c r="F48" s="10">
        <v>4</v>
      </c>
      <c r="G48" s="10">
        <v>1</v>
      </c>
      <c r="H48" s="5" t="str">
        <f t="shared" si="0"/>
        <v>det_141</v>
      </c>
      <c r="I48" s="5" t="str">
        <f t="shared" si="1"/>
        <v>I:\Transportation Performance\Data\ADOT FMS\1. Raw Data\2018\data files\test\det_141.txt</v>
      </c>
      <c r="J48" s="5" t="str">
        <f t="shared" si="2"/>
        <v>I:\Transportation Performance\Data\ADOT FMS\1. Raw Data\2018\data files\test\det_141.xlsx</v>
      </c>
      <c r="K48" s="5"/>
      <c r="M48" s="114" t="s">
        <v>60</v>
      </c>
      <c r="N48" s="10">
        <v>141</v>
      </c>
      <c r="O48" s="10">
        <v>4</v>
      </c>
      <c r="P48" s="10">
        <v>1</v>
      </c>
    </row>
    <row r="49" spans="4:16" x14ac:dyDescent="0.25">
      <c r="D49" s="109">
        <v>45</v>
      </c>
      <c r="E49" s="10">
        <v>396</v>
      </c>
      <c r="F49" s="10">
        <v>3</v>
      </c>
      <c r="G49" s="10">
        <v>1</v>
      </c>
      <c r="H49" s="5" t="str">
        <f t="shared" si="0"/>
        <v>det_396</v>
      </c>
      <c r="I49" s="5" t="str">
        <f t="shared" si="1"/>
        <v>I:\Transportation Performance\Data\ADOT FMS\1. Raw Data\2018\data files\test\det_396.txt</v>
      </c>
      <c r="J49" s="5" t="str">
        <f t="shared" si="2"/>
        <v>I:\Transportation Performance\Data\ADOT FMS\1. Raw Data\2018\data files\test\det_396.xlsx</v>
      </c>
      <c r="K49" s="5"/>
      <c r="M49" s="114" t="s">
        <v>61</v>
      </c>
      <c r="N49" s="10">
        <v>396</v>
      </c>
      <c r="O49" s="10">
        <v>3</v>
      </c>
      <c r="P49" s="10">
        <v>1</v>
      </c>
    </row>
    <row r="50" spans="4:16" x14ac:dyDescent="0.25">
      <c r="D50" s="109">
        <v>46</v>
      </c>
      <c r="E50" s="10">
        <v>397</v>
      </c>
      <c r="F50" s="10">
        <v>4</v>
      </c>
      <c r="G50" s="10">
        <v>1</v>
      </c>
      <c r="H50" s="5" t="str">
        <f t="shared" si="0"/>
        <v>det_397</v>
      </c>
      <c r="I50" s="5" t="str">
        <f t="shared" si="1"/>
        <v>I:\Transportation Performance\Data\ADOT FMS\1. Raw Data\2018\data files\test\det_397.txt</v>
      </c>
      <c r="J50" s="5" t="str">
        <f t="shared" si="2"/>
        <v>I:\Transportation Performance\Data\ADOT FMS\1. Raw Data\2018\data files\test\det_397.xlsx</v>
      </c>
      <c r="K50" s="5"/>
      <c r="M50" s="114" t="s">
        <v>61</v>
      </c>
      <c r="N50" s="10">
        <v>397</v>
      </c>
      <c r="O50" s="10">
        <v>4</v>
      </c>
      <c r="P50" s="10">
        <v>1</v>
      </c>
    </row>
    <row r="51" spans="4:16" x14ac:dyDescent="0.25">
      <c r="D51" s="109">
        <v>47</v>
      </c>
      <c r="E51" s="10">
        <v>399</v>
      </c>
      <c r="F51" s="10">
        <v>4</v>
      </c>
      <c r="G51" s="10">
        <v>1</v>
      </c>
      <c r="H51" s="5" t="str">
        <f t="shared" si="0"/>
        <v>det_399</v>
      </c>
      <c r="I51" s="5" t="str">
        <f t="shared" si="1"/>
        <v>I:\Transportation Performance\Data\ADOT FMS\1. Raw Data\2018\data files\test\det_399.txt</v>
      </c>
      <c r="J51" s="5" t="str">
        <f t="shared" si="2"/>
        <v>I:\Transportation Performance\Data\ADOT FMS\1. Raw Data\2018\data files\test\det_399.xlsx</v>
      </c>
      <c r="K51" s="5"/>
      <c r="M51" s="114" t="s">
        <v>61</v>
      </c>
      <c r="N51" s="10">
        <v>399</v>
      </c>
      <c r="O51" s="10">
        <v>4</v>
      </c>
      <c r="P51" s="10">
        <v>1</v>
      </c>
    </row>
    <row r="52" spans="4:16" x14ac:dyDescent="0.25">
      <c r="D52" s="109">
        <v>48</v>
      </c>
      <c r="E52" s="10">
        <v>401</v>
      </c>
      <c r="F52" s="10">
        <v>4</v>
      </c>
      <c r="G52" s="10">
        <v>1</v>
      </c>
      <c r="H52" s="5" t="str">
        <f t="shared" si="0"/>
        <v>det_401</v>
      </c>
      <c r="I52" s="5" t="str">
        <f t="shared" si="1"/>
        <v>I:\Transportation Performance\Data\ADOT FMS\1. Raw Data\2018\data files\test\det_401.txt</v>
      </c>
      <c r="J52" s="5" t="str">
        <f t="shared" si="2"/>
        <v>I:\Transportation Performance\Data\ADOT FMS\1. Raw Data\2018\data files\test\det_401.xlsx</v>
      </c>
      <c r="K52" s="5"/>
      <c r="M52" s="114" t="s">
        <v>61</v>
      </c>
      <c r="N52" s="10">
        <v>401</v>
      </c>
      <c r="O52" s="10">
        <v>4</v>
      </c>
      <c r="P52" s="10">
        <v>1</v>
      </c>
    </row>
    <row r="53" spans="4:16" x14ac:dyDescent="0.25">
      <c r="D53" s="109">
        <v>49</v>
      </c>
      <c r="E53" s="10">
        <v>403</v>
      </c>
      <c r="F53" s="10">
        <v>3</v>
      </c>
      <c r="G53" s="10">
        <v>1</v>
      </c>
      <c r="H53" s="5" t="str">
        <f t="shared" si="0"/>
        <v>det_403</v>
      </c>
      <c r="I53" s="5" t="str">
        <f t="shared" si="1"/>
        <v>I:\Transportation Performance\Data\ADOT FMS\1. Raw Data\2018\data files\test\det_403.txt</v>
      </c>
      <c r="J53" s="5" t="str">
        <f t="shared" si="2"/>
        <v>I:\Transportation Performance\Data\ADOT FMS\1. Raw Data\2018\data files\test\det_403.xlsx</v>
      </c>
      <c r="K53" s="5"/>
      <c r="M53" s="114" t="s">
        <v>61</v>
      </c>
      <c r="N53" s="10">
        <v>403</v>
      </c>
      <c r="O53" s="10">
        <v>3</v>
      </c>
      <c r="P53" s="10">
        <v>1</v>
      </c>
    </row>
    <row r="54" spans="4:16" x14ac:dyDescent="0.25">
      <c r="D54" s="109">
        <v>50</v>
      </c>
      <c r="E54" s="10">
        <v>406</v>
      </c>
      <c r="F54" s="10">
        <v>3</v>
      </c>
      <c r="G54" s="10">
        <v>1</v>
      </c>
      <c r="H54" s="5" t="str">
        <f t="shared" si="0"/>
        <v>det_406</v>
      </c>
      <c r="I54" s="5" t="str">
        <f t="shared" si="1"/>
        <v>I:\Transportation Performance\Data\ADOT FMS\1. Raw Data\2018\data files\test\det_406.txt</v>
      </c>
      <c r="J54" s="5" t="str">
        <f t="shared" si="2"/>
        <v>I:\Transportation Performance\Data\ADOT FMS\1. Raw Data\2018\data files\test\det_406.xlsx</v>
      </c>
      <c r="K54" s="5"/>
      <c r="M54" s="114" t="s">
        <v>61</v>
      </c>
      <c r="N54" s="10">
        <v>406</v>
      </c>
      <c r="O54" s="10">
        <v>3</v>
      </c>
      <c r="P54" s="10">
        <v>1</v>
      </c>
    </row>
    <row r="55" spans="4:16" x14ac:dyDescent="0.25">
      <c r="D55" s="109">
        <v>51</v>
      </c>
      <c r="E55" s="10">
        <v>409</v>
      </c>
      <c r="F55" s="10">
        <v>5</v>
      </c>
      <c r="G55" s="10">
        <v>1</v>
      </c>
      <c r="H55" s="5" t="str">
        <f t="shared" si="0"/>
        <v>det_409</v>
      </c>
      <c r="I55" s="5" t="str">
        <f t="shared" si="1"/>
        <v>I:\Transportation Performance\Data\ADOT FMS\1. Raw Data\2018\data files\test\det_409.txt</v>
      </c>
      <c r="J55" s="5" t="str">
        <f t="shared" si="2"/>
        <v>I:\Transportation Performance\Data\ADOT FMS\1. Raw Data\2018\data files\test\det_409.xlsx</v>
      </c>
      <c r="K55" s="5"/>
      <c r="M55" s="114" t="s">
        <v>61</v>
      </c>
      <c r="N55" s="10">
        <v>409</v>
      </c>
      <c r="O55" s="10">
        <v>5</v>
      </c>
      <c r="P55" s="10">
        <v>1</v>
      </c>
    </row>
    <row r="56" spans="4:16" x14ac:dyDescent="0.25">
      <c r="D56" s="109">
        <v>52</v>
      </c>
      <c r="E56" s="10">
        <v>410</v>
      </c>
      <c r="F56" s="10">
        <v>2</v>
      </c>
      <c r="G56" s="10">
        <v>0</v>
      </c>
      <c r="H56" s="5" t="str">
        <f t="shared" si="0"/>
        <v>det_410</v>
      </c>
      <c r="I56" s="5" t="str">
        <f t="shared" si="1"/>
        <v>I:\Transportation Performance\Data\ADOT FMS\1. Raw Data\2018\data files\test\det_410.txt</v>
      </c>
      <c r="J56" s="5" t="str">
        <f t="shared" si="2"/>
        <v>I:\Transportation Performance\Data\ADOT FMS\1. Raw Data\2018\data files\test\det_410.xlsx</v>
      </c>
      <c r="K56" s="5"/>
      <c r="M56" s="114" t="s">
        <v>61</v>
      </c>
      <c r="N56" s="10">
        <v>410</v>
      </c>
      <c r="O56" s="10">
        <v>2</v>
      </c>
      <c r="P56" s="10">
        <v>0</v>
      </c>
    </row>
    <row r="57" spans="4:16" x14ac:dyDescent="0.25">
      <c r="D57" s="109">
        <v>53</v>
      </c>
      <c r="E57" s="10">
        <v>411</v>
      </c>
      <c r="F57" s="10">
        <v>3</v>
      </c>
      <c r="G57" s="10">
        <v>1</v>
      </c>
      <c r="H57" s="5" t="str">
        <f t="shared" si="0"/>
        <v>det_411</v>
      </c>
      <c r="I57" s="5" t="str">
        <f t="shared" si="1"/>
        <v>I:\Transportation Performance\Data\ADOT FMS\1. Raw Data\2018\data files\test\det_411.txt</v>
      </c>
      <c r="J57" s="5" t="str">
        <f t="shared" si="2"/>
        <v>I:\Transportation Performance\Data\ADOT FMS\1. Raw Data\2018\data files\test\det_411.xlsx</v>
      </c>
      <c r="K57" s="5"/>
      <c r="M57" s="114" t="s">
        <v>61</v>
      </c>
      <c r="N57" s="10">
        <v>411</v>
      </c>
      <c r="O57" s="10">
        <v>3</v>
      </c>
      <c r="P57" s="10">
        <v>1</v>
      </c>
    </row>
    <row r="58" spans="4:16" x14ac:dyDescent="0.25">
      <c r="D58" s="109">
        <v>54</v>
      </c>
      <c r="E58" s="10">
        <v>414</v>
      </c>
      <c r="F58" s="10">
        <v>3</v>
      </c>
      <c r="G58" s="10">
        <v>1</v>
      </c>
      <c r="H58" s="5" t="str">
        <f t="shared" si="0"/>
        <v>det_414</v>
      </c>
      <c r="I58" s="5" t="str">
        <f t="shared" si="1"/>
        <v>I:\Transportation Performance\Data\ADOT FMS\1. Raw Data\2018\data files\test\det_414.txt</v>
      </c>
      <c r="J58" s="5" t="str">
        <f t="shared" si="2"/>
        <v>I:\Transportation Performance\Data\ADOT FMS\1. Raw Data\2018\data files\test\det_414.xlsx</v>
      </c>
      <c r="K58" s="5"/>
      <c r="M58" s="114" t="s">
        <v>61</v>
      </c>
      <c r="N58" s="10">
        <v>414</v>
      </c>
      <c r="O58" s="10">
        <v>3</v>
      </c>
      <c r="P58" s="10">
        <v>1</v>
      </c>
    </row>
    <row r="59" spans="4:16" x14ac:dyDescent="0.25">
      <c r="D59" s="109">
        <v>55</v>
      </c>
      <c r="E59" s="10">
        <v>417</v>
      </c>
      <c r="F59" s="10">
        <v>3</v>
      </c>
      <c r="G59" s="10">
        <v>1</v>
      </c>
      <c r="H59" s="5" t="str">
        <f t="shared" si="0"/>
        <v>det_417</v>
      </c>
      <c r="I59" s="5" t="str">
        <f t="shared" si="1"/>
        <v>I:\Transportation Performance\Data\ADOT FMS\1. Raw Data\2018\data files\test\det_417.txt</v>
      </c>
      <c r="J59" s="5" t="str">
        <f t="shared" si="2"/>
        <v>I:\Transportation Performance\Data\ADOT FMS\1. Raw Data\2018\data files\test\det_417.xlsx</v>
      </c>
      <c r="K59" s="5"/>
      <c r="M59" s="114" t="s">
        <v>61</v>
      </c>
      <c r="N59" s="10">
        <v>417</v>
      </c>
      <c r="O59" s="10">
        <v>3</v>
      </c>
      <c r="P59" s="10">
        <v>1</v>
      </c>
    </row>
    <row r="60" spans="4:16" x14ac:dyDescent="0.25">
      <c r="D60" s="109">
        <v>56</v>
      </c>
      <c r="E60" s="10">
        <v>420</v>
      </c>
      <c r="F60" s="10">
        <v>4</v>
      </c>
      <c r="G60" s="10">
        <v>1</v>
      </c>
      <c r="H60" s="5" t="str">
        <f t="shared" si="0"/>
        <v>det_420</v>
      </c>
      <c r="I60" s="5" t="str">
        <f t="shared" si="1"/>
        <v>I:\Transportation Performance\Data\ADOT FMS\1. Raw Data\2018\data files\test\det_420.txt</v>
      </c>
      <c r="J60" s="5" t="str">
        <f t="shared" si="2"/>
        <v>I:\Transportation Performance\Data\ADOT FMS\1. Raw Data\2018\data files\test\det_420.xlsx</v>
      </c>
      <c r="K60" s="5"/>
      <c r="M60" s="114" t="s">
        <v>61</v>
      </c>
      <c r="N60" s="10">
        <v>420</v>
      </c>
      <c r="O60" s="10">
        <v>4</v>
      </c>
      <c r="P60" s="10">
        <v>1</v>
      </c>
    </row>
    <row r="61" spans="4:16" x14ac:dyDescent="0.25">
      <c r="D61" s="109">
        <v>57</v>
      </c>
      <c r="E61" s="116">
        <v>423</v>
      </c>
      <c r="F61" s="116">
        <v>3</v>
      </c>
      <c r="G61" s="116">
        <v>1</v>
      </c>
      <c r="H61" s="5" t="str">
        <f t="shared" si="0"/>
        <v>det_423</v>
      </c>
      <c r="I61" s="5" t="str">
        <f t="shared" si="1"/>
        <v>I:\Transportation Performance\Data\ADOT FMS\1. Raw Data\2018\data files\test\det_423.txt</v>
      </c>
      <c r="J61" s="5" t="str">
        <f t="shared" si="2"/>
        <v>I:\Transportation Performance\Data\ADOT FMS\1. Raw Data\2018\data files\test\det_423.xlsx</v>
      </c>
      <c r="K61" s="5"/>
      <c r="M61" s="114" t="s">
        <v>61</v>
      </c>
      <c r="N61" s="115">
        <v>423</v>
      </c>
      <c r="O61" s="115">
        <v>3</v>
      </c>
      <c r="P61" s="115">
        <v>1</v>
      </c>
    </row>
    <row r="62" spans="4:16" x14ac:dyDescent="0.25">
      <c r="D62" s="109">
        <v>58</v>
      </c>
      <c r="E62" s="10">
        <v>39</v>
      </c>
      <c r="F62" s="10">
        <v>3</v>
      </c>
      <c r="G62" s="10">
        <v>0</v>
      </c>
      <c r="H62" s="5" t="str">
        <f t="shared" si="0"/>
        <v>det_39</v>
      </c>
      <c r="I62" s="5" t="str">
        <f t="shared" si="1"/>
        <v>I:\Transportation Performance\Data\ADOT FMS\1. Raw Data\2018\data files\test\det_39.txt</v>
      </c>
      <c r="J62" s="5" t="str">
        <f t="shared" si="2"/>
        <v>I:\Transportation Performance\Data\ADOT FMS\1. Raw Data\2018\data files\test\det_39.xlsx</v>
      </c>
      <c r="K62" s="5"/>
      <c r="M62" s="114" t="s">
        <v>62</v>
      </c>
      <c r="N62" s="10">
        <v>39</v>
      </c>
      <c r="O62" s="10">
        <v>3</v>
      </c>
      <c r="P62" s="10">
        <v>0</v>
      </c>
    </row>
    <row r="63" spans="4:16" x14ac:dyDescent="0.25">
      <c r="D63" s="109">
        <v>59</v>
      </c>
      <c r="E63" s="10">
        <v>153</v>
      </c>
      <c r="F63" s="10">
        <v>3</v>
      </c>
      <c r="G63" s="10">
        <v>0</v>
      </c>
      <c r="H63" s="5" t="str">
        <f t="shared" si="0"/>
        <v>det_153</v>
      </c>
      <c r="I63" s="5" t="str">
        <f t="shared" si="1"/>
        <v>I:\Transportation Performance\Data\ADOT FMS\1. Raw Data\2018\data files\test\det_153.txt</v>
      </c>
      <c r="J63" s="5" t="str">
        <f t="shared" si="2"/>
        <v>I:\Transportation Performance\Data\ADOT FMS\1. Raw Data\2018\data files\test\det_153.xlsx</v>
      </c>
      <c r="K63" s="5"/>
      <c r="M63" s="114" t="s">
        <v>62</v>
      </c>
      <c r="N63" s="10">
        <v>153</v>
      </c>
      <c r="O63" s="10">
        <v>3</v>
      </c>
      <c r="P63" s="10">
        <v>0</v>
      </c>
    </row>
    <row r="64" spans="4:16" x14ac:dyDescent="0.25">
      <c r="D64" s="109">
        <v>60</v>
      </c>
      <c r="E64" s="10">
        <v>98</v>
      </c>
      <c r="F64" s="10">
        <v>3</v>
      </c>
      <c r="G64" s="10">
        <v>0</v>
      </c>
      <c r="H64" s="5" t="str">
        <f t="shared" si="0"/>
        <v>det_98</v>
      </c>
      <c r="I64" s="5" t="str">
        <f t="shared" si="1"/>
        <v>I:\Transportation Performance\Data\ADOT FMS\1. Raw Data\2018\data files\test\det_98.txt</v>
      </c>
      <c r="J64" s="5" t="str">
        <f t="shared" si="2"/>
        <v>I:\Transportation Performance\Data\ADOT FMS\1. Raw Data\2018\data files\test\det_98.xlsx</v>
      </c>
      <c r="K64" s="5"/>
      <c r="M64" s="114" t="s">
        <v>62</v>
      </c>
      <c r="N64" s="10">
        <v>98</v>
      </c>
      <c r="O64" s="10">
        <v>3</v>
      </c>
      <c r="P64" s="10">
        <v>0</v>
      </c>
    </row>
    <row r="65" spans="4:16" x14ac:dyDescent="0.25">
      <c r="D65" s="109">
        <v>61</v>
      </c>
      <c r="E65" s="10">
        <v>104</v>
      </c>
      <c r="F65" s="10">
        <v>3</v>
      </c>
      <c r="G65" s="10">
        <v>0</v>
      </c>
      <c r="H65" s="5" t="str">
        <f t="shared" si="0"/>
        <v>det_104</v>
      </c>
      <c r="I65" s="5" t="str">
        <f t="shared" si="1"/>
        <v>I:\Transportation Performance\Data\ADOT FMS\1. Raw Data\2018\data files\test\det_104.txt</v>
      </c>
      <c r="J65" s="5" t="str">
        <f t="shared" si="2"/>
        <v>I:\Transportation Performance\Data\ADOT FMS\1. Raw Data\2018\data files\test\det_104.xlsx</v>
      </c>
      <c r="K65" s="5"/>
      <c r="M65" s="114" t="s">
        <v>62</v>
      </c>
      <c r="N65" s="10">
        <v>104</v>
      </c>
      <c r="O65" s="10">
        <v>3</v>
      </c>
      <c r="P65" s="10">
        <v>0</v>
      </c>
    </row>
    <row r="66" spans="4:16" x14ac:dyDescent="0.25">
      <c r="D66" s="109">
        <v>62</v>
      </c>
      <c r="E66" s="10">
        <v>154</v>
      </c>
      <c r="F66" s="10">
        <v>3</v>
      </c>
      <c r="G66" s="10">
        <v>0</v>
      </c>
      <c r="H66" s="5" t="str">
        <f t="shared" si="0"/>
        <v>det_154</v>
      </c>
      <c r="I66" s="5" t="str">
        <f t="shared" si="1"/>
        <v>I:\Transportation Performance\Data\ADOT FMS\1. Raw Data\2018\data files\test\det_154.txt</v>
      </c>
      <c r="J66" s="5" t="str">
        <f t="shared" si="2"/>
        <v>I:\Transportation Performance\Data\ADOT FMS\1. Raw Data\2018\data files\test\det_154.xlsx</v>
      </c>
      <c r="K66" s="5"/>
      <c r="M66" s="114" t="s">
        <v>62</v>
      </c>
      <c r="N66" s="10">
        <v>154</v>
      </c>
      <c r="O66" s="10">
        <v>3</v>
      </c>
      <c r="P66" s="10">
        <v>0</v>
      </c>
    </row>
    <row r="67" spans="4:16" x14ac:dyDescent="0.25">
      <c r="D67" s="109">
        <v>63</v>
      </c>
      <c r="E67" s="10">
        <v>155</v>
      </c>
      <c r="F67" s="10">
        <v>3</v>
      </c>
      <c r="G67" s="10">
        <v>0</v>
      </c>
      <c r="H67" s="5" t="str">
        <f t="shared" si="0"/>
        <v>det_155</v>
      </c>
      <c r="I67" s="5" t="str">
        <f t="shared" si="1"/>
        <v>I:\Transportation Performance\Data\ADOT FMS\1. Raw Data\2018\data files\test\det_155.txt</v>
      </c>
      <c r="J67" s="5" t="str">
        <f t="shared" si="2"/>
        <v>I:\Transportation Performance\Data\ADOT FMS\1. Raw Data\2018\data files\test\det_155.xlsx</v>
      </c>
      <c r="K67" s="5"/>
      <c r="M67" s="114" t="s">
        <v>62</v>
      </c>
      <c r="N67" s="10">
        <v>155</v>
      </c>
      <c r="O67" s="10">
        <v>3</v>
      </c>
      <c r="P67" s="10">
        <v>0</v>
      </c>
    </row>
    <row r="68" spans="4:16" x14ac:dyDescent="0.25">
      <c r="D68" s="109">
        <v>64</v>
      </c>
      <c r="E68" s="10">
        <v>156</v>
      </c>
      <c r="F68" s="10">
        <v>3</v>
      </c>
      <c r="G68" s="10">
        <v>0</v>
      </c>
      <c r="H68" s="5" t="str">
        <f t="shared" si="0"/>
        <v>det_156</v>
      </c>
      <c r="I68" s="5" t="str">
        <f t="shared" si="1"/>
        <v>I:\Transportation Performance\Data\ADOT FMS\1. Raw Data\2018\data files\test\det_156.txt</v>
      </c>
      <c r="J68" s="5" t="str">
        <f t="shared" si="2"/>
        <v>I:\Transportation Performance\Data\ADOT FMS\1. Raw Data\2018\data files\test\det_156.xlsx</v>
      </c>
      <c r="K68" s="5"/>
      <c r="M68" s="114" t="s">
        <v>62</v>
      </c>
      <c r="N68" s="10">
        <v>156</v>
      </c>
      <c r="O68" s="10">
        <v>3</v>
      </c>
      <c r="P68" s="10">
        <v>0</v>
      </c>
    </row>
    <row r="69" spans="4:16" x14ac:dyDescent="0.25">
      <c r="D69" s="109">
        <v>65</v>
      </c>
      <c r="E69" s="10">
        <v>121</v>
      </c>
      <c r="F69" s="10">
        <v>3</v>
      </c>
      <c r="G69" s="10">
        <v>0</v>
      </c>
      <c r="H69" s="5" t="str">
        <f t="shared" ref="H69:H132" si="3">"det_"&amp;E69&amp;""</f>
        <v>det_121</v>
      </c>
      <c r="I69" s="5" t="str">
        <f t="shared" ref="I69:I132" si="4">$B$5&amp;"\"&amp;H69&amp;".txt"</f>
        <v>I:\Transportation Performance\Data\ADOT FMS\1. Raw Data\2018\data files\test\det_121.txt</v>
      </c>
      <c r="J69" s="5" t="str">
        <f t="shared" ref="J69:J132" si="5">$B$5&amp;"\"&amp;H69&amp;".xlsx"</f>
        <v>I:\Transportation Performance\Data\ADOT FMS\1. Raw Data\2018\data files\test\det_121.xlsx</v>
      </c>
      <c r="K69" s="5"/>
      <c r="M69" s="114" t="s">
        <v>62</v>
      </c>
      <c r="N69" s="10">
        <v>121</v>
      </c>
      <c r="O69" s="10">
        <v>3</v>
      </c>
      <c r="P69" s="10">
        <v>0</v>
      </c>
    </row>
    <row r="70" spans="4:16" x14ac:dyDescent="0.25">
      <c r="D70" s="109">
        <v>66</v>
      </c>
      <c r="E70" s="10">
        <v>123</v>
      </c>
      <c r="F70" s="10">
        <v>3</v>
      </c>
      <c r="G70" s="10">
        <v>0</v>
      </c>
      <c r="H70" s="5" t="str">
        <f t="shared" si="3"/>
        <v>det_123</v>
      </c>
      <c r="I70" s="5" t="str">
        <f t="shared" si="4"/>
        <v>I:\Transportation Performance\Data\ADOT FMS\1. Raw Data\2018\data files\test\det_123.txt</v>
      </c>
      <c r="J70" s="5" t="str">
        <f t="shared" si="5"/>
        <v>I:\Transportation Performance\Data\ADOT FMS\1. Raw Data\2018\data files\test\det_123.xlsx</v>
      </c>
      <c r="K70" s="5"/>
      <c r="M70" s="114" t="s">
        <v>62</v>
      </c>
      <c r="N70" s="10">
        <v>123</v>
      </c>
      <c r="O70" s="10">
        <v>3</v>
      </c>
      <c r="P70" s="10">
        <v>0</v>
      </c>
    </row>
    <row r="71" spans="4:16" x14ac:dyDescent="0.25">
      <c r="D71" s="109">
        <v>67</v>
      </c>
      <c r="E71" s="10">
        <v>122</v>
      </c>
      <c r="F71" s="10">
        <v>3</v>
      </c>
      <c r="G71" s="10">
        <v>0</v>
      </c>
      <c r="H71" s="5" t="str">
        <f t="shared" si="3"/>
        <v>det_122</v>
      </c>
      <c r="I71" s="5" t="str">
        <f t="shared" si="4"/>
        <v>I:\Transportation Performance\Data\ADOT FMS\1. Raw Data\2018\data files\test\det_122.txt</v>
      </c>
      <c r="J71" s="5" t="str">
        <f t="shared" si="5"/>
        <v>I:\Transportation Performance\Data\ADOT FMS\1. Raw Data\2018\data files\test\det_122.xlsx</v>
      </c>
      <c r="K71" s="5"/>
      <c r="M71" s="114" t="s">
        <v>62</v>
      </c>
      <c r="N71" s="10">
        <v>122</v>
      </c>
      <c r="O71" s="10">
        <v>3</v>
      </c>
      <c r="P71" s="10">
        <v>0</v>
      </c>
    </row>
    <row r="72" spans="4:16" x14ac:dyDescent="0.25">
      <c r="D72" s="109">
        <v>68</v>
      </c>
      <c r="E72" s="10">
        <v>118</v>
      </c>
      <c r="F72" s="10">
        <v>3</v>
      </c>
      <c r="G72" s="10">
        <v>0</v>
      </c>
      <c r="H72" s="5" t="str">
        <f t="shared" si="3"/>
        <v>det_118</v>
      </c>
      <c r="I72" s="5" t="str">
        <f t="shared" si="4"/>
        <v>I:\Transportation Performance\Data\ADOT FMS\1. Raw Data\2018\data files\test\det_118.txt</v>
      </c>
      <c r="J72" s="5" t="str">
        <f t="shared" si="5"/>
        <v>I:\Transportation Performance\Data\ADOT FMS\1. Raw Data\2018\data files\test\det_118.xlsx</v>
      </c>
      <c r="K72" s="5"/>
      <c r="M72" s="114" t="s">
        <v>62</v>
      </c>
      <c r="N72" s="10">
        <v>118</v>
      </c>
      <c r="O72" s="10">
        <v>3</v>
      </c>
      <c r="P72" s="10">
        <v>0</v>
      </c>
    </row>
    <row r="73" spans="4:16" x14ac:dyDescent="0.25">
      <c r="D73" s="109">
        <v>69</v>
      </c>
      <c r="E73" s="10">
        <v>114</v>
      </c>
      <c r="F73" s="10">
        <v>3</v>
      </c>
      <c r="G73" s="10">
        <v>0</v>
      </c>
      <c r="H73" s="5" t="str">
        <f t="shared" si="3"/>
        <v>det_114</v>
      </c>
      <c r="I73" s="5" t="str">
        <f t="shared" si="4"/>
        <v>I:\Transportation Performance\Data\ADOT FMS\1. Raw Data\2018\data files\test\det_114.txt</v>
      </c>
      <c r="J73" s="5" t="str">
        <f t="shared" si="5"/>
        <v>I:\Transportation Performance\Data\ADOT FMS\1. Raw Data\2018\data files\test\det_114.xlsx</v>
      </c>
      <c r="K73" s="5"/>
      <c r="M73" s="114" t="s">
        <v>62</v>
      </c>
      <c r="N73" s="10">
        <v>114</v>
      </c>
      <c r="O73" s="10">
        <v>3</v>
      </c>
      <c r="P73" s="10">
        <v>0</v>
      </c>
    </row>
    <row r="74" spans="4:16" x14ac:dyDescent="0.25">
      <c r="D74" s="109">
        <v>70</v>
      </c>
      <c r="E74" s="10">
        <v>108</v>
      </c>
      <c r="F74" s="10">
        <v>3</v>
      </c>
      <c r="G74" s="10">
        <v>0</v>
      </c>
      <c r="H74" s="5" t="str">
        <f t="shared" si="3"/>
        <v>det_108</v>
      </c>
      <c r="I74" s="5" t="str">
        <f t="shared" si="4"/>
        <v>I:\Transportation Performance\Data\ADOT FMS\1. Raw Data\2018\data files\test\det_108.txt</v>
      </c>
      <c r="J74" s="5" t="str">
        <f t="shared" si="5"/>
        <v>I:\Transportation Performance\Data\ADOT FMS\1. Raw Data\2018\data files\test\det_108.xlsx</v>
      </c>
      <c r="K74" s="5"/>
      <c r="M74" s="114" t="s">
        <v>62</v>
      </c>
      <c r="N74" s="10">
        <v>108</v>
      </c>
      <c r="O74" s="10">
        <v>3</v>
      </c>
      <c r="P74" s="10">
        <v>0</v>
      </c>
    </row>
    <row r="75" spans="4:16" x14ac:dyDescent="0.25">
      <c r="D75" s="109">
        <v>71</v>
      </c>
      <c r="E75" s="10">
        <v>103</v>
      </c>
      <c r="F75" s="10">
        <v>3</v>
      </c>
      <c r="G75" s="10">
        <v>0</v>
      </c>
      <c r="H75" s="5" t="str">
        <f t="shared" si="3"/>
        <v>det_103</v>
      </c>
      <c r="I75" s="5" t="str">
        <f t="shared" si="4"/>
        <v>I:\Transportation Performance\Data\ADOT FMS\1. Raw Data\2018\data files\test\det_103.txt</v>
      </c>
      <c r="J75" s="5" t="str">
        <f t="shared" si="5"/>
        <v>I:\Transportation Performance\Data\ADOT FMS\1. Raw Data\2018\data files\test\det_103.xlsx</v>
      </c>
      <c r="K75" s="5"/>
      <c r="M75" s="114" t="s">
        <v>62</v>
      </c>
      <c r="N75" s="10">
        <v>103</v>
      </c>
      <c r="O75" s="10">
        <v>3</v>
      </c>
      <c r="P75" s="10">
        <v>0</v>
      </c>
    </row>
    <row r="76" spans="4:16" x14ac:dyDescent="0.25">
      <c r="D76" s="109">
        <v>72</v>
      </c>
      <c r="E76" s="10">
        <v>97</v>
      </c>
      <c r="F76" s="10">
        <v>3</v>
      </c>
      <c r="G76" s="10">
        <v>0</v>
      </c>
      <c r="H76" s="5" t="str">
        <f t="shared" si="3"/>
        <v>det_97</v>
      </c>
      <c r="I76" s="5" t="str">
        <f t="shared" si="4"/>
        <v>I:\Transportation Performance\Data\ADOT FMS\1. Raw Data\2018\data files\test\det_97.txt</v>
      </c>
      <c r="J76" s="5" t="str">
        <f t="shared" si="5"/>
        <v>I:\Transportation Performance\Data\ADOT FMS\1. Raw Data\2018\data files\test\det_97.xlsx</v>
      </c>
      <c r="K76" s="5"/>
      <c r="M76" s="114" t="s">
        <v>62</v>
      </c>
      <c r="N76" s="10">
        <v>97</v>
      </c>
      <c r="O76" s="10">
        <v>3</v>
      </c>
      <c r="P76" s="10">
        <v>0</v>
      </c>
    </row>
    <row r="77" spans="4:16" x14ac:dyDescent="0.25">
      <c r="D77" s="109">
        <v>73</v>
      </c>
      <c r="E77" s="10">
        <v>36</v>
      </c>
      <c r="F77" s="10">
        <v>3</v>
      </c>
      <c r="G77" s="10">
        <v>0</v>
      </c>
      <c r="H77" s="5" t="str">
        <f t="shared" si="3"/>
        <v>det_36</v>
      </c>
      <c r="I77" s="5" t="str">
        <f t="shared" si="4"/>
        <v>I:\Transportation Performance\Data\ADOT FMS\1. Raw Data\2018\data files\test\det_36.txt</v>
      </c>
      <c r="J77" s="5" t="str">
        <f t="shared" si="5"/>
        <v>I:\Transportation Performance\Data\ADOT FMS\1. Raw Data\2018\data files\test\det_36.xlsx</v>
      </c>
      <c r="K77" s="5"/>
      <c r="M77" s="114" t="s">
        <v>62</v>
      </c>
      <c r="N77" s="10">
        <v>36</v>
      </c>
      <c r="O77" s="10">
        <v>3</v>
      </c>
      <c r="P77" s="10">
        <v>0</v>
      </c>
    </row>
    <row r="78" spans="4:16" x14ac:dyDescent="0.25">
      <c r="D78" s="109">
        <v>74</v>
      </c>
      <c r="E78" s="10">
        <v>161</v>
      </c>
      <c r="F78" s="10">
        <v>2</v>
      </c>
      <c r="G78" s="10">
        <v>0</v>
      </c>
      <c r="H78" s="5" t="str">
        <f t="shared" si="3"/>
        <v>det_161</v>
      </c>
      <c r="I78" s="5" t="str">
        <f t="shared" si="4"/>
        <v>I:\Transportation Performance\Data\ADOT FMS\1. Raw Data\2018\data files\test\det_161.txt</v>
      </c>
      <c r="J78" s="5" t="str">
        <f t="shared" si="5"/>
        <v>I:\Transportation Performance\Data\ADOT FMS\1. Raw Data\2018\data files\test\det_161.xlsx</v>
      </c>
      <c r="K78" s="5"/>
      <c r="M78" s="114" t="s">
        <v>63</v>
      </c>
      <c r="N78" s="10">
        <v>161</v>
      </c>
      <c r="O78" s="10">
        <v>2</v>
      </c>
      <c r="P78" s="10">
        <v>0</v>
      </c>
    </row>
    <row r="79" spans="4:16" x14ac:dyDescent="0.25">
      <c r="D79" s="109">
        <v>75</v>
      </c>
      <c r="E79" s="10">
        <v>162</v>
      </c>
      <c r="F79" s="10">
        <v>4</v>
      </c>
      <c r="G79" s="10">
        <v>1</v>
      </c>
      <c r="H79" s="5" t="str">
        <f t="shared" si="3"/>
        <v>det_162</v>
      </c>
      <c r="I79" s="5" t="str">
        <f t="shared" si="4"/>
        <v>I:\Transportation Performance\Data\ADOT FMS\1. Raw Data\2018\data files\test\det_162.txt</v>
      </c>
      <c r="J79" s="5" t="str">
        <f t="shared" si="5"/>
        <v>I:\Transportation Performance\Data\ADOT FMS\1. Raw Data\2018\data files\test\det_162.xlsx</v>
      </c>
      <c r="K79" s="5"/>
      <c r="M79" s="114" t="s">
        <v>63</v>
      </c>
      <c r="N79" s="10">
        <v>162</v>
      </c>
      <c r="O79" s="10">
        <v>4</v>
      </c>
      <c r="P79" s="10">
        <v>1</v>
      </c>
    </row>
    <row r="80" spans="4:16" x14ac:dyDescent="0.25">
      <c r="D80" s="109">
        <v>76</v>
      </c>
      <c r="E80" s="10">
        <v>337</v>
      </c>
      <c r="F80" s="10">
        <v>3</v>
      </c>
      <c r="G80" s="10">
        <v>1</v>
      </c>
      <c r="H80" s="5" t="str">
        <f t="shared" si="3"/>
        <v>det_337</v>
      </c>
      <c r="I80" s="5" t="str">
        <f t="shared" si="4"/>
        <v>I:\Transportation Performance\Data\ADOT FMS\1. Raw Data\2018\data files\test\det_337.txt</v>
      </c>
      <c r="J80" s="5" t="str">
        <f t="shared" si="5"/>
        <v>I:\Transportation Performance\Data\ADOT FMS\1. Raw Data\2018\data files\test\det_337.xlsx</v>
      </c>
      <c r="K80" s="5"/>
      <c r="M80" s="114" t="s">
        <v>63</v>
      </c>
      <c r="N80" s="10">
        <v>337</v>
      </c>
      <c r="O80" s="10">
        <v>3</v>
      </c>
      <c r="P80" s="10">
        <v>1</v>
      </c>
    </row>
    <row r="81" spans="4:16" x14ac:dyDescent="0.25">
      <c r="D81" s="109">
        <v>77</v>
      </c>
      <c r="E81" s="10">
        <v>340</v>
      </c>
      <c r="F81" s="10">
        <v>3</v>
      </c>
      <c r="G81" s="10">
        <v>1</v>
      </c>
      <c r="H81" s="5" t="str">
        <f t="shared" si="3"/>
        <v>det_340</v>
      </c>
      <c r="I81" s="5" t="str">
        <f t="shared" si="4"/>
        <v>I:\Transportation Performance\Data\ADOT FMS\1. Raw Data\2018\data files\test\det_340.txt</v>
      </c>
      <c r="J81" s="5" t="str">
        <f t="shared" si="5"/>
        <v>I:\Transportation Performance\Data\ADOT FMS\1. Raw Data\2018\data files\test\det_340.xlsx</v>
      </c>
      <c r="K81" s="5"/>
      <c r="M81" s="114" t="s">
        <v>63</v>
      </c>
      <c r="N81" s="10">
        <v>340</v>
      </c>
      <c r="O81" s="10">
        <v>3</v>
      </c>
      <c r="P81" s="10">
        <v>1</v>
      </c>
    </row>
    <row r="82" spans="4:16" x14ac:dyDescent="0.25">
      <c r="D82" s="109">
        <v>78</v>
      </c>
      <c r="E82" s="10">
        <v>343</v>
      </c>
      <c r="F82" s="10">
        <v>3</v>
      </c>
      <c r="G82" s="10">
        <v>1</v>
      </c>
      <c r="H82" s="5" t="str">
        <f t="shared" si="3"/>
        <v>det_343</v>
      </c>
      <c r="I82" s="5" t="str">
        <f t="shared" si="4"/>
        <v>I:\Transportation Performance\Data\ADOT FMS\1. Raw Data\2018\data files\test\det_343.txt</v>
      </c>
      <c r="J82" s="5" t="str">
        <f t="shared" si="5"/>
        <v>I:\Transportation Performance\Data\ADOT FMS\1. Raw Data\2018\data files\test\det_343.xlsx</v>
      </c>
      <c r="K82" s="5"/>
      <c r="M82" s="114" t="s">
        <v>63</v>
      </c>
      <c r="N82" s="10">
        <v>343</v>
      </c>
      <c r="O82" s="10">
        <v>3</v>
      </c>
      <c r="P82" s="10">
        <v>1</v>
      </c>
    </row>
    <row r="83" spans="4:16" x14ac:dyDescent="0.25">
      <c r="D83" s="109">
        <v>79</v>
      </c>
      <c r="E83" s="10">
        <v>346</v>
      </c>
      <c r="F83" s="10">
        <v>3</v>
      </c>
      <c r="G83" s="10">
        <v>1</v>
      </c>
      <c r="H83" s="5" t="str">
        <f t="shared" si="3"/>
        <v>det_346</v>
      </c>
      <c r="I83" s="5" t="str">
        <f t="shared" si="4"/>
        <v>I:\Transportation Performance\Data\ADOT FMS\1. Raw Data\2018\data files\test\det_346.txt</v>
      </c>
      <c r="J83" s="5" t="str">
        <f t="shared" si="5"/>
        <v>I:\Transportation Performance\Data\ADOT FMS\1. Raw Data\2018\data files\test\det_346.xlsx</v>
      </c>
      <c r="K83" s="5"/>
      <c r="M83" s="114" t="s">
        <v>63</v>
      </c>
      <c r="N83" s="10">
        <v>346</v>
      </c>
      <c r="O83" s="10">
        <v>3</v>
      </c>
      <c r="P83" s="10">
        <v>1</v>
      </c>
    </row>
    <row r="84" spans="4:16" x14ac:dyDescent="0.25">
      <c r="D84" s="109">
        <v>80</v>
      </c>
      <c r="E84" s="10">
        <v>349</v>
      </c>
      <c r="F84" s="10">
        <v>3</v>
      </c>
      <c r="G84" s="10">
        <v>1</v>
      </c>
      <c r="H84" s="5" t="str">
        <f t="shared" si="3"/>
        <v>det_349</v>
      </c>
      <c r="I84" s="5" t="str">
        <f t="shared" si="4"/>
        <v>I:\Transportation Performance\Data\ADOT FMS\1. Raw Data\2018\data files\test\det_349.txt</v>
      </c>
      <c r="J84" s="5" t="str">
        <f t="shared" si="5"/>
        <v>I:\Transportation Performance\Data\ADOT FMS\1. Raw Data\2018\data files\test\det_349.xlsx</v>
      </c>
      <c r="K84" s="5"/>
      <c r="M84" s="114" t="s">
        <v>63</v>
      </c>
      <c r="N84" s="10">
        <v>349</v>
      </c>
      <c r="O84" s="10">
        <v>3</v>
      </c>
      <c r="P84" s="10">
        <v>1</v>
      </c>
    </row>
    <row r="85" spans="4:16" x14ac:dyDescent="0.25">
      <c r="D85" s="109">
        <v>81</v>
      </c>
      <c r="E85" s="10">
        <v>352</v>
      </c>
      <c r="F85" s="10">
        <v>3</v>
      </c>
      <c r="G85" s="10">
        <v>1</v>
      </c>
      <c r="H85" s="5" t="str">
        <f t="shared" si="3"/>
        <v>det_352</v>
      </c>
      <c r="I85" s="5" t="str">
        <f t="shared" si="4"/>
        <v>I:\Transportation Performance\Data\ADOT FMS\1. Raw Data\2018\data files\test\det_352.txt</v>
      </c>
      <c r="J85" s="5" t="str">
        <f t="shared" si="5"/>
        <v>I:\Transportation Performance\Data\ADOT FMS\1. Raw Data\2018\data files\test\det_352.xlsx</v>
      </c>
      <c r="K85" s="5"/>
      <c r="M85" s="114" t="s">
        <v>63</v>
      </c>
      <c r="N85" s="10">
        <v>352</v>
      </c>
      <c r="O85" s="10">
        <v>3</v>
      </c>
      <c r="P85" s="10">
        <v>1</v>
      </c>
    </row>
    <row r="86" spans="4:16" x14ac:dyDescent="0.25">
      <c r="D86" s="109">
        <v>82</v>
      </c>
      <c r="E86" s="10">
        <v>355</v>
      </c>
      <c r="F86" s="10">
        <v>3</v>
      </c>
      <c r="G86" s="10">
        <v>1</v>
      </c>
      <c r="H86" s="5" t="str">
        <f t="shared" si="3"/>
        <v>det_355</v>
      </c>
      <c r="I86" s="5" t="str">
        <f t="shared" si="4"/>
        <v>I:\Transportation Performance\Data\ADOT FMS\1. Raw Data\2018\data files\test\det_355.txt</v>
      </c>
      <c r="J86" s="5" t="str">
        <f t="shared" si="5"/>
        <v>I:\Transportation Performance\Data\ADOT FMS\1. Raw Data\2018\data files\test\det_355.xlsx</v>
      </c>
      <c r="K86" s="5"/>
      <c r="M86" s="114" t="s">
        <v>63</v>
      </c>
      <c r="N86" s="10">
        <v>355</v>
      </c>
      <c r="O86" s="10">
        <v>3</v>
      </c>
      <c r="P86" s="10">
        <v>1</v>
      </c>
    </row>
    <row r="87" spans="4:16" x14ac:dyDescent="0.25">
      <c r="D87" s="109">
        <v>83</v>
      </c>
      <c r="E87" s="10">
        <v>357</v>
      </c>
      <c r="F87" s="10">
        <v>3</v>
      </c>
      <c r="G87" s="10">
        <v>1</v>
      </c>
      <c r="H87" s="5" t="str">
        <f t="shared" si="3"/>
        <v>det_357</v>
      </c>
      <c r="I87" s="5" t="str">
        <f t="shared" si="4"/>
        <v>I:\Transportation Performance\Data\ADOT FMS\1. Raw Data\2018\data files\test\det_357.txt</v>
      </c>
      <c r="J87" s="5" t="str">
        <f t="shared" si="5"/>
        <v>I:\Transportation Performance\Data\ADOT FMS\1. Raw Data\2018\data files\test\det_357.xlsx</v>
      </c>
      <c r="K87" s="5"/>
      <c r="M87" s="114" t="s">
        <v>63</v>
      </c>
      <c r="N87" s="10">
        <v>357</v>
      </c>
      <c r="O87" s="10">
        <v>3</v>
      </c>
      <c r="P87" s="10">
        <v>1</v>
      </c>
    </row>
    <row r="88" spans="4:16" x14ac:dyDescent="0.25">
      <c r="D88" s="109">
        <v>84</v>
      </c>
      <c r="E88" s="10">
        <v>358</v>
      </c>
      <c r="F88" s="10">
        <v>3</v>
      </c>
      <c r="G88" s="10">
        <v>1</v>
      </c>
      <c r="H88" s="5" t="str">
        <f t="shared" si="3"/>
        <v>det_358</v>
      </c>
      <c r="I88" s="5" t="str">
        <f t="shared" si="4"/>
        <v>I:\Transportation Performance\Data\ADOT FMS\1. Raw Data\2018\data files\test\det_358.txt</v>
      </c>
      <c r="J88" s="5" t="str">
        <f t="shared" si="5"/>
        <v>I:\Transportation Performance\Data\ADOT FMS\1. Raw Data\2018\data files\test\det_358.xlsx</v>
      </c>
      <c r="K88" s="5"/>
      <c r="M88" s="114" t="s">
        <v>63</v>
      </c>
      <c r="N88" s="10">
        <v>358</v>
      </c>
      <c r="O88" s="10">
        <v>3</v>
      </c>
      <c r="P88" s="10">
        <v>1</v>
      </c>
    </row>
    <row r="89" spans="4:16" x14ac:dyDescent="0.25">
      <c r="D89" s="109">
        <v>85</v>
      </c>
      <c r="E89" s="10">
        <v>361</v>
      </c>
      <c r="F89" s="10">
        <v>3</v>
      </c>
      <c r="G89" s="10">
        <v>1</v>
      </c>
      <c r="H89" s="5" t="str">
        <f t="shared" si="3"/>
        <v>det_361</v>
      </c>
      <c r="I89" s="5" t="str">
        <f t="shared" si="4"/>
        <v>I:\Transportation Performance\Data\ADOT FMS\1. Raw Data\2018\data files\test\det_361.txt</v>
      </c>
      <c r="J89" s="5" t="str">
        <f t="shared" si="5"/>
        <v>I:\Transportation Performance\Data\ADOT FMS\1. Raw Data\2018\data files\test\det_361.xlsx</v>
      </c>
      <c r="K89" s="5"/>
      <c r="M89" s="114" t="s">
        <v>63</v>
      </c>
      <c r="N89" s="10">
        <v>361</v>
      </c>
      <c r="O89" s="10">
        <v>3</v>
      </c>
      <c r="P89" s="10">
        <v>1</v>
      </c>
    </row>
    <row r="90" spans="4:16" x14ac:dyDescent="0.25">
      <c r="D90" s="109">
        <v>86</v>
      </c>
      <c r="E90" s="10">
        <v>364</v>
      </c>
      <c r="F90" s="10">
        <v>3</v>
      </c>
      <c r="G90" s="10">
        <v>1</v>
      </c>
      <c r="H90" s="5" t="str">
        <f t="shared" si="3"/>
        <v>det_364</v>
      </c>
      <c r="I90" s="5" t="str">
        <f t="shared" si="4"/>
        <v>I:\Transportation Performance\Data\ADOT FMS\1. Raw Data\2018\data files\test\det_364.txt</v>
      </c>
      <c r="J90" s="5" t="str">
        <f t="shared" si="5"/>
        <v>I:\Transportation Performance\Data\ADOT FMS\1. Raw Data\2018\data files\test\det_364.xlsx</v>
      </c>
      <c r="K90" s="5"/>
      <c r="M90" s="114" t="s">
        <v>63</v>
      </c>
      <c r="N90" s="10">
        <v>364</v>
      </c>
      <c r="O90" s="10">
        <v>3</v>
      </c>
      <c r="P90" s="10">
        <v>1</v>
      </c>
    </row>
    <row r="91" spans="4:16" x14ac:dyDescent="0.25">
      <c r="D91" s="109">
        <v>87</v>
      </c>
      <c r="E91" s="10">
        <v>367</v>
      </c>
      <c r="F91" s="10">
        <v>3</v>
      </c>
      <c r="G91" s="10">
        <v>1</v>
      </c>
      <c r="H91" s="5" t="str">
        <f t="shared" si="3"/>
        <v>det_367</v>
      </c>
      <c r="I91" s="5" t="str">
        <f t="shared" si="4"/>
        <v>I:\Transportation Performance\Data\ADOT FMS\1. Raw Data\2018\data files\test\det_367.txt</v>
      </c>
      <c r="J91" s="5" t="str">
        <f t="shared" si="5"/>
        <v>I:\Transportation Performance\Data\ADOT FMS\1. Raw Data\2018\data files\test\det_367.xlsx</v>
      </c>
      <c r="K91" s="5"/>
      <c r="M91" s="114" t="s">
        <v>63</v>
      </c>
      <c r="N91" s="10">
        <v>367</v>
      </c>
      <c r="O91" s="10">
        <v>3</v>
      </c>
      <c r="P91" s="10">
        <v>1</v>
      </c>
    </row>
    <row r="92" spans="4:16" x14ac:dyDescent="0.25">
      <c r="D92" s="109">
        <v>88</v>
      </c>
      <c r="E92" s="10">
        <v>370</v>
      </c>
      <c r="F92" s="10">
        <v>3</v>
      </c>
      <c r="G92" s="10">
        <v>1</v>
      </c>
      <c r="H92" s="5" t="str">
        <f t="shared" si="3"/>
        <v>det_370</v>
      </c>
      <c r="I92" s="5" t="str">
        <f t="shared" si="4"/>
        <v>I:\Transportation Performance\Data\ADOT FMS\1. Raw Data\2018\data files\test\det_370.txt</v>
      </c>
      <c r="J92" s="5" t="str">
        <f t="shared" si="5"/>
        <v>I:\Transportation Performance\Data\ADOT FMS\1. Raw Data\2018\data files\test\det_370.xlsx</v>
      </c>
      <c r="K92" s="5"/>
      <c r="M92" s="114" t="s">
        <v>63</v>
      </c>
      <c r="N92" s="10">
        <v>370</v>
      </c>
      <c r="O92" s="10">
        <v>3</v>
      </c>
      <c r="P92" s="10">
        <v>1</v>
      </c>
    </row>
    <row r="93" spans="4:16" x14ac:dyDescent="0.25">
      <c r="D93" s="109">
        <v>89</v>
      </c>
      <c r="E93" s="10">
        <v>373</v>
      </c>
      <c r="F93" s="10">
        <v>3</v>
      </c>
      <c r="G93" s="10">
        <v>1</v>
      </c>
      <c r="H93" s="5" t="str">
        <f t="shared" si="3"/>
        <v>det_373</v>
      </c>
      <c r="I93" s="5" t="str">
        <f t="shared" si="4"/>
        <v>I:\Transportation Performance\Data\ADOT FMS\1. Raw Data\2018\data files\test\det_373.txt</v>
      </c>
      <c r="J93" s="5" t="str">
        <f t="shared" si="5"/>
        <v>I:\Transportation Performance\Data\ADOT FMS\1. Raw Data\2018\data files\test\det_373.xlsx</v>
      </c>
      <c r="K93" s="5"/>
      <c r="M93" s="114" t="s">
        <v>63</v>
      </c>
      <c r="N93" s="10">
        <v>373</v>
      </c>
      <c r="O93" s="10">
        <v>3</v>
      </c>
      <c r="P93" s="10">
        <v>1</v>
      </c>
    </row>
    <row r="94" spans="4:16" x14ac:dyDescent="0.25">
      <c r="D94" s="109">
        <v>90</v>
      </c>
      <c r="E94" s="10">
        <v>376</v>
      </c>
      <c r="F94" s="10">
        <v>3</v>
      </c>
      <c r="G94" s="10">
        <v>1</v>
      </c>
      <c r="H94" s="5" t="str">
        <f t="shared" si="3"/>
        <v>det_376</v>
      </c>
      <c r="I94" s="5" t="str">
        <f t="shared" si="4"/>
        <v>I:\Transportation Performance\Data\ADOT FMS\1. Raw Data\2018\data files\test\det_376.txt</v>
      </c>
      <c r="J94" s="5" t="str">
        <f t="shared" si="5"/>
        <v>I:\Transportation Performance\Data\ADOT FMS\1. Raw Data\2018\data files\test\det_376.xlsx</v>
      </c>
      <c r="K94" s="5"/>
      <c r="M94" s="114" t="s">
        <v>63</v>
      </c>
      <c r="N94" s="10">
        <v>376</v>
      </c>
      <c r="O94" s="10">
        <v>3</v>
      </c>
      <c r="P94" s="10">
        <v>1</v>
      </c>
    </row>
    <row r="95" spans="4:16" x14ac:dyDescent="0.25">
      <c r="D95" s="109">
        <v>91</v>
      </c>
      <c r="E95" s="10">
        <v>128</v>
      </c>
      <c r="F95" s="10">
        <v>4</v>
      </c>
      <c r="G95" s="10">
        <v>1</v>
      </c>
      <c r="H95" s="5" t="str">
        <f t="shared" si="3"/>
        <v>det_128</v>
      </c>
      <c r="I95" s="5" t="str">
        <f t="shared" si="4"/>
        <v>I:\Transportation Performance\Data\ADOT FMS\1. Raw Data\2018\data files\test\det_128.txt</v>
      </c>
      <c r="J95" s="5" t="str">
        <f t="shared" si="5"/>
        <v>I:\Transportation Performance\Data\ADOT FMS\1. Raw Data\2018\data files\test\det_128.xlsx</v>
      </c>
      <c r="K95" s="5"/>
      <c r="M95" s="114" t="s">
        <v>63</v>
      </c>
      <c r="N95" s="10">
        <v>128</v>
      </c>
      <c r="O95" s="10">
        <v>4</v>
      </c>
      <c r="P95" s="10">
        <v>1</v>
      </c>
    </row>
    <row r="96" spans="4:16" x14ac:dyDescent="0.25">
      <c r="D96" s="109">
        <v>92</v>
      </c>
      <c r="E96" s="10">
        <v>163</v>
      </c>
      <c r="F96" s="10">
        <v>0</v>
      </c>
      <c r="G96" s="10">
        <v>0</v>
      </c>
      <c r="H96" s="5" t="str">
        <f t="shared" si="3"/>
        <v>det_163</v>
      </c>
      <c r="I96" s="5" t="str">
        <f t="shared" si="4"/>
        <v>I:\Transportation Performance\Data\ADOT FMS\1. Raw Data\2018\data files\test\det_163.txt</v>
      </c>
      <c r="J96" s="5" t="str">
        <f t="shared" si="5"/>
        <v>I:\Transportation Performance\Data\ADOT FMS\1. Raw Data\2018\data files\test\det_163.xlsx</v>
      </c>
      <c r="K96" s="5"/>
      <c r="M96" s="114" t="s">
        <v>64</v>
      </c>
      <c r="N96" s="10">
        <v>163</v>
      </c>
      <c r="O96" s="10">
        <v>0</v>
      </c>
      <c r="P96" s="10">
        <v>0</v>
      </c>
    </row>
    <row r="97" spans="4:16" x14ac:dyDescent="0.25">
      <c r="D97" s="109">
        <v>93</v>
      </c>
      <c r="E97" s="10">
        <v>203</v>
      </c>
      <c r="F97" s="10">
        <v>4</v>
      </c>
      <c r="G97" s="10">
        <v>1</v>
      </c>
      <c r="H97" s="5" t="str">
        <f t="shared" si="3"/>
        <v>det_203</v>
      </c>
      <c r="I97" s="5" t="str">
        <f t="shared" si="4"/>
        <v>I:\Transportation Performance\Data\ADOT FMS\1. Raw Data\2018\data files\test\det_203.txt</v>
      </c>
      <c r="J97" s="5" t="str">
        <f t="shared" si="5"/>
        <v>I:\Transportation Performance\Data\ADOT FMS\1. Raw Data\2018\data files\test\det_203.xlsx</v>
      </c>
      <c r="K97" s="5"/>
      <c r="M97" s="114" t="s">
        <v>64</v>
      </c>
      <c r="N97" s="10">
        <v>203</v>
      </c>
      <c r="O97" s="10">
        <v>4</v>
      </c>
      <c r="P97" s="10">
        <v>1</v>
      </c>
    </row>
    <row r="98" spans="4:16" x14ac:dyDescent="0.25">
      <c r="D98" s="109">
        <v>94</v>
      </c>
      <c r="E98" s="10">
        <v>206</v>
      </c>
      <c r="F98" s="10">
        <v>3</v>
      </c>
      <c r="G98" s="10">
        <v>1</v>
      </c>
      <c r="H98" s="5" t="str">
        <f t="shared" si="3"/>
        <v>det_206</v>
      </c>
      <c r="I98" s="5" t="str">
        <f t="shared" si="4"/>
        <v>I:\Transportation Performance\Data\ADOT FMS\1. Raw Data\2018\data files\test\det_206.txt</v>
      </c>
      <c r="J98" s="5" t="str">
        <f t="shared" si="5"/>
        <v>I:\Transportation Performance\Data\ADOT FMS\1. Raw Data\2018\data files\test\det_206.xlsx</v>
      </c>
      <c r="K98" s="5"/>
      <c r="M98" s="114" t="s">
        <v>64</v>
      </c>
      <c r="N98" s="10">
        <v>206</v>
      </c>
      <c r="O98" s="10">
        <v>3</v>
      </c>
      <c r="P98" s="10">
        <v>1</v>
      </c>
    </row>
    <row r="99" spans="4:16" x14ac:dyDescent="0.25">
      <c r="D99" s="109">
        <v>95</v>
      </c>
      <c r="E99" s="10">
        <v>209</v>
      </c>
      <c r="F99" s="10">
        <v>3</v>
      </c>
      <c r="G99" s="10">
        <v>1</v>
      </c>
      <c r="H99" s="5" t="str">
        <f t="shared" si="3"/>
        <v>det_209</v>
      </c>
      <c r="I99" s="5" t="str">
        <f t="shared" si="4"/>
        <v>I:\Transportation Performance\Data\ADOT FMS\1. Raw Data\2018\data files\test\det_209.txt</v>
      </c>
      <c r="J99" s="5" t="str">
        <f t="shared" si="5"/>
        <v>I:\Transportation Performance\Data\ADOT FMS\1. Raw Data\2018\data files\test\det_209.xlsx</v>
      </c>
      <c r="K99" s="5"/>
      <c r="M99" s="114" t="s">
        <v>64</v>
      </c>
      <c r="N99" s="10">
        <v>209</v>
      </c>
      <c r="O99" s="10">
        <v>3</v>
      </c>
      <c r="P99" s="10">
        <v>1</v>
      </c>
    </row>
    <row r="100" spans="4:16" x14ac:dyDescent="0.25">
      <c r="D100" s="109">
        <v>96</v>
      </c>
      <c r="E100" s="115">
        <v>212</v>
      </c>
      <c r="F100" s="115">
        <v>3</v>
      </c>
      <c r="G100" s="115">
        <v>1</v>
      </c>
      <c r="H100" s="5" t="str">
        <f t="shared" si="3"/>
        <v>det_212</v>
      </c>
      <c r="I100" s="5" t="str">
        <f t="shared" si="4"/>
        <v>I:\Transportation Performance\Data\ADOT FMS\1. Raw Data\2018\data files\test\det_212.txt</v>
      </c>
      <c r="J100" s="5" t="str">
        <f t="shared" si="5"/>
        <v>I:\Transportation Performance\Data\ADOT FMS\1. Raw Data\2018\data files\test\det_212.xlsx</v>
      </c>
      <c r="K100" s="5"/>
      <c r="M100" s="114" t="s">
        <v>64</v>
      </c>
      <c r="N100" s="115">
        <v>212</v>
      </c>
      <c r="O100" s="115">
        <v>3</v>
      </c>
      <c r="P100" s="115">
        <v>1</v>
      </c>
    </row>
    <row r="101" spans="4:16" x14ac:dyDescent="0.25">
      <c r="D101" s="109">
        <v>97</v>
      </c>
      <c r="E101" s="10">
        <v>214</v>
      </c>
      <c r="F101" s="10">
        <v>3</v>
      </c>
      <c r="G101" s="10">
        <v>1</v>
      </c>
      <c r="H101" s="5" t="str">
        <f t="shared" si="3"/>
        <v>det_214</v>
      </c>
      <c r="I101" s="5" t="str">
        <f t="shared" si="4"/>
        <v>I:\Transportation Performance\Data\ADOT FMS\1. Raw Data\2018\data files\test\det_214.txt</v>
      </c>
      <c r="J101" s="5" t="str">
        <f t="shared" si="5"/>
        <v>I:\Transportation Performance\Data\ADOT FMS\1. Raw Data\2018\data files\test\det_214.xlsx</v>
      </c>
      <c r="K101" s="5"/>
      <c r="M101" s="114" t="s">
        <v>64</v>
      </c>
      <c r="N101" s="10">
        <v>214</v>
      </c>
      <c r="O101" s="10">
        <v>3</v>
      </c>
      <c r="P101" s="10">
        <v>1</v>
      </c>
    </row>
    <row r="102" spans="4:16" x14ac:dyDescent="0.25">
      <c r="D102" s="109">
        <v>98</v>
      </c>
      <c r="E102" s="10">
        <v>201</v>
      </c>
      <c r="F102" s="10">
        <v>3</v>
      </c>
      <c r="G102" s="10">
        <v>1</v>
      </c>
      <c r="H102" s="5" t="str">
        <f t="shared" si="3"/>
        <v>det_201</v>
      </c>
      <c r="I102" s="5" t="str">
        <f t="shared" si="4"/>
        <v>I:\Transportation Performance\Data\ADOT FMS\1. Raw Data\2018\data files\test\det_201.txt</v>
      </c>
      <c r="J102" s="5" t="str">
        <f t="shared" si="5"/>
        <v>I:\Transportation Performance\Data\ADOT FMS\1. Raw Data\2018\data files\test\det_201.xlsx</v>
      </c>
      <c r="K102" s="5"/>
      <c r="M102" s="114" t="s">
        <v>64</v>
      </c>
      <c r="N102" s="10">
        <v>201</v>
      </c>
      <c r="O102" s="10">
        <v>3</v>
      </c>
      <c r="P102" s="10">
        <v>1</v>
      </c>
    </row>
    <row r="103" spans="4:16" x14ac:dyDescent="0.25">
      <c r="D103" s="109">
        <v>99</v>
      </c>
      <c r="E103" s="10">
        <v>198</v>
      </c>
      <c r="F103" s="10">
        <v>3</v>
      </c>
      <c r="G103" s="10">
        <v>1</v>
      </c>
      <c r="H103" s="5" t="str">
        <f t="shared" si="3"/>
        <v>det_198</v>
      </c>
      <c r="I103" s="5" t="str">
        <f t="shared" si="4"/>
        <v>I:\Transportation Performance\Data\ADOT FMS\1. Raw Data\2018\data files\test\det_198.txt</v>
      </c>
      <c r="J103" s="5" t="str">
        <f t="shared" si="5"/>
        <v>I:\Transportation Performance\Data\ADOT FMS\1. Raw Data\2018\data files\test\det_198.xlsx</v>
      </c>
      <c r="K103" s="5"/>
      <c r="M103" s="114" t="s">
        <v>64</v>
      </c>
      <c r="N103" s="10">
        <v>198</v>
      </c>
      <c r="O103" s="10">
        <v>3</v>
      </c>
      <c r="P103" s="10">
        <v>1</v>
      </c>
    </row>
    <row r="104" spans="4:16" x14ac:dyDescent="0.25">
      <c r="D104" s="109">
        <v>100</v>
      </c>
      <c r="E104" s="10">
        <v>195</v>
      </c>
      <c r="F104" s="10">
        <v>3</v>
      </c>
      <c r="G104" s="10">
        <v>1</v>
      </c>
      <c r="H104" s="5" t="str">
        <f t="shared" si="3"/>
        <v>det_195</v>
      </c>
      <c r="I104" s="5" t="str">
        <f t="shared" si="4"/>
        <v>I:\Transportation Performance\Data\ADOT FMS\1. Raw Data\2018\data files\test\det_195.txt</v>
      </c>
      <c r="J104" s="5" t="str">
        <f t="shared" si="5"/>
        <v>I:\Transportation Performance\Data\ADOT FMS\1. Raw Data\2018\data files\test\det_195.xlsx</v>
      </c>
      <c r="K104" s="5"/>
      <c r="M104" s="114" t="s">
        <v>64</v>
      </c>
      <c r="N104" s="10">
        <v>195</v>
      </c>
      <c r="O104" s="10">
        <v>3</v>
      </c>
      <c r="P104" s="10">
        <v>1</v>
      </c>
    </row>
    <row r="105" spans="4:16" x14ac:dyDescent="0.25">
      <c r="D105" s="109">
        <v>101</v>
      </c>
      <c r="E105" s="10">
        <v>193</v>
      </c>
      <c r="F105" s="10">
        <v>3</v>
      </c>
      <c r="G105" s="10">
        <v>1</v>
      </c>
      <c r="H105" s="5" t="str">
        <f t="shared" si="3"/>
        <v>det_193</v>
      </c>
      <c r="I105" s="5" t="str">
        <f t="shared" si="4"/>
        <v>I:\Transportation Performance\Data\ADOT FMS\1. Raw Data\2018\data files\test\det_193.txt</v>
      </c>
      <c r="J105" s="5" t="str">
        <f t="shared" si="5"/>
        <v>I:\Transportation Performance\Data\ADOT FMS\1. Raw Data\2018\data files\test\det_193.xlsx</v>
      </c>
      <c r="K105" s="5"/>
      <c r="M105" s="114" t="s">
        <v>64</v>
      </c>
      <c r="N105" s="10">
        <v>193</v>
      </c>
      <c r="O105" s="10">
        <v>3</v>
      </c>
      <c r="P105" s="10">
        <v>1</v>
      </c>
    </row>
    <row r="106" spans="4:16" x14ac:dyDescent="0.25">
      <c r="D106" s="109">
        <v>102</v>
      </c>
      <c r="E106" s="10">
        <v>190</v>
      </c>
      <c r="F106" s="10">
        <v>3</v>
      </c>
      <c r="G106" s="10">
        <v>1</v>
      </c>
      <c r="H106" s="5" t="str">
        <f t="shared" si="3"/>
        <v>det_190</v>
      </c>
      <c r="I106" s="5" t="str">
        <f t="shared" si="4"/>
        <v>I:\Transportation Performance\Data\ADOT FMS\1. Raw Data\2018\data files\test\det_190.txt</v>
      </c>
      <c r="J106" s="5" t="str">
        <f t="shared" si="5"/>
        <v>I:\Transportation Performance\Data\ADOT FMS\1. Raw Data\2018\data files\test\det_190.xlsx</v>
      </c>
      <c r="K106" s="5"/>
      <c r="M106" s="114" t="s">
        <v>64</v>
      </c>
      <c r="N106" s="10">
        <v>190</v>
      </c>
      <c r="O106" s="10">
        <v>3</v>
      </c>
      <c r="P106" s="10">
        <v>1</v>
      </c>
    </row>
    <row r="107" spans="4:16" x14ac:dyDescent="0.25">
      <c r="D107" s="109">
        <v>103</v>
      </c>
      <c r="E107" s="10">
        <v>130</v>
      </c>
      <c r="F107" s="10">
        <v>2</v>
      </c>
      <c r="G107" s="10">
        <v>1</v>
      </c>
      <c r="H107" s="5" t="str">
        <f t="shared" si="3"/>
        <v>det_130</v>
      </c>
      <c r="I107" s="5" t="str">
        <f t="shared" si="4"/>
        <v>I:\Transportation Performance\Data\ADOT FMS\1. Raw Data\2018\data files\test\det_130.txt</v>
      </c>
      <c r="J107" s="5" t="str">
        <f t="shared" si="5"/>
        <v>I:\Transportation Performance\Data\ADOT FMS\1. Raw Data\2018\data files\test\det_130.xlsx</v>
      </c>
      <c r="K107" s="5"/>
      <c r="M107" s="114" t="s">
        <v>64</v>
      </c>
      <c r="N107" s="10">
        <v>130</v>
      </c>
      <c r="O107" s="10">
        <v>2</v>
      </c>
      <c r="P107" s="10">
        <v>1</v>
      </c>
    </row>
    <row r="108" spans="4:16" x14ac:dyDescent="0.25">
      <c r="D108" s="109">
        <v>104</v>
      </c>
      <c r="E108" s="10">
        <v>313</v>
      </c>
      <c r="F108" s="10">
        <v>3</v>
      </c>
      <c r="G108" s="10">
        <v>1</v>
      </c>
      <c r="H108" s="5" t="str">
        <f t="shared" si="3"/>
        <v>det_313</v>
      </c>
      <c r="I108" s="5" t="str">
        <f t="shared" si="4"/>
        <v>I:\Transportation Performance\Data\ADOT FMS\1. Raw Data\2018\data files\test\det_313.txt</v>
      </c>
      <c r="J108" s="5" t="str">
        <f t="shared" si="5"/>
        <v>I:\Transportation Performance\Data\ADOT FMS\1. Raw Data\2018\data files\test\det_313.xlsx</v>
      </c>
      <c r="K108" s="5"/>
      <c r="M108" s="114" t="s">
        <v>65</v>
      </c>
      <c r="N108" s="10">
        <v>313</v>
      </c>
      <c r="O108" s="10">
        <v>3</v>
      </c>
      <c r="P108" s="10">
        <v>1</v>
      </c>
    </row>
    <row r="109" spans="4:16" x14ac:dyDescent="0.25">
      <c r="D109" s="109">
        <v>105</v>
      </c>
      <c r="E109" s="10">
        <v>316</v>
      </c>
      <c r="F109" s="10">
        <v>4</v>
      </c>
      <c r="G109" s="10">
        <v>1</v>
      </c>
      <c r="H109" s="5" t="str">
        <f t="shared" si="3"/>
        <v>det_316</v>
      </c>
      <c r="I109" s="5" t="str">
        <f t="shared" si="4"/>
        <v>I:\Transportation Performance\Data\ADOT FMS\1. Raw Data\2018\data files\test\det_316.txt</v>
      </c>
      <c r="J109" s="5" t="str">
        <f t="shared" si="5"/>
        <v>I:\Transportation Performance\Data\ADOT FMS\1. Raw Data\2018\data files\test\det_316.xlsx</v>
      </c>
      <c r="K109" s="5"/>
      <c r="M109" s="114" t="s">
        <v>65</v>
      </c>
      <c r="N109" s="10">
        <v>316</v>
      </c>
      <c r="O109" s="10">
        <v>4</v>
      </c>
      <c r="P109" s="10">
        <v>1</v>
      </c>
    </row>
    <row r="110" spans="4:16" x14ac:dyDescent="0.25">
      <c r="D110" s="109">
        <v>106</v>
      </c>
      <c r="E110" s="10">
        <v>318</v>
      </c>
      <c r="F110" s="10">
        <v>4</v>
      </c>
      <c r="G110" s="10">
        <v>1</v>
      </c>
      <c r="H110" s="5" t="str">
        <f t="shared" si="3"/>
        <v>det_318</v>
      </c>
      <c r="I110" s="5" t="str">
        <f t="shared" si="4"/>
        <v>I:\Transportation Performance\Data\ADOT FMS\1. Raw Data\2018\data files\test\det_318.txt</v>
      </c>
      <c r="J110" s="5" t="str">
        <f t="shared" si="5"/>
        <v>I:\Transportation Performance\Data\ADOT FMS\1. Raw Data\2018\data files\test\det_318.xlsx</v>
      </c>
      <c r="K110" s="5"/>
      <c r="M110" s="114" t="s">
        <v>65</v>
      </c>
      <c r="N110" s="10">
        <v>318</v>
      </c>
      <c r="O110" s="10">
        <v>4</v>
      </c>
      <c r="P110" s="10">
        <v>1</v>
      </c>
    </row>
    <row r="111" spans="4:16" x14ac:dyDescent="0.25">
      <c r="D111" s="109">
        <v>107</v>
      </c>
      <c r="E111" s="10">
        <v>321</v>
      </c>
      <c r="F111" s="10">
        <v>5</v>
      </c>
      <c r="G111" s="10">
        <v>1</v>
      </c>
      <c r="H111" s="5" t="str">
        <f t="shared" si="3"/>
        <v>det_321</v>
      </c>
      <c r="I111" s="5" t="str">
        <f t="shared" si="4"/>
        <v>I:\Transportation Performance\Data\ADOT FMS\1. Raw Data\2018\data files\test\det_321.txt</v>
      </c>
      <c r="J111" s="5" t="str">
        <f t="shared" si="5"/>
        <v>I:\Transportation Performance\Data\ADOT FMS\1. Raw Data\2018\data files\test\det_321.xlsx</v>
      </c>
      <c r="K111" s="5"/>
      <c r="M111" s="114" t="s">
        <v>65</v>
      </c>
      <c r="N111" s="10">
        <v>321</v>
      </c>
      <c r="O111" s="10">
        <v>5</v>
      </c>
      <c r="P111" s="10">
        <v>1</v>
      </c>
    </row>
    <row r="112" spans="4:16" x14ac:dyDescent="0.25">
      <c r="D112" s="109">
        <v>108</v>
      </c>
      <c r="E112" s="10">
        <v>323</v>
      </c>
      <c r="F112" s="10">
        <v>4</v>
      </c>
      <c r="G112" s="10">
        <v>1</v>
      </c>
      <c r="H112" s="5" t="str">
        <f t="shared" si="3"/>
        <v>det_323</v>
      </c>
      <c r="I112" s="5" t="str">
        <f t="shared" si="4"/>
        <v>I:\Transportation Performance\Data\ADOT FMS\1. Raw Data\2018\data files\test\det_323.txt</v>
      </c>
      <c r="J112" s="5" t="str">
        <f t="shared" si="5"/>
        <v>I:\Transportation Performance\Data\ADOT FMS\1. Raw Data\2018\data files\test\det_323.xlsx</v>
      </c>
      <c r="K112" s="5"/>
      <c r="M112" s="114" t="s">
        <v>65</v>
      </c>
      <c r="N112" s="10">
        <v>323</v>
      </c>
      <c r="O112" s="10">
        <v>4</v>
      </c>
      <c r="P112" s="10">
        <v>1</v>
      </c>
    </row>
    <row r="113" spans="4:16" x14ac:dyDescent="0.25">
      <c r="D113" s="109">
        <v>109</v>
      </c>
      <c r="E113" s="10">
        <v>325</v>
      </c>
      <c r="F113" s="10">
        <v>3</v>
      </c>
      <c r="G113" s="10">
        <v>1</v>
      </c>
      <c r="H113" s="5" t="str">
        <f t="shared" si="3"/>
        <v>det_325</v>
      </c>
      <c r="I113" s="5" t="str">
        <f t="shared" si="4"/>
        <v>I:\Transportation Performance\Data\ADOT FMS\1. Raw Data\2018\data files\test\det_325.txt</v>
      </c>
      <c r="J113" s="5" t="str">
        <f t="shared" si="5"/>
        <v>I:\Transportation Performance\Data\ADOT FMS\1. Raw Data\2018\data files\test\det_325.xlsx</v>
      </c>
      <c r="K113" s="5"/>
      <c r="M113" s="114" t="s">
        <v>65</v>
      </c>
      <c r="N113" s="10">
        <v>325</v>
      </c>
      <c r="O113" s="10">
        <v>3</v>
      </c>
      <c r="P113" s="10">
        <v>1</v>
      </c>
    </row>
    <row r="114" spans="4:16" x14ac:dyDescent="0.25">
      <c r="D114" s="109">
        <v>110</v>
      </c>
      <c r="E114" s="10">
        <v>328</v>
      </c>
      <c r="F114" s="10">
        <v>3</v>
      </c>
      <c r="G114" s="10">
        <v>1</v>
      </c>
      <c r="H114" s="5" t="str">
        <f t="shared" si="3"/>
        <v>det_328</v>
      </c>
      <c r="I114" s="5" t="str">
        <f t="shared" si="4"/>
        <v>I:\Transportation Performance\Data\ADOT FMS\1. Raw Data\2018\data files\test\det_328.txt</v>
      </c>
      <c r="J114" s="5" t="str">
        <f t="shared" si="5"/>
        <v>I:\Transportation Performance\Data\ADOT FMS\1. Raw Data\2018\data files\test\det_328.xlsx</v>
      </c>
      <c r="K114" s="5"/>
      <c r="M114" s="114" t="s">
        <v>65</v>
      </c>
      <c r="N114" s="10">
        <v>328</v>
      </c>
      <c r="O114" s="10">
        <v>3</v>
      </c>
      <c r="P114" s="10">
        <v>1</v>
      </c>
    </row>
    <row r="115" spans="4:16" x14ac:dyDescent="0.25">
      <c r="D115" s="109">
        <v>111</v>
      </c>
      <c r="E115" s="10">
        <v>331</v>
      </c>
      <c r="F115" s="10">
        <v>3</v>
      </c>
      <c r="G115" s="10">
        <v>1</v>
      </c>
      <c r="H115" s="5" t="str">
        <f t="shared" si="3"/>
        <v>det_331</v>
      </c>
      <c r="I115" s="5" t="str">
        <f t="shared" si="4"/>
        <v>I:\Transportation Performance\Data\ADOT FMS\1. Raw Data\2018\data files\test\det_331.txt</v>
      </c>
      <c r="J115" s="5" t="str">
        <f t="shared" si="5"/>
        <v>I:\Transportation Performance\Data\ADOT FMS\1. Raw Data\2018\data files\test\det_331.xlsx</v>
      </c>
      <c r="K115" s="5"/>
      <c r="M115" s="114" t="s">
        <v>65</v>
      </c>
      <c r="N115" s="10">
        <v>331</v>
      </c>
      <c r="O115" s="10">
        <v>3</v>
      </c>
      <c r="P115" s="10">
        <v>1</v>
      </c>
    </row>
    <row r="116" spans="4:16" x14ac:dyDescent="0.25">
      <c r="D116" s="109">
        <v>112</v>
      </c>
      <c r="E116" s="10">
        <v>334</v>
      </c>
      <c r="F116" s="10">
        <v>3</v>
      </c>
      <c r="G116" s="10">
        <v>1</v>
      </c>
      <c r="H116" s="5" t="str">
        <f t="shared" si="3"/>
        <v>det_334</v>
      </c>
      <c r="I116" s="5" t="str">
        <f t="shared" si="4"/>
        <v>I:\Transportation Performance\Data\ADOT FMS\1. Raw Data\2018\data files\test\det_334.txt</v>
      </c>
      <c r="J116" s="5" t="str">
        <f t="shared" si="5"/>
        <v>I:\Transportation Performance\Data\ADOT FMS\1. Raw Data\2018\data files\test\det_334.xlsx</v>
      </c>
      <c r="K116" s="5"/>
      <c r="M116" s="114" t="s">
        <v>65</v>
      </c>
      <c r="N116" s="10">
        <v>334</v>
      </c>
      <c r="O116" s="10">
        <v>3</v>
      </c>
      <c r="P116" s="10">
        <v>1</v>
      </c>
    </row>
    <row r="117" spans="4:16" x14ac:dyDescent="0.25">
      <c r="D117" s="109">
        <v>113</v>
      </c>
      <c r="E117" s="10">
        <v>336</v>
      </c>
      <c r="F117" s="10">
        <v>3</v>
      </c>
      <c r="G117" s="10">
        <v>1</v>
      </c>
      <c r="H117" s="5" t="str">
        <f t="shared" si="3"/>
        <v>det_336</v>
      </c>
      <c r="I117" s="5" t="str">
        <f t="shared" si="4"/>
        <v>I:\Transportation Performance\Data\ADOT FMS\1. Raw Data\2018\data files\test\det_336.txt</v>
      </c>
      <c r="J117" s="5" t="str">
        <f t="shared" si="5"/>
        <v>I:\Transportation Performance\Data\ADOT FMS\1. Raw Data\2018\data files\test\det_336.xlsx</v>
      </c>
      <c r="K117" s="5"/>
      <c r="M117" s="114" t="s">
        <v>65</v>
      </c>
      <c r="N117" s="10">
        <v>336</v>
      </c>
      <c r="O117" s="10">
        <v>3</v>
      </c>
      <c r="P117" s="10">
        <v>1</v>
      </c>
    </row>
    <row r="118" spans="4:16" x14ac:dyDescent="0.25">
      <c r="D118" s="109">
        <v>114</v>
      </c>
      <c r="E118" s="10">
        <v>312</v>
      </c>
      <c r="F118" s="10">
        <v>3</v>
      </c>
      <c r="G118" s="10">
        <v>1</v>
      </c>
      <c r="H118" s="5" t="str">
        <f t="shared" si="3"/>
        <v>det_312</v>
      </c>
      <c r="I118" s="5" t="str">
        <f t="shared" si="4"/>
        <v>I:\Transportation Performance\Data\ADOT FMS\1. Raw Data\2018\data files\test\det_312.txt</v>
      </c>
      <c r="J118" s="5" t="str">
        <f t="shared" si="5"/>
        <v>I:\Transportation Performance\Data\ADOT FMS\1. Raw Data\2018\data files\test\det_312.xlsx</v>
      </c>
      <c r="K118" s="5"/>
      <c r="M118" s="114" t="s">
        <v>65</v>
      </c>
      <c r="N118" s="10">
        <v>312</v>
      </c>
      <c r="O118" s="10">
        <v>3</v>
      </c>
      <c r="P118" s="10">
        <v>1</v>
      </c>
    </row>
    <row r="119" spans="4:16" x14ac:dyDescent="0.25">
      <c r="D119" s="109">
        <v>115</v>
      </c>
      <c r="E119" s="10">
        <v>309</v>
      </c>
      <c r="F119" s="10">
        <v>3</v>
      </c>
      <c r="G119" s="10">
        <v>1</v>
      </c>
      <c r="H119" s="5" t="str">
        <f t="shared" si="3"/>
        <v>det_309</v>
      </c>
      <c r="I119" s="5" t="str">
        <f t="shared" si="4"/>
        <v>I:\Transportation Performance\Data\ADOT FMS\1. Raw Data\2018\data files\test\det_309.txt</v>
      </c>
      <c r="J119" s="5" t="str">
        <f t="shared" si="5"/>
        <v>I:\Transportation Performance\Data\ADOT FMS\1. Raw Data\2018\data files\test\det_309.xlsx</v>
      </c>
      <c r="K119" s="5"/>
      <c r="M119" s="114" t="s">
        <v>65</v>
      </c>
      <c r="N119" s="10">
        <v>309</v>
      </c>
      <c r="O119" s="10">
        <v>3</v>
      </c>
      <c r="P119" s="10">
        <v>1</v>
      </c>
    </row>
    <row r="120" spans="4:16" x14ac:dyDescent="0.25">
      <c r="D120" s="109">
        <v>116</v>
      </c>
      <c r="E120" s="10">
        <v>306</v>
      </c>
      <c r="F120" s="10">
        <v>3</v>
      </c>
      <c r="G120" s="10">
        <v>1</v>
      </c>
      <c r="H120" s="5" t="str">
        <f t="shared" si="3"/>
        <v>det_306</v>
      </c>
      <c r="I120" s="5" t="str">
        <f t="shared" si="4"/>
        <v>I:\Transportation Performance\Data\ADOT FMS\1. Raw Data\2018\data files\test\det_306.txt</v>
      </c>
      <c r="J120" s="5" t="str">
        <f t="shared" si="5"/>
        <v>I:\Transportation Performance\Data\ADOT FMS\1. Raw Data\2018\data files\test\det_306.xlsx</v>
      </c>
      <c r="K120" s="5"/>
      <c r="M120" s="114" t="s">
        <v>65</v>
      </c>
      <c r="N120" s="10">
        <v>306</v>
      </c>
      <c r="O120" s="10">
        <v>3</v>
      </c>
      <c r="P120" s="10">
        <v>1</v>
      </c>
    </row>
    <row r="121" spans="4:16" x14ac:dyDescent="0.25">
      <c r="D121" s="109">
        <v>117</v>
      </c>
      <c r="E121" s="10">
        <v>303</v>
      </c>
      <c r="F121" s="10">
        <v>3</v>
      </c>
      <c r="G121" s="10">
        <v>1</v>
      </c>
      <c r="H121" s="5" t="str">
        <f t="shared" si="3"/>
        <v>det_303</v>
      </c>
      <c r="I121" s="5" t="str">
        <f t="shared" si="4"/>
        <v>I:\Transportation Performance\Data\ADOT FMS\1. Raw Data\2018\data files\test\det_303.txt</v>
      </c>
      <c r="J121" s="5" t="str">
        <f t="shared" si="5"/>
        <v>I:\Transportation Performance\Data\ADOT FMS\1. Raw Data\2018\data files\test\det_303.xlsx</v>
      </c>
      <c r="K121" s="5"/>
      <c r="M121" s="114" t="s">
        <v>65</v>
      </c>
      <c r="N121" s="10">
        <v>303</v>
      </c>
      <c r="O121" s="10">
        <v>3</v>
      </c>
      <c r="P121" s="10">
        <v>1</v>
      </c>
    </row>
    <row r="122" spans="4:16" x14ac:dyDescent="0.25">
      <c r="D122" s="109">
        <v>118</v>
      </c>
      <c r="E122" s="10">
        <v>300</v>
      </c>
      <c r="F122" s="10">
        <v>3</v>
      </c>
      <c r="G122" s="10">
        <v>1</v>
      </c>
      <c r="H122" s="5" t="str">
        <f t="shared" si="3"/>
        <v>det_300</v>
      </c>
      <c r="I122" s="5" t="str">
        <f t="shared" si="4"/>
        <v>I:\Transportation Performance\Data\ADOT FMS\1. Raw Data\2018\data files\test\det_300.txt</v>
      </c>
      <c r="J122" s="5" t="str">
        <f t="shared" si="5"/>
        <v>I:\Transportation Performance\Data\ADOT FMS\1. Raw Data\2018\data files\test\det_300.xlsx</v>
      </c>
      <c r="K122" s="5"/>
      <c r="M122" s="114" t="s">
        <v>65</v>
      </c>
      <c r="N122" s="10">
        <v>300</v>
      </c>
      <c r="O122" s="10">
        <v>3</v>
      </c>
      <c r="P122" s="10">
        <v>1</v>
      </c>
    </row>
    <row r="123" spans="4:16" x14ac:dyDescent="0.25">
      <c r="D123" s="109">
        <v>119</v>
      </c>
      <c r="E123" s="10">
        <v>299</v>
      </c>
      <c r="F123" s="10">
        <v>4</v>
      </c>
      <c r="G123" s="10">
        <v>1</v>
      </c>
      <c r="H123" s="5" t="str">
        <f t="shared" si="3"/>
        <v>det_299</v>
      </c>
      <c r="I123" s="5" t="str">
        <f t="shared" si="4"/>
        <v>I:\Transportation Performance\Data\ADOT FMS\1. Raw Data\2018\data files\test\det_299.txt</v>
      </c>
      <c r="J123" s="5" t="str">
        <f t="shared" si="5"/>
        <v>I:\Transportation Performance\Data\ADOT FMS\1. Raw Data\2018\data files\test\det_299.xlsx</v>
      </c>
      <c r="K123" s="5"/>
      <c r="M123" s="114" t="s">
        <v>65</v>
      </c>
      <c r="N123" s="10">
        <v>299</v>
      </c>
      <c r="O123" s="10">
        <v>4</v>
      </c>
      <c r="P123" s="10">
        <v>1</v>
      </c>
    </row>
    <row r="124" spans="4:16" x14ac:dyDescent="0.25">
      <c r="D124" s="109">
        <v>120</v>
      </c>
      <c r="E124" s="10">
        <v>297</v>
      </c>
      <c r="F124" s="10">
        <v>5</v>
      </c>
      <c r="G124" s="10">
        <v>1</v>
      </c>
      <c r="H124" s="5" t="str">
        <f t="shared" si="3"/>
        <v>det_297</v>
      </c>
      <c r="I124" s="5" t="str">
        <f t="shared" si="4"/>
        <v>I:\Transportation Performance\Data\ADOT FMS\1. Raw Data\2018\data files\test\det_297.txt</v>
      </c>
      <c r="J124" s="5" t="str">
        <f t="shared" si="5"/>
        <v>I:\Transportation Performance\Data\ADOT FMS\1. Raw Data\2018\data files\test\det_297.xlsx</v>
      </c>
      <c r="K124" s="5"/>
      <c r="M124" s="114" t="s">
        <v>65</v>
      </c>
      <c r="N124" s="10">
        <v>297</v>
      </c>
      <c r="O124" s="10">
        <v>5</v>
      </c>
      <c r="P124" s="10">
        <v>1</v>
      </c>
    </row>
    <row r="125" spans="4:16" x14ac:dyDescent="0.25">
      <c r="D125" s="109">
        <v>121</v>
      </c>
      <c r="E125" s="10">
        <v>294</v>
      </c>
      <c r="F125" s="10">
        <v>4</v>
      </c>
      <c r="G125" s="10">
        <v>1</v>
      </c>
      <c r="H125" s="5" t="str">
        <f t="shared" si="3"/>
        <v>det_294</v>
      </c>
      <c r="I125" s="5" t="str">
        <f t="shared" si="4"/>
        <v>I:\Transportation Performance\Data\ADOT FMS\1. Raw Data\2018\data files\test\det_294.txt</v>
      </c>
      <c r="J125" s="5" t="str">
        <f t="shared" si="5"/>
        <v>I:\Transportation Performance\Data\ADOT FMS\1. Raw Data\2018\data files\test\det_294.xlsx</v>
      </c>
      <c r="K125" s="5"/>
      <c r="M125" s="114" t="s">
        <v>65</v>
      </c>
      <c r="N125" s="10">
        <v>294</v>
      </c>
      <c r="O125" s="10">
        <v>4</v>
      </c>
      <c r="P125" s="10">
        <v>1</v>
      </c>
    </row>
    <row r="126" spans="4:16" x14ac:dyDescent="0.25">
      <c r="D126" s="109">
        <v>122</v>
      </c>
      <c r="E126" s="10">
        <v>292</v>
      </c>
      <c r="F126" s="10">
        <v>4</v>
      </c>
      <c r="G126" s="10">
        <v>1</v>
      </c>
      <c r="H126" s="5" t="str">
        <f t="shared" si="3"/>
        <v>det_292</v>
      </c>
      <c r="I126" s="5" t="str">
        <f t="shared" si="4"/>
        <v>I:\Transportation Performance\Data\ADOT FMS\1. Raw Data\2018\data files\test\det_292.txt</v>
      </c>
      <c r="J126" s="5" t="str">
        <f t="shared" si="5"/>
        <v>I:\Transportation Performance\Data\ADOT FMS\1. Raw Data\2018\data files\test\det_292.xlsx</v>
      </c>
      <c r="K126" s="5"/>
      <c r="M126" s="114" t="s">
        <v>65</v>
      </c>
      <c r="N126" s="10">
        <v>292</v>
      </c>
      <c r="O126" s="10">
        <v>4</v>
      </c>
      <c r="P126" s="10">
        <v>1</v>
      </c>
    </row>
    <row r="127" spans="4:16" x14ac:dyDescent="0.25">
      <c r="D127" s="109">
        <v>123</v>
      </c>
      <c r="E127" s="115">
        <v>621</v>
      </c>
      <c r="F127" s="115">
        <v>3</v>
      </c>
      <c r="G127" s="115">
        <v>1</v>
      </c>
      <c r="H127" s="5" t="str">
        <f t="shared" si="3"/>
        <v>det_621</v>
      </c>
      <c r="I127" s="5" t="str">
        <f t="shared" si="4"/>
        <v>I:\Transportation Performance\Data\ADOT FMS\1. Raw Data\2018\data files\test\det_621.txt</v>
      </c>
      <c r="J127" s="5" t="str">
        <f t="shared" si="5"/>
        <v>I:\Transportation Performance\Data\ADOT FMS\1. Raw Data\2018\data files\test\det_621.xlsx</v>
      </c>
      <c r="K127" s="5"/>
      <c r="M127" s="114" t="s">
        <v>65</v>
      </c>
      <c r="N127" s="115">
        <v>621</v>
      </c>
      <c r="O127" s="115">
        <v>3</v>
      </c>
      <c r="P127" s="115">
        <v>1</v>
      </c>
    </row>
    <row r="128" spans="4:16" x14ac:dyDescent="0.25">
      <c r="D128" s="109">
        <v>124</v>
      </c>
      <c r="E128" s="115">
        <v>622</v>
      </c>
      <c r="F128" s="115">
        <v>3</v>
      </c>
      <c r="G128" s="115">
        <v>1</v>
      </c>
      <c r="H128" s="5" t="str">
        <f t="shared" si="3"/>
        <v>det_622</v>
      </c>
      <c r="I128" s="5" t="str">
        <f t="shared" si="4"/>
        <v>I:\Transportation Performance\Data\ADOT FMS\1. Raw Data\2018\data files\test\det_622.txt</v>
      </c>
      <c r="J128" s="5" t="str">
        <f t="shared" si="5"/>
        <v>I:\Transportation Performance\Data\ADOT FMS\1. Raw Data\2018\data files\test\det_622.xlsx</v>
      </c>
      <c r="K128" s="5"/>
      <c r="M128" s="114" t="s">
        <v>65</v>
      </c>
      <c r="N128" s="115">
        <v>622</v>
      </c>
      <c r="O128" s="115">
        <v>3</v>
      </c>
      <c r="P128" s="115">
        <v>1</v>
      </c>
    </row>
    <row r="129" spans="4:16" x14ac:dyDescent="0.25">
      <c r="D129" s="109">
        <v>125</v>
      </c>
      <c r="E129" s="115">
        <v>623</v>
      </c>
      <c r="F129" s="115">
        <v>3</v>
      </c>
      <c r="G129" s="115">
        <v>1</v>
      </c>
      <c r="H129" s="5" t="str">
        <f t="shared" si="3"/>
        <v>det_623</v>
      </c>
      <c r="I129" s="5" t="str">
        <f t="shared" si="4"/>
        <v>I:\Transportation Performance\Data\ADOT FMS\1. Raw Data\2018\data files\test\det_623.txt</v>
      </c>
      <c r="J129" s="5" t="str">
        <f t="shared" si="5"/>
        <v>I:\Transportation Performance\Data\ADOT FMS\1. Raw Data\2018\data files\test\det_623.xlsx</v>
      </c>
      <c r="K129" s="5"/>
      <c r="M129" s="114" t="s">
        <v>65</v>
      </c>
      <c r="N129" s="115">
        <v>623</v>
      </c>
      <c r="O129" s="115">
        <v>3</v>
      </c>
      <c r="P129" s="115">
        <v>1</v>
      </c>
    </row>
    <row r="130" spans="4:16" x14ac:dyDescent="0.25">
      <c r="D130" s="109">
        <v>126</v>
      </c>
      <c r="E130" s="10">
        <v>229</v>
      </c>
      <c r="F130" s="10">
        <v>2</v>
      </c>
      <c r="G130" s="10">
        <v>1</v>
      </c>
      <c r="H130" s="5" t="str">
        <f t="shared" si="3"/>
        <v>det_229</v>
      </c>
      <c r="I130" s="5" t="str">
        <f t="shared" si="4"/>
        <v>I:\Transportation Performance\Data\ADOT FMS\1. Raw Data\2018\data files\test\det_229.txt</v>
      </c>
      <c r="J130" s="5" t="str">
        <f t="shared" si="5"/>
        <v>I:\Transportation Performance\Data\ADOT FMS\1. Raw Data\2018\data files\test\det_229.xlsx</v>
      </c>
      <c r="K130" s="5"/>
      <c r="M130" s="114" t="s">
        <v>66</v>
      </c>
      <c r="N130" s="10">
        <v>229</v>
      </c>
      <c r="O130" s="10">
        <v>2</v>
      </c>
      <c r="P130" s="10">
        <v>1</v>
      </c>
    </row>
    <row r="131" spans="4:16" x14ac:dyDescent="0.25">
      <c r="D131" s="109">
        <v>127</v>
      </c>
      <c r="E131" s="112">
        <v>230</v>
      </c>
      <c r="F131" s="112">
        <v>4</v>
      </c>
      <c r="G131" s="112">
        <v>1</v>
      </c>
      <c r="H131" s="5" t="str">
        <f t="shared" si="3"/>
        <v>det_230</v>
      </c>
      <c r="I131" s="5" t="str">
        <f t="shared" si="4"/>
        <v>I:\Transportation Performance\Data\ADOT FMS\1. Raw Data\2018\data files\test\det_230.txt</v>
      </c>
      <c r="J131" s="5" t="str">
        <f t="shared" si="5"/>
        <v>I:\Transportation Performance\Data\ADOT FMS\1. Raw Data\2018\data files\test\det_230.xlsx</v>
      </c>
      <c r="K131" s="5"/>
      <c r="M131" s="114" t="s">
        <v>66</v>
      </c>
      <c r="N131" s="112">
        <v>230</v>
      </c>
      <c r="O131" s="112">
        <v>4</v>
      </c>
      <c r="P131" s="112">
        <v>1</v>
      </c>
    </row>
    <row r="132" spans="4:16" x14ac:dyDescent="0.25">
      <c r="D132" s="109">
        <v>128</v>
      </c>
      <c r="E132" s="10">
        <v>233</v>
      </c>
      <c r="F132" s="10">
        <v>3</v>
      </c>
      <c r="G132" s="10">
        <v>1</v>
      </c>
      <c r="H132" s="5" t="str">
        <f t="shared" si="3"/>
        <v>det_233</v>
      </c>
      <c r="I132" s="5" t="str">
        <f t="shared" si="4"/>
        <v>I:\Transportation Performance\Data\ADOT FMS\1. Raw Data\2018\data files\test\det_233.txt</v>
      </c>
      <c r="J132" s="5" t="str">
        <f t="shared" si="5"/>
        <v>I:\Transportation Performance\Data\ADOT FMS\1. Raw Data\2018\data files\test\det_233.xlsx</v>
      </c>
      <c r="K132" s="5"/>
      <c r="M132" s="114" t="s">
        <v>66</v>
      </c>
      <c r="N132" s="10">
        <v>233</v>
      </c>
      <c r="O132" s="10">
        <v>3</v>
      </c>
      <c r="P132" s="10">
        <v>1</v>
      </c>
    </row>
    <row r="133" spans="4:16" x14ac:dyDescent="0.25">
      <c r="D133" s="109">
        <v>129</v>
      </c>
      <c r="E133" s="10">
        <v>235</v>
      </c>
      <c r="F133" s="10">
        <v>5</v>
      </c>
      <c r="G133" s="10">
        <v>1</v>
      </c>
      <c r="H133" s="5" t="str">
        <f t="shared" ref="H133:H196" si="6">"det_"&amp;E133&amp;""</f>
        <v>det_235</v>
      </c>
      <c r="I133" s="5" t="str">
        <f t="shared" ref="I133:I196" si="7">$B$5&amp;"\"&amp;H133&amp;".txt"</f>
        <v>I:\Transportation Performance\Data\ADOT FMS\1. Raw Data\2018\data files\test\det_235.txt</v>
      </c>
      <c r="J133" s="5" t="str">
        <f t="shared" ref="J133:J196" si="8">$B$5&amp;"\"&amp;H133&amp;".xlsx"</f>
        <v>I:\Transportation Performance\Data\ADOT FMS\1. Raw Data\2018\data files\test\det_235.xlsx</v>
      </c>
      <c r="K133" s="5"/>
      <c r="M133" s="114" t="s">
        <v>66</v>
      </c>
      <c r="N133" s="10">
        <v>235</v>
      </c>
      <c r="O133" s="10">
        <v>5</v>
      </c>
      <c r="P133" s="10">
        <v>1</v>
      </c>
    </row>
    <row r="134" spans="4:16" x14ac:dyDescent="0.25">
      <c r="D134" s="109">
        <v>130</v>
      </c>
      <c r="E134" s="10">
        <v>237</v>
      </c>
      <c r="F134" s="10">
        <v>3</v>
      </c>
      <c r="G134" s="10">
        <v>1</v>
      </c>
      <c r="H134" s="5" t="str">
        <f t="shared" si="6"/>
        <v>det_237</v>
      </c>
      <c r="I134" s="5" t="str">
        <f t="shared" si="7"/>
        <v>I:\Transportation Performance\Data\ADOT FMS\1. Raw Data\2018\data files\test\det_237.txt</v>
      </c>
      <c r="J134" s="5" t="str">
        <f t="shared" si="8"/>
        <v>I:\Transportation Performance\Data\ADOT FMS\1. Raw Data\2018\data files\test\det_237.xlsx</v>
      </c>
      <c r="K134" s="5"/>
      <c r="M134" s="114" t="s">
        <v>66</v>
      </c>
      <c r="N134" s="10">
        <v>237</v>
      </c>
      <c r="O134" s="10">
        <v>3</v>
      </c>
      <c r="P134" s="10">
        <v>1</v>
      </c>
    </row>
    <row r="135" spans="4:16" x14ac:dyDescent="0.25">
      <c r="D135" s="109">
        <v>131</v>
      </c>
      <c r="E135" s="10">
        <v>239</v>
      </c>
      <c r="F135" s="10">
        <v>4</v>
      </c>
      <c r="G135" s="10">
        <v>1</v>
      </c>
      <c r="H135" s="5" t="str">
        <f t="shared" si="6"/>
        <v>det_239</v>
      </c>
      <c r="I135" s="5" t="str">
        <f t="shared" si="7"/>
        <v>I:\Transportation Performance\Data\ADOT FMS\1. Raw Data\2018\data files\test\det_239.txt</v>
      </c>
      <c r="J135" s="5" t="str">
        <f t="shared" si="8"/>
        <v>I:\Transportation Performance\Data\ADOT FMS\1. Raw Data\2018\data files\test\det_239.xlsx</v>
      </c>
      <c r="K135" s="5"/>
      <c r="M135" s="114" t="s">
        <v>66</v>
      </c>
      <c r="N135" s="10">
        <v>239</v>
      </c>
      <c r="O135" s="10">
        <v>4</v>
      </c>
      <c r="P135" s="10">
        <v>1</v>
      </c>
    </row>
    <row r="136" spans="4:16" x14ac:dyDescent="0.25">
      <c r="D136" s="109">
        <v>132</v>
      </c>
      <c r="E136" s="10">
        <v>241</v>
      </c>
      <c r="F136" s="10">
        <v>3</v>
      </c>
      <c r="G136" s="10">
        <v>1</v>
      </c>
      <c r="H136" s="5" t="str">
        <f t="shared" si="6"/>
        <v>det_241</v>
      </c>
      <c r="I136" s="5" t="str">
        <f t="shared" si="7"/>
        <v>I:\Transportation Performance\Data\ADOT FMS\1. Raw Data\2018\data files\test\det_241.txt</v>
      </c>
      <c r="J136" s="5" t="str">
        <f t="shared" si="8"/>
        <v>I:\Transportation Performance\Data\ADOT FMS\1. Raw Data\2018\data files\test\det_241.xlsx</v>
      </c>
      <c r="K136" s="5"/>
      <c r="M136" s="114" t="s">
        <v>66</v>
      </c>
      <c r="N136" s="10">
        <v>241</v>
      </c>
      <c r="O136" s="10">
        <v>3</v>
      </c>
      <c r="P136" s="10">
        <v>1</v>
      </c>
    </row>
    <row r="137" spans="4:16" x14ac:dyDescent="0.25">
      <c r="D137" s="109">
        <v>133</v>
      </c>
      <c r="E137" s="10">
        <v>243</v>
      </c>
      <c r="F137" s="10">
        <v>4</v>
      </c>
      <c r="G137" s="10">
        <v>1</v>
      </c>
      <c r="H137" s="5" t="str">
        <f t="shared" si="6"/>
        <v>det_243</v>
      </c>
      <c r="I137" s="5" t="str">
        <f t="shared" si="7"/>
        <v>I:\Transportation Performance\Data\ADOT FMS\1. Raw Data\2018\data files\test\det_243.txt</v>
      </c>
      <c r="J137" s="5" t="str">
        <f t="shared" si="8"/>
        <v>I:\Transportation Performance\Data\ADOT FMS\1. Raw Data\2018\data files\test\det_243.xlsx</v>
      </c>
      <c r="K137" s="5"/>
      <c r="M137" s="114" t="s">
        <v>66</v>
      </c>
      <c r="N137" s="10">
        <v>243</v>
      </c>
      <c r="O137" s="10">
        <v>4</v>
      </c>
      <c r="P137" s="10">
        <v>1</v>
      </c>
    </row>
    <row r="138" spans="4:16" x14ac:dyDescent="0.25">
      <c r="D138" s="109">
        <v>134</v>
      </c>
      <c r="E138" s="10">
        <v>245</v>
      </c>
      <c r="F138" s="10">
        <v>4</v>
      </c>
      <c r="G138" s="10">
        <v>1</v>
      </c>
      <c r="H138" s="5" t="str">
        <f t="shared" si="6"/>
        <v>det_245</v>
      </c>
      <c r="I138" s="5" t="str">
        <f t="shared" si="7"/>
        <v>I:\Transportation Performance\Data\ADOT FMS\1. Raw Data\2018\data files\test\det_245.txt</v>
      </c>
      <c r="J138" s="5" t="str">
        <f t="shared" si="8"/>
        <v>I:\Transportation Performance\Data\ADOT FMS\1. Raw Data\2018\data files\test\det_245.xlsx</v>
      </c>
      <c r="K138" s="5"/>
      <c r="M138" s="114" t="s">
        <v>66</v>
      </c>
      <c r="N138" s="10">
        <v>245</v>
      </c>
      <c r="O138" s="10">
        <v>4</v>
      </c>
      <c r="P138" s="10">
        <v>1</v>
      </c>
    </row>
    <row r="139" spans="4:16" x14ac:dyDescent="0.25">
      <c r="D139" s="109">
        <v>135</v>
      </c>
      <c r="E139" s="10">
        <v>246</v>
      </c>
      <c r="F139" s="10">
        <v>5</v>
      </c>
      <c r="G139" s="10">
        <v>1</v>
      </c>
      <c r="H139" s="5" t="str">
        <f t="shared" si="6"/>
        <v>det_246</v>
      </c>
      <c r="I139" s="5" t="str">
        <f t="shared" si="7"/>
        <v>I:\Transportation Performance\Data\ADOT FMS\1. Raw Data\2018\data files\test\det_246.txt</v>
      </c>
      <c r="J139" s="5" t="str">
        <f t="shared" si="8"/>
        <v>I:\Transportation Performance\Data\ADOT FMS\1. Raw Data\2018\data files\test\det_246.xlsx</v>
      </c>
      <c r="K139" s="5"/>
      <c r="M139" s="114" t="s">
        <v>66</v>
      </c>
      <c r="N139" s="10">
        <v>246</v>
      </c>
      <c r="O139" s="10">
        <v>5</v>
      </c>
      <c r="P139" s="10">
        <v>1</v>
      </c>
    </row>
    <row r="140" spans="4:16" x14ac:dyDescent="0.25">
      <c r="D140" s="109">
        <v>136</v>
      </c>
      <c r="E140" s="10">
        <v>248</v>
      </c>
      <c r="F140" s="10">
        <v>4</v>
      </c>
      <c r="G140" s="10">
        <v>1</v>
      </c>
      <c r="H140" s="5" t="str">
        <f t="shared" si="6"/>
        <v>det_248</v>
      </c>
      <c r="I140" s="5" t="str">
        <f t="shared" si="7"/>
        <v>I:\Transportation Performance\Data\ADOT FMS\1. Raw Data\2018\data files\test\det_248.txt</v>
      </c>
      <c r="J140" s="5" t="str">
        <f t="shared" si="8"/>
        <v>I:\Transportation Performance\Data\ADOT FMS\1. Raw Data\2018\data files\test\det_248.xlsx</v>
      </c>
      <c r="K140" s="5"/>
      <c r="M140" s="114" t="s">
        <v>66</v>
      </c>
      <c r="N140" s="10">
        <v>248</v>
      </c>
      <c r="O140" s="10">
        <v>4</v>
      </c>
      <c r="P140" s="10">
        <v>1</v>
      </c>
    </row>
    <row r="141" spans="4:16" x14ac:dyDescent="0.25">
      <c r="D141" s="109">
        <v>137</v>
      </c>
      <c r="E141" s="10">
        <v>250</v>
      </c>
      <c r="F141" s="10">
        <v>5</v>
      </c>
      <c r="G141" s="10">
        <v>1</v>
      </c>
      <c r="H141" s="5" t="str">
        <f t="shared" si="6"/>
        <v>det_250</v>
      </c>
      <c r="I141" s="5" t="str">
        <f t="shared" si="7"/>
        <v>I:\Transportation Performance\Data\ADOT FMS\1. Raw Data\2018\data files\test\det_250.txt</v>
      </c>
      <c r="J141" s="5" t="str">
        <f t="shared" si="8"/>
        <v>I:\Transportation Performance\Data\ADOT FMS\1. Raw Data\2018\data files\test\det_250.xlsx</v>
      </c>
      <c r="K141" s="5"/>
      <c r="M141" s="114" t="s">
        <v>66</v>
      </c>
      <c r="N141" s="10">
        <v>250</v>
      </c>
      <c r="O141" s="10">
        <v>5</v>
      </c>
      <c r="P141" s="10">
        <v>1</v>
      </c>
    </row>
    <row r="142" spans="4:16" x14ac:dyDescent="0.25">
      <c r="D142" s="109">
        <v>138</v>
      </c>
      <c r="E142" s="10">
        <v>252</v>
      </c>
      <c r="F142" s="10">
        <v>4</v>
      </c>
      <c r="G142" s="10">
        <v>1</v>
      </c>
      <c r="H142" s="5" t="str">
        <f t="shared" si="6"/>
        <v>det_252</v>
      </c>
      <c r="I142" s="5" t="str">
        <f t="shared" si="7"/>
        <v>I:\Transportation Performance\Data\ADOT FMS\1. Raw Data\2018\data files\test\det_252.txt</v>
      </c>
      <c r="J142" s="5" t="str">
        <f t="shared" si="8"/>
        <v>I:\Transportation Performance\Data\ADOT FMS\1. Raw Data\2018\data files\test\det_252.xlsx</v>
      </c>
      <c r="K142" s="5"/>
      <c r="M142" s="114" t="s">
        <v>66</v>
      </c>
      <c r="N142" s="10">
        <v>252</v>
      </c>
      <c r="O142" s="10">
        <v>4</v>
      </c>
      <c r="P142" s="10">
        <v>1</v>
      </c>
    </row>
    <row r="143" spans="4:16" x14ac:dyDescent="0.25">
      <c r="D143" s="109">
        <v>139</v>
      </c>
      <c r="E143" s="10">
        <v>254</v>
      </c>
      <c r="F143" s="10">
        <v>5</v>
      </c>
      <c r="G143" s="10">
        <v>1</v>
      </c>
      <c r="H143" s="5" t="str">
        <f t="shared" si="6"/>
        <v>det_254</v>
      </c>
      <c r="I143" s="5" t="str">
        <f t="shared" si="7"/>
        <v>I:\Transportation Performance\Data\ADOT FMS\1. Raw Data\2018\data files\test\det_254.txt</v>
      </c>
      <c r="J143" s="5" t="str">
        <f t="shared" si="8"/>
        <v>I:\Transportation Performance\Data\ADOT FMS\1. Raw Data\2018\data files\test\det_254.xlsx</v>
      </c>
      <c r="K143" s="5"/>
      <c r="M143" s="114" t="s">
        <v>66</v>
      </c>
      <c r="N143" s="10">
        <v>254</v>
      </c>
      <c r="O143" s="10">
        <v>5</v>
      </c>
      <c r="P143" s="10">
        <v>1</v>
      </c>
    </row>
    <row r="144" spans="4:16" x14ac:dyDescent="0.25">
      <c r="D144" s="109">
        <v>140</v>
      </c>
      <c r="E144" s="10">
        <v>272</v>
      </c>
      <c r="F144" s="10">
        <v>2</v>
      </c>
      <c r="G144" s="10">
        <v>1</v>
      </c>
      <c r="H144" s="5" t="str">
        <f t="shared" si="6"/>
        <v>det_272</v>
      </c>
      <c r="I144" s="5" t="str">
        <f t="shared" si="7"/>
        <v>I:\Transportation Performance\Data\ADOT FMS\1. Raw Data\2018\data files\test\det_272.txt</v>
      </c>
      <c r="J144" s="5" t="str">
        <f t="shared" si="8"/>
        <v>I:\Transportation Performance\Data\ADOT FMS\1. Raw Data\2018\data files\test\det_272.xlsx</v>
      </c>
      <c r="K144" s="5"/>
      <c r="M144" s="114" t="s">
        <v>66</v>
      </c>
      <c r="N144" s="10">
        <v>272</v>
      </c>
      <c r="O144" s="10">
        <v>2</v>
      </c>
      <c r="P144" s="10">
        <v>1</v>
      </c>
    </row>
    <row r="145" spans="4:16" x14ac:dyDescent="0.25">
      <c r="D145" s="109">
        <v>141</v>
      </c>
      <c r="E145" s="10">
        <v>275</v>
      </c>
      <c r="F145" s="10">
        <v>4</v>
      </c>
      <c r="G145" s="10">
        <v>1</v>
      </c>
      <c r="H145" s="5" t="str">
        <f t="shared" si="6"/>
        <v>det_275</v>
      </c>
      <c r="I145" s="5" t="str">
        <f t="shared" si="7"/>
        <v>I:\Transportation Performance\Data\ADOT FMS\1. Raw Data\2018\data files\test\det_275.txt</v>
      </c>
      <c r="J145" s="5" t="str">
        <f t="shared" si="8"/>
        <v>I:\Transportation Performance\Data\ADOT FMS\1. Raw Data\2018\data files\test\det_275.xlsx</v>
      </c>
      <c r="K145" s="5"/>
      <c r="M145" s="114" t="s">
        <v>66</v>
      </c>
      <c r="N145" s="10">
        <v>275</v>
      </c>
      <c r="O145" s="10">
        <v>4</v>
      </c>
      <c r="P145" s="10">
        <v>1</v>
      </c>
    </row>
    <row r="146" spans="4:16" x14ac:dyDescent="0.25">
      <c r="D146" s="109">
        <v>142</v>
      </c>
      <c r="E146" s="10">
        <v>278</v>
      </c>
      <c r="F146" s="10">
        <v>4</v>
      </c>
      <c r="G146" s="10">
        <v>1</v>
      </c>
      <c r="H146" s="5" t="str">
        <f t="shared" si="6"/>
        <v>det_278</v>
      </c>
      <c r="I146" s="5" t="str">
        <f t="shared" si="7"/>
        <v>I:\Transportation Performance\Data\ADOT FMS\1. Raw Data\2018\data files\test\det_278.txt</v>
      </c>
      <c r="J146" s="5" t="str">
        <f t="shared" si="8"/>
        <v>I:\Transportation Performance\Data\ADOT FMS\1. Raw Data\2018\data files\test\det_278.xlsx</v>
      </c>
      <c r="K146" s="5"/>
      <c r="M146" s="114" t="s">
        <v>66</v>
      </c>
      <c r="N146" s="10">
        <v>278</v>
      </c>
      <c r="O146" s="10">
        <v>4</v>
      </c>
      <c r="P146" s="10">
        <v>1</v>
      </c>
    </row>
    <row r="147" spans="4:16" x14ac:dyDescent="0.25">
      <c r="D147" s="109">
        <v>143</v>
      </c>
      <c r="E147" s="10">
        <v>281</v>
      </c>
      <c r="F147" s="10">
        <v>4</v>
      </c>
      <c r="G147" s="10">
        <v>1</v>
      </c>
      <c r="H147" s="5" t="str">
        <f t="shared" si="6"/>
        <v>det_281</v>
      </c>
      <c r="I147" s="5" t="str">
        <f t="shared" si="7"/>
        <v>I:\Transportation Performance\Data\ADOT FMS\1. Raw Data\2018\data files\test\det_281.txt</v>
      </c>
      <c r="J147" s="5" t="str">
        <f t="shared" si="8"/>
        <v>I:\Transportation Performance\Data\ADOT FMS\1. Raw Data\2018\data files\test\det_281.xlsx</v>
      </c>
      <c r="K147" s="5"/>
      <c r="M147" s="114" t="s">
        <v>66</v>
      </c>
      <c r="N147" s="10">
        <v>281</v>
      </c>
      <c r="O147" s="10">
        <v>4</v>
      </c>
      <c r="P147" s="10">
        <v>1</v>
      </c>
    </row>
    <row r="148" spans="4:16" x14ac:dyDescent="0.25">
      <c r="D148" s="109">
        <v>144</v>
      </c>
      <c r="E148" s="10">
        <v>284</v>
      </c>
      <c r="F148" s="10">
        <v>3</v>
      </c>
      <c r="G148" s="10">
        <v>1</v>
      </c>
      <c r="H148" s="5" t="str">
        <f t="shared" si="6"/>
        <v>det_284</v>
      </c>
      <c r="I148" s="5" t="str">
        <f t="shared" si="7"/>
        <v>I:\Transportation Performance\Data\ADOT FMS\1. Raw Data\2018\data files\test\det_284.txt</v>
      </c>
      <c r="J148" s="5" t="str">
        <f t="shared" si="8"/>
        <v>I:\Transportation Performance\Data\ADOT FMS\1. Raw Data\2018\data files\test\det_284.xlsx</v>
      </c>
      <c r="K148" s="5"/>
      <c r="M148" s="114" t="s">
        <v>66</v>
      </c>
      <c r="N148" s="10">
        <v>284</v>
      </c>
      <c r="O148" s="10">
        <v>3</v>
      </c>
      <c r="P148" s="10">
        <v>1</v>
      </c>
    </row>
    <row r="149" spans="4:16" x14ac:dyDescent="0.25">
      <c r="D149" s="109">
        <v>145</v>
      </c>
      <c r="E149" s="10">
        <v>286</v>
      </c>
      <c r="F149" s="10">
        <v>3</v>
      </c>
      <c r="G149" s="10">
        <v>1</v>
      </c>
      <c r="H149" s="5" t="str">
        <f t="shared" si="6"/>
        <v>det_286</v>
      </c>
      <c r="I149" s="5" t="str">
        <f t="shared" si="7"/>
        <v>I:\Transportation Performance\Data\ADOT FMS\1. Raw Data\2018\data files\test\det_286.txt</v>
      </c>
      <c r="J149" s="5" t="str">
        <f t="shared" si="8"/>
        <v>I:\Transportation Performance\Data\ADOT FMS\1. Raw Data\2018\data files\test\det_286.xlsx</v>
      </c>
      <c r="K149" s="5"/>
      <c r="M149" s="114" t="s">
        <v>66</v>
      </c>
      <c r="N149" s="10">
        <v>286</v>
      </c>
      <c r="O149" s="10">
        <v>3</v>
      </c>
      <c r="P149" s="10">
        <v>1</v>
      </c>
    </row>
    <row r="150" spans="4:16" x14ac:dyDescent="0.25">
      <c r="D150" s="109">
        <v>146</v>
      </c>
      <c r="E150" s="10">
        <v>288</v>
      </c>
      <c r="F150" s="10">
        <v>3</v>
      </c>
      <c r="G150" s="10">
        <v>1</v>
      </c>
      <c r="H150" s="5" t="str">
        <f t="shared" si="6"/>
        <v>det_288</v>
      </c>
      <c r="I150" s="5" t="str">
        <f t="shared" si="7"/>
        <v>I:\Transportation Performance\Data\ADOT FMS\1. Raw Data\2018\data files\test\det_288.txt</v>
      </c>
      <c r="J150" s="5" t="str">
        <f t="shared" si="8"/>
        <v>I:\Transportation Performance\Data\ADOT FMS\1. Raw Data\2018\data files\test\det_288.xlsx</v>
      </c>
      <c r="K150" s="5"/>
      <c r="M150" s="114" t="s">
        <v>66</v>
      </c>
      <c r="N150" s="10">
        <v>288</v>
      </c>
      <c r="O150" s="10">
        <v>3</v>
      </c>
      <c r="P150" s="10">
        <v>1</v>
      </c>
    </row>
    <row r="151" spans="4:16" x14ac:dyDescent="0.25">
      <c r="D151" s="109">
        <v>147</v>
      </c>
      <c r="E151" s="10">
        <v>225</v>
      </c>
      <c r="F151" s="10">
        <v>3</v>
      </c>
      <c r="G151" s="10">
        <v>1</v>
      </c>
      <c r="H151" s="5" t="str">
        <f t="shared" si="6"/>
        <v>det_225</v>
      </c>
      <c r="I151" s="5" t="str">
        <f t="shared" si="7"/>
        <v>I:\Transportation Performance\Data\ADOT FMS\1. Raw Data\2018\data files\test\det_225.txt</v>
      </c>
      <c r="J151" s="5" t="str">
        <f t="shared" si="8"/>
        <v>I:\Transportation Performance\Data\ADOT FMS\1. Raw Data\2018\data files\test\det_225.xlsx</v>
      </c>
      <c r="K151" s="5"/>
      <c r="M151" s="114" t="s">
        <v>66</v>
      </c>
      <c r="N151" s="10">
        <v>225</v>
      </c>
      <c r="O151" s="10">
        <v>3</v>
      </c>
      <c r="P151" s="10">
        <v>1</v>
      </c>
    </row>
    <row r="152" spans="4:16" x14ac:dyDescent="0.25">
      <c r="D152" s="109">
        <v>148</v>
      </c>
      <c r="E152" s="10">
        <v>223</v>
      </c>
      <c r="F152" s="10">
        <v>4</v>
      </c>
      <c r="G152" s="10">
        <v>1</v>
      </c>
      <c r="H152" s="5" t="str">
        <f t="shared" si="6"/>
        <v>det_223</v>
      </c>
      <c r="I152" s="5" t="str">
        <f t="shared" si="7"/>
        <v>I:\Transportation Performance\Data\ADOT FMS\1. Raw Data\2018\data files\test\det_223.txt</v>
      </c>
      <c r="J152" s="5" t="str">
        <f t="shared" si="8"/>
        <v>I:\Transportation Performance\Data\ADOT FMS\1. Raw Data\2018\data files\test\det_223.xlsx</v>
      </c>
      <c r="K152" s="5"/>
      <c r="M152" s="114" t="s">
        <v>66</v>
      </c>
      <c r="N152" s="10">
        <v>223</v>
      </c>
      <c r="O152" s="10">
        <v>4</v>
      </c>
      <c r="P152" s="10">
        <v>1</v>
      </c>
    </row>
    <row r="153" spans="4:16" x14ac:dyDescent="0.25">
      <c r="D153" s="109">
        <v>149</v>
      </c>
      <c r="E153" s="10">
        <v>220</v>
      </c>
      <c r="F153" s="10">
        <v>3</v>
      </c>
      <c r="G153" s="10">
        <v>1</v>
      </c>
      <c r="H153" s="5" t="str">
        <f t="shared" si="6"/>
        <v>det_220</v>
      </c>
      <c r="I153" s="5" t="str">
        <f t="shared" si="7"/>
        <v>I:\Transportation Performance\Data\ADOT FMS\1. Raw Data\2018\data files\test\det_220.txt</v>
      </c>
      <c r="J153" s="5" t="str">
        <f t="shared" si="8"/>
        <v>I:\Transportation Performance\Data\ADOT FMS\1. Raw Data\2018\data files\test\det_220.xlsx</v>
      </c>
      <c r="K153" s="5"/>
      <c r="M153" s="114" t="s">
        <v>66</v>
      </c>
      <c r="N153" s="10">
        <v>220</v>
      </c>
      <c r="O153" s="10">
        <v>3</v>
      </c>
      <c r="P153" s="10">
        <v>1</v>
      </c>
    </row>
    <row r="154" spans="4:16" x14ac:dyDescent="0.25">
      <c r="D154" s="109">
        <v>150</v>
      </c>
      <c r="E154" s="10">
        <v>217</v>
      </c>
      <c r="F154" s="10">
        <v>2</v>
      </c>
      <c r="G154" s="10">
        <v>1</v>
      </c>
      <c r="H154" s="5" t="str">
        <f t="shared" si="6"/>
        <v>det_217</v>
      </c>
      <c r="I154" s="5" t="str">
        <f t="shared" si="7"/>
        <v>I:\Transportation Performance\Data\ADOT FMS\1. Raw Data\2018\data files\test\det_217.txt</v>
      </c>
      <c r="J154" s="5" t="str">
        <f t="shared" si="8"/>
        <v>I:\Transportation Performance\Data\ADOT FMS\1. Raw Data\2018\data files\test\det_217.xlsx</v>
      </c>
      <c r="K154" s="5"/>
      <c r="M154" s="114" t="s">
        <v>66</v>
      </c>
      <c r="N154" s="10">
        <v>217</v>
      </c>
      <c r="O154" s="10">
        <v>2</v>
      </c>
      <c r="P154" s="10">
        <v>1</v>
      </c>
    </row>
    <row r="155" spans="4:16" x14ac:dyDescent="0.25">
      <c r="D155" s="109">
        <v>151</v>
      </c>
      <c r="E155" s="10">
        <v>427</v>
      </c>
      <c r="F155" s="10">
        <v>3</v>
      </c>
      <c r="G155" s="10">
        <v>1</v>
      </c>
      <c r="H155" s="5" t="str">
        <f t="shared" si="6"/>
        <v>det_427</v>
      </c>
      <c r="I155" s="5" t="str">
        <f t="shared" si="7"/>
        <v>I:\Transportation Performance\Data\ADOT FMS\1. Raw Data\2018\data files\test\det_427.txt</v>
      </c>
      <c r="J155" s="5" t="str">
        <f t="shared" si="8"/>
        <v>I:\Transportation Performance\Data\ADOT FMS\1. Raw Data\2018\data files\test\det_427.xlsx</v>
      </c>
      <c r="K155" s="5"/>
      <c r="M155" s="114" t="s">
        <v>67</v>
      </c>
      <c r="N155" s="10">
        <v>427</v>
      </c>
      <c r="O155" s="10">
        <v>3</v>
      </c>
      <c r="P155" s="10">
        <v>1</v>
      </c>
    </row>
    <row r="156" spans="4:16" x14ac:dyDescent="0.25">
      <c r="D156" s="109">
        <v>152</v>
      </c>
      <c r="E156" s="10">
        <v>428</v>
      </c>
      <c r="F156" s="10">
        <v>4</v>
      </c>
      <c r="G156" s="10">
        <v>1</v>
      </c>
      <c r="H156" s="5" t="str">
        <f t="shared" si="6"/>
        <v>det_428</v>
      </c>
      <c r="I156" s="5" t="str">
        <f t="shared" si="7"/>
        <v>I:\Transportation Performance\Data\ADOT FMS\1. Raw Data\2018\data files\test\det_428.txt</v>
      </c>
      <c r="J156" s="5" t="str">
        <f t="shared" si="8"/>
        <v>I:\Transportation Performance\Data\ADOT FMS\1. Raw Data\2018\data files\test\det_428.xlsx</v>
      </c>
      <c r="K156" s="5"/>
      <c r="M156" s="114" t="s">
        <v>67</v>
      </c>
      <c r="N156" s="10">
        <v>428</v>
      </c>
      <c r="O156" s="10">
        <v>4</v>
      </c>
      <c r="P156" s="10">
        <v>1</v>
      </c>
    </row>
    <row r="157" spans="4:16" x14ac:dyDescent="0.25">
      <c r="D157" s="109">
        <v>153</v>
      </c>
      <c r="E157" s="10">
        <v>432</v>
      </c>
      <c r="F157" s="10">
        <v>4</v>
      </c>
      <c r="G157" s="10">
        <v>1</v>
      </c>
      <c r="H157" s="5" t="str">
        <f t="shared" si="6"/>
        <v>det_432</v>
      </c>
      <c r="I157" s="5" t="str">
        <f t="shared" si="7"/>
        <v>I:\Transportation Performance\Data\ADOT FMS\1. Raw Data\2018\data files\test\det_432.txt</v>
      </c>
      <c r="J157" s="5" t="str">
        <f t="shared" si="8"/>
        <v>I:\Transportation Performance\Data\ADOT FMS\1. Raw Data\2018\data files\test\det_432.xlsx</v>
      </c>
      <c r="K157" s="5"/>
      <c r="M157" s="114" t="s">
        <v>67</v>
      </c>
      <c r="N157" s="10">
        <v>432</v>
      </c>
      <c r="O157" s="10">
        <v>4</v>
      </c>
      <c r="P157" s="10">
        <v>1</v>
      </c>
    </row>
    <row r="158" spans="4:16" x14ac:dyDescent="0.25">
      <c r="D158" s="109">
        <v>154</v>
      </c>
      <c r="E158" s="10">
        <v>435</v>
      </c>
      <c r="F158" s="10">
        <v>4</v>
      </c>
      <c r="G158" s="10">
        <v>1</v>
      </c>
      <c r="H158" s="5" t="str">
        <f t="shared" si="6"/>
        <v>det_435</v>
      </c>
      <c r="I158" s="5" t="str">
        <f t="shared" si="7"/>
        <v>I:\Transportation Performance\Data\ADOT FMS\1. Raw Data\2018\data files\test\det_435.txt</v>
      </c>
      <c r="J158" s="5" t="str">
        <f t="shared" si="8"/>
        <v>I:\Transportation Performance\Data\ADOT FMS\1. Raw Data\2018\data files\test\det_435.xlsx</v>
      </c>
      <c r="K158" s="5"/>
      <c r="M158" s="114" t="s">
        <v>67</v>
      </c>
      <c r="N158" s="10">
        <v>435</v>
      </c>
      <c r="O158" s="10">
        <v>4</v>
      </c>
      <c r="P158" s="10">
        <v>1</v>
      </c>
    </row>
    <row r="159" spans="4:16" x14ac:dyDescent="0.25">
      <c r="D159" s="109">
        <v>155</v>
      </c>
      <c r="E159" s="10">
        <v>438</v>
      </c>
      <c r="F159" s="10">
        <v>3</v>
      </c>
      <c r="G159" s="10">
        <v>1</v>
      </c>
      <c r="H159" s="5" t="str">
        <f t="shared" si="6"/>
        <v>det_438</v>
      </c>
      <c r="I159" s="5" t="str">
        <f t="shared" si="7"/>
        <v>I:\Transportation Performance\Data\ADOT FMS\1. Raw Data\2018\data files\test\det_438.txt</v>
      </c>
      <c r="J159" s="5" t="str">
        <f t="shared" si="8"/>
        <v>I:\Transportation Performance\Data\ADOT FMS\1. Raw Data\2018\data files\test\det_438.xlsx</v>
      </c>
      <c r="K159" s="5"/>
      <c r="M159" s="114" t="s">
        <v>67</v>
      </c>
      <c r="N159" s="10">
        <v>438</v>
      </c>
      <c r="O159" s="10">
        <v>3</v>
      </c>
      <c r="P159" s="10">
        <v>1</v>
      </c>
    </row>
    <row r="160" spans="4:16" x14ac:dyDescent="0.25">
      <c r="D160" s="109">
        <v>156</v>
      </c>
      <c r="E160" s="10">
        <v>439</v>
      </c>
      <c r="F160" s="10">
        <v>4</v>
      </c>
      <c r="G160" s="10">
        <v>1</v>
      </c>
      <c r="H160" s="5" t="str">
        <f t="shared" si="6"/>
        <v>det_439</v>
      </c>
      <c r="I160" s="5" t="str">
        <f t="shared" si="7"/>
        <v>I:\Transportation Performance\Data\ADOT FMS\1. Raw Data\2018\data files\test\det_439.txt</v>
      </c>
      <c r="J160" s="5" t="str">
        <f t="shared" si="8"/>
        <v>I:\Transportation Performance\Data\ADOT FMS\1. Raw Data\2018\data files\test\det_439.xlsx</v>
      </c>
      <c r="K160" s="5"/>
      <c r="M160" s="114" t="s">
        <v>67</v>
      </c>
      <c r="N160" s="10">
        <v>439</v>
      </c>
      <c r="O160" s="10">
        <v>4</v>
      </c>
      <c r="P160" s="10">
        <v>1</v>
      </c>
    </row>
    <row r="161" spans="4:16" x14ac:dyDescent="0.25">
      <c r="D161" s="109">
        <v>157</v>
      </c>
      <c r="E161" s="10">
        <v>494</v>
      </c>
      <c r="F161" s="10">
        <v>4</v>
      </c>
      <c r="G161" s="10">
        <v>1</v>
      </c>
      <c r="H161" s="5" t="str">
        <f t="shared" si="6"/>
        <v>det_494</v>
      </c>
      <c r="I161" s="5" t="str">
        <f t="shared" si="7"/>
        <v>I:\Transportation Performance\Data\ADOT FMS\1. Raw Data\2018\data files\test\det_494.txt</v>
      </c>
      <c r="J161" s="5" t="str">
        <f t="shared" si="8"/>
        <v>I:\Transportation Performance\Data\ADOT FMS\1. Raw Data\2018\data files\test\det_494.xlsx</v>
      </c>
      <c r="K161" s="5"/>
      <c r="M161" s="114" t="s">
        <v>67</v>
      </c>
      <c r="N161" s="10">
        <v>494</v>
      </c>
      <c r="O161" s="10">
        <v>4</v>
      </c>
      <c r="P161" s="10">
        <v>1</v>
      </c>
    </row>
    <row r="162" spans="4:16" x14ac:dyDescent="0.25">
      <c r="D162" s="109">
        <v>158</v>
      </c>
      <c r="E162" s="10">
        <v>497</v>
      </c>
      <c r="F162" s="10">
        <v>3</v>
      </c>
      <c r="G162" s="10">
        <v>1</v>
      </c>
      <c r="H162" s="5" t="str">
        <f t="shared" si="6"/>
        <v>det_497</v>
      </c>
      <c r="I162" s="5" t="str">
        <f t="shared" si="7"/>
        <v>I:\Transportation Performance\Data\ADOT FMS\1. Raw Data\2018\data files\test\det_497.txt</v>
      </c>
      <c r="J162" s="5" t="str">
        <f t="shared" si="8"/>
        <v>I:\Transportation Performance\Data\ADOT FMS\1. Raw Data\2018\data files\test\det_497.xlsx</v>
      </c>
      <c r="K162" s="5"/>
      <c r="M162" s="114" t="s">
        <v>67</v>
      </c>
      <c r="N162" s="10">
        <v>497</v>
      </c>
      <c r="O162" s="10">
        <v>3</v>
      </c>
      <c r="P162" s="10">
        <v>1</v>
      </c>
    </row>
    <row r="163" spans="4:16" x14ac:dyDescent="0.25">
      <c r="D163" s="109">
        <v>159</v>
      </c>
      <c r="E163" s="10">
        <v>500</v>
      </c>
      <c r="F163" s="10">
        <v>3</v>
      </c>
      <c r="G163" s="10">
        <v>1</v>
      </c>
      <c r="H163" s="5" t="str">
        <f t="shared" si="6"/>
        <v>det_500</v>
      </c>
      <c r="I163" s="5" t="str">
        <f t="shared" si="7"/>
        <v>I:\Transportation Performance\Data\ADOT FMS\1. Raw Data\2018\data files\test\det_500.txt</v>
      </c>
      <c r="J163" s="5" t="str">
        <f t="shared" si="8"/>
        <v>I:\Transportation Performance\Data\ADOT FMS\1. Raw Data\2018\data files\test\det_500.xlsx</v>
      </c>
      <c r="K163" s="5"/>
      <c r="M163" s="114" t="s">
        <v>67</v>
      </c>
      <c r="N163" s="10">
        <v>500</v>
      </c>
      <c r="O163" s="10">
        <v>3</v>
      </c>
      <c r="P163" s="10">
        <v>1</v>
      </c>
    </row>
    <row r="164" spans="4:16" x14ac:dyDescent="0.25">
      <c r="D164" s="109">
        <v>160</v>
      </c>
      <c r="E164" s="10">
        <v>504</v>
      </c>
      <c r="F164" s="10">
        <v>3</v>
      </c>
      <c r="G164" s="10">
        <v>0</v>
      </c>
      <c r="H164" s="5" t="str">
        <f t="shared" si="6"/>
        <v>det_504</v>
      </c>
      <c r="I164" s="5" t="str">
        <f t="shared" si="7"/>
        <v>I:\Transportation Performance\Data\ADOT FMS\1. Raw Data\2018\data files\test\det_504.txt</v>
      </c>
      <c r="J164" s="5" t="str">
        <f t="shared" si="8"/>
        <v>I:\Transportation Performance\Data\ADOT FMS\1. Raw Data\2018\data files\test\det_504.xlsx</v>
      </c>
      <c r="K164" s="5"/>
      <c r="M164" s="114" t="s">
        <v>67</v>
      </c>
      <c r="N164" s="10">
        <v>504</v>
      </c>
      <c r="O164" s="10">
        <v>3</v>
      </c>
      <c r="P164" s="10">
        <v>0</v>
      </c>
    </row>
    <row r="165" spans="4:16" x14ac:dyDescent="0.25">
      <c r="D165" s="109">
        <v>161</v>
      </c>
      <c r="E165" s="10">
        <v>441</v>
      </c>
      <c r="F165" s="10">
        <v>3</v>
      </c>
      <c r="G165" s="10">
        <v>1</v>
      </c>
      <c r="H165" s="5" t="str">
        <f t="shared" si="6"/>
        <v>det_441</v>
      </c>
      <c r="I165" s="5" t="str">
        <f t="shared" si="7"/>
        <v>I:\Transportation Performance\Data\ADOT FMS\1. Raw Data\2018\data files\test\det_441.txt</v>
      </c>
      <c r="J165" s="5" t="str">
        <f t="shared" si="8"/>
        <v>I:\Transportation Performance\Data\ADOT FMS\1. Raw Data\2018\data files\test\det_441.xlsx</v>
      </c>
      <c r="K165" s="5"/>
      <c r="M165" s="114" t="s">
        <v>68</v>
      </c>
      <c r="N165" s="10">
        <v>441</v>
      </c>
      <c r="O165" s="10">
        <v>3</v>
      </c>
      <c r="P165" s="10">
        <v>1</v>
      </c>
    </row>
    <row r="166" spans="4:16" x14ac:dyDescent="0.25">
      <c r="D166" s="109">
        <v>162</v>
      </c>
      <c r="E166" s="10">
        <v>444</v>
      </c>
      <c r="F166" s="10">
        <v>5</v>
      </c>
      <c r="G166" s="10">
        <v>1</v>
      </c>
      <c r="H166" s="5" t="str">
        <f t="shared" si="6"/>
        <v>det_444</v>
      </c>
      <c r="I166" s="5" t="str">
        <f t="shared" si="7"/>
        <v>I:\Transportation Performance\Data\ADOT FMS\1. Raw Data\2018\data files\test\det_444.txt</v>
      </c>
      <c r="J166" s="5" t="str">
        <f t="shared" si="8"/>
        <v>I:\Transportation Performance\Data\ADOT FMS\1. Raw Data\2018\data files\test\det_444.xlsx</v>
      </c>
      <c r="K166" s="5"/>
      <c r="M166" s="114" t="s">
        <v>68</v>
      </c>
      <c r="N166" s="10">
        <v>444</v>
      </c>
      <c r="O166" s="10">
        <v>5</v>
      </c>
      <c r="P166" s="10">
        <v>1</v>
      </c>
    </row>
    <row r="167" spans="4:16" x14ac:dyDescent="0.25">
      <c r="D167" s="109">
        <v>163</v>
      </c>
      <c r="E167" s="10">
        <v>447</v>
      </c>
      <c r="F167" s="10">
        <v>5</v>
      </c>
      <c r="G167" s="10">
        <v>1</v>
      </c>
      <c r="H167" s="5" t="str">
        <f t="shared" si="6"/>
        <v>det_447</v>
      </c>
      <c r="I167" s="5" t="str">
        <f t="shared" si="7"/>
        <v>I:\Transportation Performance\Data\ADOT FMS\1. Raw Data\2018\data files\test\det_447.txt</v>
      </c>
      <c r="J167" s="5" t="str">
        <f t="shared" si="8"/>
        <v>I:\Transportation Performance\Data\ADOT FMS\1. Raw Data\2018\data files\test\det_447.xlsx</v>
      </c>
      <c r="K167" s="5"/>
      <c r="M167" s="114" t="s">
        <v>68</v>
      </c>
      <c r="N167" s="10">
        <v>447</v>
      </c>
      <c r="O167" s="10">
        <v>5</v>
      </c>
      <c r="P167" s="10">
        <v>1</v>
      </c>
    </row>
    <row r="168" spans="4:16" x14ac:dyDescent="0.25">
      <c r="D168" s="109">
        <v>164</v>
      </c>
      <c r="E168" s="10">
        <v>450</v>
      </c>
      <c r="F168" s="10">
        <v>5</v>
      </c>
      <c r="G168" s="10">
        <v>1</v>
      </c>
      <c r="H168" s="5" t="str">
        <f t="shared" si="6"/>
        <v>det_450</v>
      </c>
      <c r="I168" s="5" t="str">
        <f t="shared" si="7"/>
        <v>I:\Transportation Performance\Data\ADOT FMS\1. Raw Data\2018\data files\test\det_450.txt</v>
      </c>
      <c r="J168" s="5" t="str">
        <f t="shared" si="8"/>
        <v>I:\Transportation Performance\Data\ADOT FMS\1. Raw Data\2018\data files\test\det_450.xlsx</v>
      </c>
      <c r="K168" s="5"/>
      <c r="M168" s="114" t="s">
        <v>68</v>
      </c>
      <c r="N168" s="10">
        <v>450</v>
      </c>
      <c r="O168" s="10">
        <v>5</v>
      </c>
      <c r="P168" s="10">
        <v>1</v>
      </c>
    </row>
    <row r="169" spans="4:16" x14ac:dyDescent="0.25">
      <c r="D169" s="109">
        <v>165</v>
      </c>
      <c r="E169" s="10">
        <v>453</v>
      </c>
      <c r="F169" s="10">
        <v>5</v>
      </c>
      <c r="G169" s="10">
        <v>1</v>
      </c>
      <c r="H169" s="5" t="str">
        <f t="shared" si="6"/>
        <v>det_453</v>
      </c>
      <c r="I169" s="5" t="str">
        <f t="shared" si="7"/>
        <v>I:\Transportation Performance\Data\ADOT FMS\1. Raw Data\2018\data files\test\det_453.txt</v>
      </c>
      <c r="J169" s="5" t="str">
        <f t="shared" si="8"/>
        <v>I:\Transportation Performance\Data\ADOT FMS\1. Raw Data\2018\data files\test\det_453.xlsx</v>
      </c>
      <c r="K169" s="5"/>
      <c r="M169" s="114" t="s">
        <v>68</v>
      </c>
      <c r="N169" s="10">
        <v>453</v>
      </c>
      <c r="O169" s="10">
        <v>5</v>
      </c>
      <c r="P169" s="10">
        <v>1</v>
      </c>
    </row>
    <row r="170" spans="4:16" x14ac:dyDescent="0.25">
      <c r="D170" s="109">
        <v>166</v>
      </c>
      <c r="E170" s="10">
        <v>456</v>
      </c>
      <c r="F170" s="10">
        <v>5</v>
      </c>
      <c r="G170" s="10">
        <v>1</v>
      </c>
      <c r="H170" s="5" t="str">
        <f t="shared" si="6"/>
        <v>det_456</v>
      </c>
      <c r="I170" s="5" t="str">
        <f t="shared" si="7"/>
        <v>I:\Transportation Performance\Data\ADOT FMS\1. Raw Data\2018\data files\test\det_456.txt</v>
      </c>
      <c r="J170" s="5" t="str">
        <f t="shared" si="8"/>
        <v>I:\Transportation Performance\Data\ADOT FMS\1. Raw Data\2018\data files\test\det_456.xlsx</v>
      </c>
      <c r="K170" s="5"/>
      <c r="M170" s="114" t="s">
        <v>68</v>
      </c>
      <c r="N170" s="10">
        <v>456</v>
      </c>
      <c r="O170" s="10">
        <v>5</v>
      </c>
      <c r="P170" s="10">
        <v>1</v>
      </c>
    </row>
    <row r="171" spans="4:16" x14ac:dyDescent="0.25">
      <c r="D171" s="109">
        <v>167</v>
      </c>
      <c r="E171" s="10">
        <v>459</v>
      </c>
      <c r="F171" s="10">
        <v>5</v>
      </c>
      <c r="G171" s="10">
        <v>1</v>
      </c>
      <c r="H171" s="5" t="str">
        <f t="shared" si="6"/>
        <v>det_459</v>
      </c>
      <c r="I171" s="5" t="str">
        <f t="shared" si="7"/>
        <v>I:\Transportation Performance\Data\ADOT FMS\1. Raw Data\2018\data files\test\det_459.txt</v>
      </c>
      <c r="J171" s="5" t="str">
        <f t="shared" si="8"/>
        <v>I:\Transportation Performance\Data\ADOT FMS\1. Raw Data\2018\data files\test\det_459.xlsx</v>
      </c>
      <c r="K171" s="5"/>
      <c r="M171" s="114" t="s">
        <v>68</v>
      </c>
      <c r="N171" s="10">
        <v>459</v>
      </c>
      <c r="O171" s="10">
        <v>5</v>
      </c>
      <c r="P171" s="10">
        <v>1</v>
      </c>
    </row>
    <row r="172" spans="4:16" x14ac:dyDescent="0.25">
      <c r="D172" s="109">
        <v>168</v>
      </c>
      <c r="E172" s="10">
        <v>462</v>
      </c>
      <c r="F172" s="10">
        <v>5</v>
      </c>
      <c r="G172" s="10">
        <v>1</v>
      </c>
      <c r="H172" s="5" t="str">
        <f t="shared" si="6"/>
        <v>det_462</v>
      </c>
      <c r="I172" s="5" t="str">
        <f t="shared" si="7"/>
        <v>I:\Transportation Performance\Data\ADOT FMS\1. Raw Data\2018\data files\test\det_462.txt</v>
      </c>
      <c r="J172" s="5" t="str">
        <f t="shared" si="8"/>
        <v>I:\Transportation Performance\Data\ADOT FMS\1. Raw Data\2018\data files\test\det_462.xlsx</v>
      </c>
      <c r="K172" s="5"/>
      <c r="M172" s="114" t="s">
        <v>68</v>
      </c>
      <c r="N172" s="10">
        <v>462</v>
      </c>
      <c r="O172" s="10">
        <v>5</v>
      </c>
      <c r="P172" s="10">
        <v>1</v>
      </c>
    </row>
    <row r="173" spans="4:16" x14ac:dyDescent="0.25">
      <c r="D173" s="109">
        <v>169</v>
      </c>
      <c r="E173" s="10">
        <v>467</v>
      </c>
      <c r="F173" s="10">
        <v>5</v>
      </c>
      <c r="G173" s="10">
        <v>1</v>
      </c>
      <c r="H173" s="5" t="str">
        <f t="shared" si="6"/>
        <v>det_467</v>
      </c>
      <c r="I173" s="5" t="str">
        <f t="shared" si="7"/>
        <v>I:\Transportation Performance\Data\ADOT FMS\1. Raw Data\2018\data files\test\det_467.txt</v>
      </c>
      <c r="J173" s="5" t="str">
        <f t="shared" si="8"/>
        <v>I:\Transportation Performance\Data\ADOT FMS\1. Raw Data\2018\data files\test\det_467.xlsx</v>
      </c>
      <c r="K173" s="5"/>
      <c r="M173" s="114" t="s">
        <v>68</v>
      </c>
      <c r="N173" s="10">
        <v>467</v>
      </c>
      <c r="O173" s="10">
        <v>5</v>
      </c>
      <c r="P173" s="10">
        <v>1</v>
      </c>
    </row>
    <row r="174" spans="4:16" x14ac:dyDescent="0.25">
      <c r="D174" s="109">
        <v>170</v>
      </c>
      <c r="E174" s="10">
        <v>470</v>
      </c>
      <c r="F174" s="10">
        <v>5</v>
      </c>
      <c r="G174" s="10">
        <v>1</v>
      </c>
      <c r="H174" s="5" t="str">
        <f t="shared" si="6"/>
        <v>det_470</v>
      </c>
      <c r="I174" s="5" t="str">
        <f t="shared" si="7"/>
        <v>I:\Transportation Performance\Data\ADOT FMS\1. Raw Data\2018\data files\test\det_470.txt</v>
      </c>
      <c r="J174" s="5" t="str">
        <f t="shared" si="8"/>
        <v>I:\Transportation Performance\Data\ADOT FMS\1. Raw Data\2018\data files\test\det_470.xlsx</v>
      </c>
      <c r="K174" s="5"/>
      <c r="M174" s="114" t="s">
        <v>68</v>
      </c>
      <c r="N174" s="10">
        <v>470</v>
      </c>
      <c r="O174" s="10">
        <v>5</v>
      </c>
      <c r="P174" s="10">
        <v>1</v>
      </c>
    </row>
    <row r="175" spans="4:16" x14ac:dyDescent="0.25">
      <c r="D175" s="109">
        <v>171</v>
      </c>
      <c r="E175" s="10">
        <v>473</v>
      </c>
      <c r="F175" s="10">
        <v>5</v>
      </c>
      <c r="G175" s="10">
        <v>1</v>
      </c>
      <c r="H175" s="5" t="str">
        <f t="shared" si="6"/>
        <v>det_473</v>
      </c>
      <c r="I175" s="5" t="str">
        <f t="shared" si="7"/>
        <v>I:\Transportation Performance\Data\ADOT FMS\1. Raw Data\2018\data files\test\det_473.txt</v>
      </c>
      <c r="J175" s="5" t="str">
        <f t="shared" si="8"/>
        <v>I:\Transportation Performance\Data\ADOT FMS\1. Raw Data\2018\data files\test\det_473.xlsx</v>
      </c>
      <c r="K175" s="5"/>
      <c r="M175" s="114" t="s">
        <v>68</v>
      </c>
      <c r="N175" s="10">
        <v>473</v>
      </c>
      <c r="O175" s="10">
        <v>5</v>
      </c>
      <c r="P175" s="10">
        <v>1</v>
      </c>
    </row>
    <row r="176" spans="4:16" x14ac:dyDescent="0.25">
      <c r="D176" s="109">
        <v>172</v>
      </c>
      <c r="E176" s="10">
        <v>476</v>
      </c>
      <c r="F176" s="10">
        <v>5</v>
      </c>
      <c r="G176" s="10">
        <v>1</v>
      </c>
      <c r="H176" s="5" t="str">
        <f t="shared" si="6"/>
        <v>det_476</v>
      </c>
      <c r="I176" s="5" t="str">
        <f t="shared" si="7"/>
        <v>I:\Transportation Performance\Data\ADOT FMS\1. Raw Data\2018\data files\test\det_476.txt</v>
      </c>
      <c r="J176" s="5" t="str">
        <f t="shared" si="8"/>
        <v>I:\Transportation Performance\Data\ADOT FMS\1. Raw Data\2018\data files\test\det_476.xlsx</v>
      </c>
      <c r="K176" s="5"/>
      <c r="M176" s="114" t="s">
        <v>68</v>
      </c>
      <c r="N176" s="10">
        <v>476</v>
      </c>
      <c r="O176" s="10">
        <v>5</v>
      </c>
      <c r="P176" s="10">
        <v>1</v>
      </c>
    </row>
    <row r="177" spans="4:16" x14ac:dyDescent="0.25">
      <c r="D177" s="109">
        <v>173</v>
      </c>
      <c r="E177" s="10">
        <v>479</v>
      </c>
      <c r="F177" s="10">
        <v>5</v>
      </c>
      <c r="G177" s="10">
        <v>1</v>
      </c>
      <c r="H177" s="5" t="str">
        <f t="shared" si="6"/>
        <v>det_479</v>
      </c>
      <c r="I177" s="5" t="str">
        <f t="shared" si="7"/>
        <v>I:\Transportation Performance\Data\ADOT FMS\1. Raw Data\2018\data files\test\det_479.txt</v>
      </c>
      <c r="J177" s="5" t="str">
        <f t="shared" si="8"/>
        <v>I:\Transportation Performance\Data\ADOT FMS\1. Raw Data\2018\data files\test\det_479.xlsx</v>
      </c>
      <c r="K177" s="5"/>
      <c r="M177" s="114" t="s">
        <v>68</v>
      </c>
      <c r="N177" s="10">
        <v>479</v>
      </c>
      <c r="O177" s="10">
        <v>5</v>
      </c>
      <c r="P177" s="10">
        <v>1</v>
      </c>
    </row>
    <row r="178" spans="4:16" x14ac:dyDescent="0.25">
      <c r="D178" s="109">
        <v>174</v>
      </c>
      <c r="E178" s="10">
        <v>482</v>
      </c>
      <c r="F178" s="10">
        <v>5</v>
      </c>
      <c r="G178" s="10">
        <v>1</v>
      </c>
      <c r="H178" s="5" t="str">
        <f t="shared" si="6"/>
        <v>det_482</v>
      </c>
      <c r="I178" s="5" t="str">
        <f t="shared" si="7"/>
        <v>I:\Transportation Performance\Data\ADOT FMS\1. Raw Data\2018\data files\test\det_482.txt</v>
      </c>
      <c r="J178" s="5" t="str">
        <f t="shared" si="8"/>
        <v>I:\Transportation Performance\Data\ADOT FMS\1. Raw Data\2018\data files\test\det_482.xlsx</v>
      </c>
      <c r="K178" s="5"/>
      <c r="M178" s="114" t="s">
        <v>68</v>
      </c>
      <c r="N178" s="10">
        <v>482</v>
      </c>
      <c r="O178" s="10">
        <v>5</v>
      </c>
      <c r="P178" s="10">
        <v>1</v>
      </c>
    </row>
    <row r="179" spans="4:16" x14ac:dyDescent="0.25">
      <c r="D179" s="109">
        <v>175</v>
      </c>
      <c r="E179" s="10">
        <v>485</v>
      </c>
      <c r="F179" s="10">
        <v>5</v>
      </c>
      <c r="G179" s="10">
        <v>1</v>
      </c>
      <c r="H179" s="5" t="str">
        <f t="shared" si="6"/>
        <v>det_485</v>
      </c>
      <c r="I179" s="5" t="str">
        <f t="shared" si="7"/>
        <v>I:\Transportation Performance\Data\ADOT FMS\1. Raw Data\2018\data files\test\det_485.txt</v>
      </c>
      <c r="J179" s="5" t="str">
        <f t="shared" si="8"/>
        <v>I:\Transportation Performance\Data\ADOT FMS\1. Raw Data\2018\data files\test\det_485.xlsx</v>
      </c>
      <c r="K179" s="5"/>
      <c r="M179" s="114" t="s">
        <v>68</v>
      </c>
      <c r="N179" s="10">
        <v>485</v>
      </c>
      <c r="O179" s="10">
        <v>5</v>
      </c>
      <c r="P179" s="10">
        <v>1</v>
      </c>
    </row>
    <row r="180" spans="4:16" x14ac:dyDescent="0.25">
      <c r="D180" s="109">
        <v>176</v>
      </c>
      <c r="E180" s="10">
        <v>488</v>
      </c>
      <c r="F180" s="10">
        <v>3</v>
      </c>
      <c r="G180" s="10">
        <v>1</v>
      </c>
      <c r="H180" s="5" t="str">
        <f t="shared" si="6"/>
        <v>det_488</v>
      </c>
      <c r="I180" s="5" t="str">
        <f t="shared" si="7"/>
        <v>I:\Transportation Performance\Data\ADOT FMS\1. Raw Data\2018\data files\test\det_488.txt</v>
      </c>
      <c r="J180" s="5" t="str">
        <f t="shared" si="8"/>
        <v>I:\Transportation Performance\Data\ADOT FMS\1. Raw Data\2018\data files\test\det_488.xlsx</v>
      </c>
      <c r="K180" s="5"/>
      <c r="M180" s="114" t="s">
        <v>68</v>
      </c>
      <c r="N180" s="10">
        <v>488</v>
      </c>
      <c r="O180" s="10">
        <v>3</v>
      </c>
      <c r="P180" s="10">
        <v>1</v>
      </c>
    </row>
    <row r="181" spans="4:16" x14ac:dyDescent="0.25">
      <c r="D181" s="109">
        <v>177</v>
      </c>
      <c r="E181" s="10">
        <v>490</v>
      </c>
      <c r="F181" s="10">
        <v>3</v>
      </c>
      <c r="G181" s="10">
        <v>1</v>
      </c>
      <c r="H181" s="5" t="str">
        <f t="shared" si="6"/>
        <v>det_490</v>
      </c>
      <c r="I181" s="5" t="str">
        <f t="shared" si="7"/>
        <v>I:\Transportation Performance\Data\ADOT FMS\1. Raw Data\2018\data files\test\det_490.txt</v>
      </c>
      <c r="J181" s="5" t="str">
        <f t="shared" si="8"/>
        <v>I:\Transportation Performance\Data\ADOT FMS\1. Raw Data\2018\data files\test\det_490.xlsx</v>
      </c>
      <c r="K181" s="5"/>
      <c r="M181" s="114" t="s">
        <v>68</v>
      </c>
      <c r="N181" s="10">
        <v>490</v>
      </c>
      <c r="O181" s="10">
        <v>3</v>
      </c>
      <c r="P181" s="10">
        <v>1</v>
      </c>
    </row>
    <row r="182" spans="4:16" x14ac:dyDescent="0.25">
      <c r="D182" s="109">
        <v>178</v>
      </c>
      <c r="E182" s="10">
        <v>465</v>
      </c>
      <c r="F182" s="10">
        <v>5</v>
      </c>
      <c r="G182" s="10">
        <v>1</v>
      </c>
      <c r="H182" s="5" t="str">
        <f t="shared" si="6"/>
        <v>det_465</v>
      </c>
      <c r="I182" s="5" t="str">
        <f t="shared" si="7"/>
        <v>I:\Transportation Performance\Data\ADOT FMS\1. Raw Data\2018\data files\test\det_465.txt</v>
      </c>
      <c r="J182" s="5" t="str">
        <f t="shared" si="8"/>
        <v>I:\Transportation Performance\Data\ADOT FMS\1. Raw Data\2018\data files\test\det_465.xlsx</v>
      </c>
      <c r="K182" s="5"/>
      <c r="M182" s="114" t="s">
        <v>69</v>
      </c>
      <c r="N182" s="10">
        <v>465</v>
      </c>
      <c r="O182" s="10">
        <v>5</v>
      </c>
      <c r="P182" s="10">
        <v>1</v>
      </c>
    </row>
    <row r="183" spans="4:16" x14ac:dyDescent="0.25">
      <c r="D183" s="109">
        <v>179</v>
      </c>
      <c r="E183" s="10">
        <v>520</v>
      </c>
      <c r="F183" s="10">
        <v>5</v>
      </c>
      <c r="G183" s="10">
        <v>1</v>
      </c>
      <c r="H183" s="5" t="str">
        <f t="shared" si="6"/>
        <v>det_520</v>
      </c>
      <c r="I183" s="5" t="str">
        <f t="shared" si="7"/>
        <v>I:\Transportation Performance\Data\ADOT FMS\1. Raw Data\2018\data files\test\det_520.txt</v>
      </c>
      <c r="J183" s="5" t="str">
        <f t="shared" si="8"/>
        <v>I:\Transportation Performance\Data\ADOT FMS\1. Raw Data\2018\data files\test\det_520.xlsx</v>
      </c>
      <c r="K183" s="5"/>
      <c r="M183" s="114" t="s">
        <v>69</v>
      </c>
      <c r="N183" s="10">
        <v>520</v>
      </c>
      <c r="O183" s="10">
        <v>5</v>
      </c>
      <c r="P183" s="10">
        <v>1</v>
      </c>
    </row>
    <row r="184" spans="4:16" x14ac:dyDescent="0.25">
      <c r="D184" s="109">
        <v>180</v>
      </c>
      <c r="E184" s="10">
        <v>521</v>
      </c>
      <c r="F184" s="10">
        <v>5</v>
      </c>
      <c r="G184" s="10">
        <v>1</v>
      </c>
      <c r="H184" s="5" t="str">
        <f t="shared" si="6"/>
        <v>det_521</v>
      </c>
      <c r="I184" s="5" t="str">
        <f t="shared" si="7"/>
        <v>I:\Transportation Performance\Data\ADOT FMS\1. Raw Data\2018\data files\test\det_521.txt</v>
      </c>
      <c r="J184" s="5" t="str">
        <f t="shared" si="8"/>
        <v>I:\Transportation Performance\Data\ADOT FMS\1. Raw Data\2018\data files\test\det_521.xlsx</v>
      </c>
      <c r="K184" s="5"/>
      <c r="M184" s="114" t="s">
        <v>69</v>
      </c>
      <c r="N184" s="10">
        <v>521</v>
      </c>
      <c r="O184" s="10">
        <v>5</v>
      </c>
      <c r="P184" s="10">
        <v>1</v>
      </c>
    </row>
    <row r="185" spans="4:16" x14ac:dyDescent="0.25">
      <c r="D185" s="109">
        <v>181</v>
      </c>
      <c r="E185" s="10">
        <v>522</v>
      </c>
      <c r="F185" s="10">
        <v>5</v>
      </c>
      <c r="G185" s="10">
        <v>1</v>
      </c>
      <c r="H185" s="5" t="str">
        <f t="shared" si="6"/>
        <v>det_522</v>
      </c>
      <c r="I185" s="5" t="str">
        <f t="shared" si="7"/>
        <v>I:\Transportation Performance\Data\ADOT FMS\1. Raw Data\2018\data files\test\det_522.txt</v>
      </c>
      <c r="J185" s="5" t="str">
        <f t="shared" si="8"/>
        <v>I:\Transportation Performance\Data\ADOT FMS\1. Raw Data\2018\data files\test\det_522.xlsx</v>
      </c>
      <c r="K185" s="5"/>
      <c r="M185" s="114" t="s">
        <v>69</v>
      </c>
      <c r="N185" s="10">
        <v>522</v>
      </c>
      <c r="O185" s="10">
        <v>5</v>
      </c>
      <c r="P185" s="10">
        <v>1</v>
      </c>
    </row>
    <row r="186" spans="4:16" x14ac:dyDescent="0.25">
      <c r="D186" s="109">
        <v>182</v>
      </c>
      <c r="E186" s="10">
        <v>523</v>
      </c>
      <c r="F186" s="10">
        <v>5</v>
      </c>
      <c r="G186" s="10">
        <v>1</v>
      </c>
      <c r="H186" s="5" t="str">
        <f t="shared" si="6"/>
        <v>det_523</v>
      </c>
      <c r="I186" s="5" t="str">
        <f t="shared" si="7"/>
        <v>I:\Transportation Performance\Data\ADOT FMS\1. Raw Data\2018\data files\test\det_523.txt</v>
      </c>
      <c r="J186" s="5" t="str">
        <f t="shared" si="8"/>
        <v>I:\Transportation Performance\Data\ADOT FMS\1. Raw Data\2018\data files\test\det_523.xlsx</v>
      </c>
      <c r="K186" s="5"/>
      <c r="M186" s="114" t="s">
        <v>69</v>
      </c>
      <c r="N186" s="10">
        <v>523</v>
      </c>
      <c r="O186" s="10">
        <v>5</v>
      </c>
      <c r="P186" s="10">
        <v>1</v>
      </c>
    </row>
    <row r="187" spans="4:16" x14ac:dyDescent="0.25">
      <c r="D187" s="109">
        <v>183</v>
      </c>
      <c r="E187" s="10">
        <v>524</v>
      </c>
      <c r="F187" s="10">
        <v>5</v>
      </c>
      <c r="G187" s="10">
        <v>1</v>
      </c>
      <c r="H187" s="5" t="str">
        <f t="shared" si="6"/>
        <v>det_524</v>
      </c>
      <c r="I187" s="5" t="str">
        <f t="shared" si="7"/>
        <v>I:\Transportation Performance\Data\ADOT FMS\1. Raw Data\2018\data files\test\det_524.txt</v>
      </c>
      <c r="J187" s="5" t="str">
        <f t="shared" si="8"/>
        <v>I:\Transportation Performance\Data\ADOT FMS\1. Raw Data\2018\data files\test\det_524.xlsx</v>
      </c>
      <c r="K187" s="5"/>
      <c r="M187" s="114" t="s">
        <v>69</v>
      </c>
      <c r="N187" s="10">
        <v>524</v>
      </c>
      <c r="O187" s="10">
        <v>5</v>
      </c>
      <c r="P187" s="10">
        <v>1</v>
      </c>
    </row>
    <row r="188" spans="4:16" x14ac:dyDescent="0.25">
      <c r="D188" s="109">
        <v>184</v>
      </c>
      <c r="E188" s="10">
        <v>525</v>
      </c>
      <c r="F188" s="10">
        <v>4</v>
      </c>
      <c r="G188" s="10">
        <v>1</v>
      </c>
      <c r="H188" s="5" t="str">
        <f t="shared" si="6"/>
        <v>det_525</v>
      </c>
      <c r="I188" s="5" t="str">
        <f t="shared" si="7"/>
        <v>I:\Transportation Performance\Data\ADOT FMS\1. Raw Data\2018\data files\test\det_525.txt</v>
      </c>
      <c r="J188" s="5" t="str">
        <f t="shared" si="8"/>
        <v>I:\Transportation Performance\Data\ADOT FMS\1. Raw Data\2018\data files\test\det_525.xlsx</v>
      </c>
      <c r="K188" s="5"/>
      <c r="M188" s="114" t="s">
        <v>69</v>
      </c>
      <c r="N188" s="10">
        <v>525</v>
      </c>
      <c r="O188" s="10">
        <v>4</v>
      </c>
      <c r="P188" s="10">
        <v>1</v>
      </c>
    </row>
    <row r="189" spans="4:16" x14ac:dyDescent="0.25">
      <c r="D189" s="109">
        <v>185</v>
      </c>
      <c r="E189" s="10">
        <v>526</v>
      </c>
      <c r="F189" s="10">
        <v>3</v>
      </c>
      <c r="G189" s="10">
        <v>1</v>
      </c>
      <c r="H189" s="5" t="str">
        <f t="shared" si="6"/>
        <v>det_526</v>
      </c>
      <c r="I189" s="5" t="str">
        <f t="shared" si="7"/>
        <v>I:\Transportation Performance\Data\ADOT FMS\1. Raw Data\2018\data files\test\det_526.txt</v>
      </c>
      <c r="J189" s="5" t="str">
        <f t="shared" si="8"/>
        <v>I:\Transportation Performance\Data\ADOT FMS\1. Raw Data\2018\data files\test\det_526.xlsx</v>
      </c>
      <c r="K189" s="5"/>
      <c r="M189" s="114" t="s">
        <v>69</v>
      </c>
      <c r="N189" s="10">
        <v>526</v>
      </c>
      <c r="O189" s="10">
        <v>3</v>
      </c>
      <c r="P189" s="10">
        <v>1</v>
      </c>
    </row>
    <row r="190" spans="4:16" x14ac:dyDescent="0.25">
      <c r="D190" s="109">
        <v>186</v>
      </c>
      <c r="E190" s="112">
        <v>527</v>
      </c>
      <c r="F190" s="112">
        <v>3</v>
      </c>
      <c r="G190" s="112">
        <v>1</v>
      </c>
      <c r="H190" s="5" t="str">
        <f t="shared" si="6"/>
        <v>det_527</v>
      </c>
      <c r="I190" s="5" t="str">
        <f t="shared" si="7"/>
        <v>I:\Transportation Performance\Data\ADOT FMS\1. Raw Data\2018\data files\test\det_527.txt</v>
      </c>
      <c r="J190" s="5" t="str">
        <f t="shared" si="8"/>
        <v>I:\Transportation Performance\Data\ADOT FMS\1. Raw Data\2018\data files\test\det_527.xlsx</v>
      </c>
      <c r="K190" s="5"/>
      <c r="M190" s="114" t="s">
        <v>69</v>
      </c>
      <c r="N190" s="10">
        <v>527</v>
      </c>
      <c r="O190" s="10">
        <v>3</v>
      </c>
      <c r="P190" s="10">
        <v>1</v>
      </c>
    </row>
    <row r="191" spans="4:16" x14ac:dyDescent="0.25">
      <c r="D191" s="109">
        <v>187</v>
      </c>
      <c r="E191" s="10">
        <v>528</v>
      </c>
      <c r="F191" s="10">
        <v>5</v>
      </c>
      <c r="G191" s="10">
        <v>1</v>
      </c>
      <c r="H191" s="5" t="str">
        <f t="shared" si="6"/>
        <v>det_528</v>
      </c>
      <c r="I191" s="5" t="str">
        <f t="shared" si="7"/>
        <v>I:\Transportation Performance\Data\ADOT FMS\1. Raw Data\2018\data files\test\det_528.txt</v>
      </c>
      <c r="J191" s="5" t="str">
        <f t="shared" si="8"/>
        <v>I:\Transportation Performance\Data\ADOT FMS\1. Raw Data\2018\data files\test\det_528.xlsx</v>
      </c>
      <c r="K191" s="5"/>
      <c r="M191" s="114" t="s">
        <v>69</v>
      </c>
      <c r="N191" s="10">
        <v>528</v>
      </c>
      <c r="O191" s="10">
        <v>5</v>
      </c>
      <c r="P191" s="10">
        <v>1</v>
      </c>
    </row>
    <row r="192" spans="4:16" x14ac:dyDescent="0.25">
      <c r="D192" s="109">
        <v>188</v>
      </c>
      <c r="E192" s="112">
        <v>529</v>
      </c>
      <c r="F192" s="112">
        <v>3</v>
      </c>
      <c r="G192" s="112">
        <v>1</v>
      </c>
      <c r="H192" s="5" t="str">
        <f t="shared" si="6"/>
        <v>det_529</v>
      </c>
      <c r="I192" s="5" t="str">
        <f t="shared" si="7"/>
        <v>I:\Transportation Performance\Data\ADOT FMS\1. Raw Data\2018\data files\test\det_529.txt</v>
      </c>
      <c r="J192" s="5" t="str">
        <f t="shared" si="8"/>
        <v>I:\Transportation Performance\Data\ADOT FMS\1. Raw Data\2018\data files\test\det_529.xlsx</v>
      </c>
      <c r="K192" s="5"/>
      <c r="M192" s="114" t="s">
        <v>69</v>
      </c>
      <c r="N192" s="112">
        <v>529</v>
      </c>
      <c r="O192" s="112">
        <v>3</v>
      </c>
      <c r="P192" s="112">
        <v>1</v>
      </c>
    </row>
    <row r="193" spans="4:16" x14ac:dyDescent="0.25">
      <c r="D193" s="109">
        <v>189</v>
      </c>
      <c r="E193" s="10">
        <v>530</v>
      </c>
      <c r="F193" s="10">
        <v>3</v>
      </c>
      <c r="G193" s="10">
        <v>1</v>
      </c>
      <c r="H193" s="5" t="str">
        <f t="shared" si="6"/>
        <v>det_530</v>
      </c>
      <c r="I193" s="5" t="str">
        <f t="shared" si="7"/>
        <v>I:\Transportation Performance\Data\ADOT FMS\1. Raw Data\2018\data files\test\det_530.txt</v>
      </c>
      <c r="J193" s="5" t="str">
        <f t="shared" si="8"/>
        <v>I:\Transportation Performance\Data\ADOT FMS\1. Raw Data\2018\data files\test\det_530.xlsx</v>
      </c>
      <c r="K193" s="5"/>
      <c r="M193" s="114" t="s">
        <v>69</v>
      </c>
      <c r="N193" s="10">
        <v>530</v>
      </c>
      <c r="O193" s="10">
        <v>3</v>
      </c>
      <c r="P193" s="10">
        <v>1</v>
      </c>
    </row>
    <row r="194" spans="4:16" x14ac:dyDescent="0.25">
      <c r="D194" s="109">
        <v>190</v>
      </c>
      <c r="E194" s="10">
        <v>531</v>
      </c>
      <c r="F194" s="10">
        <v>3</v>
      </c>
      <c r="G194" s="10">
        <v>1</v>
      </c>
      <c r="H194" s="5" t="str">
        <f t="shared" si="6"/>
        <v>det_531</v>
      </c>
      <c r="I194" s="5" t="str">
        <f t="shared" si="7"/>
        <v>I:\Transportation Performance\Data\ADOT FMS\1. Raw Data\2018\data files\test\det_531.txt</v>
      </c>
      <c r="J194" s="5" t="str">
        <f t="shared" si="8"/>
        <v>I:\Transportation Performance\Data\ADOT FMS\1. Raw Data\2018\data files\test\det_531.xlsx</v>
      </c>
      <c r="K194" s="5"/>
      <c r="M194" s="114" t="s">
        <v>69</v>
      </c>
      <c r="N194" s="10">
        <v>531</v>
      </c>
      <c r="O194" s="10">
        <v>3</v>
      </c>
      <c r="P194" s="10">
        <v>1</v>
      </c>
    </row>
    <row r="195" spans="4:16" x14ac:dyDescent="0.25">
      <c r="D195" s="109">
        <v>191</v>
      </c>
      <c r="E195" s="115">
        <v>532</v>
      </c>
      <c r="F195" s="115">
        <v>2</v>
      </c>
      <c r="G195" s="115">
        <v>1</v>
      </c>
      <c r="H195" s="5" t="str">
        <f t="shared" si="6"/>
        <v>det_532</v>
      </c>
      <c r="I195" s="5" t="str">
        <f t="shared" si="7"/>
        <v>I:\Transportation Performance\Data\ADOT FMS\1. Raw Data\2018\data files\test\det_532.txt</v>
      </c>
      <c r="J195" s="5" t="str">
        <f t="shared" si="8"/>
        <v>I:\Transportation Performance\Data\ADOT FMS\1. Raw Data\2018\data files\test\det_532.xlsx</v>
      </c>
      <c r="K195" s="5"/>
      <c r="M195" s="114" t="s">
        <v>69</v>
      </c>
      <c r="N195" s="115">
        <v>532</v>
      </c>
      <c r="O195" s="115">
        <v>2</v>
      </c>
      <c r="P195" s="115">
        <v>1</v>
      </c>
    </row>
    <row r="196" spans="4:16" x14ac:dyDescent="0.25">
      <c r="D196" s="109">
        <v>192</v>
      </c>
      <c r="E196" s="10">
        <v>533</v>
      </c>
      <c r="F196" s="10">
        <v>6</v>
      </c>
      <c r="G196" s="10">
        <v>1</v>
      </c>
      <c r="H196" s="5" t="str">
        <f t="shared" si="6"/>
        <v>det_533</v>
      </c>
      <c r="I196" s="5" t="str">
        <f t="shared" si="7"/>
        <v>I:\Transportation Performance\Data\ADOT FMS\1. Raw Data\2018\data files\test\det_533.txt</v>
      </c>
      <c r="J196" s="5" t="str">
        <f t="shared" si="8"/>
        <v>I:\Transportation Performance\Data\ADOT FMS\1. Raw Data\2018\data files\test\det_533.xlsx</v>
      </c>
      <c r="K196" s="5"/>
      <c r="M196" s="114" t="s">
        <v>69</v>
      </c>
      <c r="N196" s="10">
        <v>533</v>
      </c>
      <c r="O196" s="10">
        <v>6</v>
      </c>
      <c r="P196" s="10">
        <v>1</v>
      </c>
    </row>
    <row r="197" spans="4:16" x14ac:dyDescent="0.25">
      <c r="D197" s="109">
        <v>193</v>
      </c>
      <c r="E197" s="10">
        <v>534</v>
      </c>
      <c r="F197" s="10">
        <v>5</v>
      </c>
      <c r="G197" s="10">
        <v>1</v>
      </c>
      <c r="H197" s="5" t="str">
        <f t="shared" ref="H197:H260" si="9">"det_"&amp;E197&amp;""</f>
        <v>det_534</v>
      </c>
      <c r="I197" s="5" t="str">
        <f t="shared" ref="I197:I265" si="10">$B$5&amp;"\"&amp;H197&amp;".txt"</f>
        <v>I:\Transportation Performance\Data\ADOT FMS\1. Raw Data\2018\data files\test\det_534.txt</v>
      </c>
      <c r="J197" s="5" t="str">
        <f t="shared" ref="J197:J265" si="11">$B$5&amp;"\"&amp;H197&amp;".xlsx"</f>
        <v>I:\Transportation Performance\Data\ADOT FMS\1. Raw Data\2018\data files\test\det_534.xlsx</v>
      </c>
      <c r="K197" s="5"/>
      <c r="M197" s="114" t="s">
        <v>69</v>
      </c>
      <c r="N197" s="10">
        <v>534</v>
      </c>
      <c r="O197" s="10">
        <v>5</v>
      </c>
      <c r="P197" s="10">
        <v>1</v>
      </c>
    </row>
    <row r="198" spans="4:16" x14ac:dyDescent="0.25">
      <c r="D198" s="109">
        <v>194</v>
      </c>
      <c r="E198" s="112">
        <v>535</v>
      </c>
      <c r="F198" s="112">
        <v>4</v>
      </c>
      <c r="G198" s="112">
        <v>1</v>
      </c>
      <c r="H198" s="5" t="str">
        <f t="shared" si="9"/>
        <v>det_535</v>
      </c>
      <c r="I198" s="5" t="str">
        <f t="shared" si="10"/>
        <v>I:\Transportation Performance\Data\ADOT FMS\1. Raw Data\2018\data files\test\det_535.txt</v>
      </c>
      <c r="J198" s="5" t="str">
        <f t="shared" si="11"/>
        <v>I:\Transportation Performance\Data\ADOT FMS\1. Raw Data\2018\data files\test\det_535.xlsx</v>
      </c>
      <c r="K198" s="5"/>
      <c r="M198" s="114" t="s">
        <v>69</v>
      </c>
      <c r="N198" s="112">
        <v>535</v>
      </c>
      <c r="O198" s="112">
        <v>4</v>
      </c>
      <c r="P198" s="112">
        <v>1</v>
      </c>
    </row>
    <row r="199" spans="4:16" x14ac:dyDescent="0.25">
      <c r="D199" s="109">
        <v>195</v>
      </c>
      <c r="E199" s="10">
        <v>536</v>
      </c>
      <c r="F199" s="10">
        <v>5</v>
      </c>
      <c r="G199" s="10">
        <v>1</v>
      </c>
      <c r="H199" s="5" t="str">
        <f t="shared" si="9"/>
        <v>det_536</v>
      </c>
      <c r="I199" s="5" t="str">
        <f t="shared" si="10"/>
        <v>I:\Transportation Performance\Data\ADOT FMS\1. Raw Data\2018\data files\test\det_536.txt</v>
      </c>
      <c r="J199" s="5" t="str">
        <f t="shared" si="11"/>
        <v>I:\Transportation Performance\Data\ADOT FMS\1. Raw Data\2018\data files\test\det_536.xlsx</v>
      </c>
      <c r="K199" s="5"/>
      <c r="M199" s="114" t="s">
        <v>69</v>
      </c>
      <c r="N199" s="10">
        <v>536</v>
      </c>
      <c r="O199" s="10">
        <v>5</v>
      </c>
      <c r="P199" s="10">
        <v>1</v>
      </c>
    </row>
    <row r="200" spans="4:16" x14ac:dyDescent="0.25">
      <c r="D200" s="109">
        <v>196</v>
      </c>
      <c r="E200" s="10">
        <v>537</v>
      </c>
      <c r="F200" s="10">
        <v>5</v>
      </c>
      <c r="G200" s="10">
        <v>1</v>
      </c>
      <c r="H200" s="5" t="str">
        <f t="shared" si="9"/>
        <v>det_537</v>
      </c>
      <c r="I200" s="5" t="str">
        <f t="shared" si="10"/>
        <v>I:\Transportation Performance\Data\ADOT FMS\1. Raw Data\2018\data files\test\det_537.txt</v>
      </c>
      <c r="J200" s="5" t="str">
        <f t="shared" si="11"/>
        <v>I:\Transportation Performance\Data\ADOT FMS\1. Raw Data\2018\data files\test\det_537.xlsx</v>
      </c>
      <c r="K200" s="5"/>
      <c r="M200" s="114" t="s">
        <v>69</v>
      </c>
      <c r="N200" s="10">
        <v>537</v>
      </c>
      <c r="O200" s="10">
        <v>5</v>
      </c>
      <c r="P200" s="10">
        <v>1</v>
      </c>
    </row>
    <row r="201" spans="4:16" x14ac:dyDescent="0.25">
      <c r="D201" s="109">
        <v>197</v>
      </c>
      <c r="E201" s="10">
        <v>538</v>
      </c>
      <c r="F201" s="10">
        <v>5</v>
      </c>
      <c r="G201" s="10">
        <v>1</v>
      </c>
      <c r="H201" s="5" t="str">
        <f t="shared" si="9"/>
        <v>det_538</v>
      </c>
      <c r="I201" s="5" t="str">
        <f t="shared" si="10"/>
        <v>I:\Transportation Performance\Data\ADOT FMS\1. Raw Data\2018\data files\test\det_538.txt</v>
      </c>
      <c r="J201" s="5" t="str">
        <f t="shared" si="11"/>
        <v>I:\Transportation Performance\Data\ADOT FMS\1. Raw Data\2018\data files\test\det_538.xlsx</v>
      </c>
      <c r="K201" s="5"/>
      <c r="M201" s="114" t="s">
        <v>69</v>
      </c>
      <c r="N201" s="10">
        <v>538</v>
      </c>
      <c r="O201" s="10">
        <v>5</v>
      </c>
      <c r="P201" s="10">
        <v>1</v>
      </c>
    </row>
    <row r="202" spans="4:16" x14ac:dyDescent="0.25">
      <c r="D202" s="109">
        <v>198</v>
      </c>
      <c r="E202" s="10">
        <v>178</v>
      </c>
      <c r="F202" s="10">
        <v>3</v>
      </c>
      <c r="G202" s="10">
        <v>0</v>
      </c>
      <c r="H202" s="5" t="str">
        <f t="shared" si="9"/>
        <v>det_178</v>
      </c>
      <c r="I202" s="5" t="str">
        <f t="shared" si="10"/>
        <v>I:\Transportation Performance\Data\ADOT FMS\1. Raw Data\2018\data files\test\det_178.txt</v>
      </c>
      <c r="J202" s="5" t="str">
        <f t="shared" si="11"/>
        <v>I:\Transportation Performance\Data\ADOT FMS\1. Raw Data\2018\data files\test\det_178.xlsx</v>
      </c>
      <c r="K202" s="5"/>
      <c r="M202" s="114" t="s">
        <v>70</v>
      </c>
      <c r="N202" s="10">
        <v>178</v>
      </c>
      <c r="O202" s="10">
        <v>3</v>
      </c>
      <c r="P202" s="10">
        <v>0</v>
      </c>
    </row>
    <row r="203" spans="4:16" x14ac:dyDescent="0.25">
      <c r="D203" s="109">
        <v>199</v>
      </c>
      <c r="E203" s="10">
        <v>179</v>
      </c>
      <c r="F203" s="10">
        <v>2</v>
      </c>
      <c r="G203" s="10">
        <v>0</v>
      </c>
      <c r="H203" s="5" t="str">
        <f t="shared" si="9"/>
        <v>det_179</v>
      </c>
      <c r="I203" s="5" t="str">
        <f t="shared" si="10"/>
        <v>I:\Transportation Performance\Data\ADOT FMS\1. Raw Data\2018\data files\test\det_179.txt</v>
      </c>
      <c r="J203" s="5" t="str">
        <f t="shared" si="11"/>
        <v>I:\Transportation Performance\Data\ADOT FMS\1. Raw Data\2018\data files\test\det_179.xlsx</v>
      </c>
      <c r="K203" s="5"/>
      <c r="M203" s="114" t="s">
        <v>70</v>
      </c>
      <c r="N203" s="10">
        <v>179</v>
      </c>
      <c r="O203" s="10">
        <v>2</v>
      </c>
      <c r="P203" s="10">
        <v>0</v>
      </c>
    </row>
    <row r="204" spans="4:16" x14ac:dyDescent="0.25">
      <c r="D204" s="109">
        <v>200</v>
      </c>
      <c r="E204" s="10">
        <v>182</v>
      </c>
      <c r="F204" s="10">
        <v>3</v>
      </c>
      <c r="G204" s="10">
        <v>0</v>
      </c>
      <c r="H204" s="5" t="str">
        <f t="shared" si="9"/>
        <v>det_182</v>
      </c>
      <c r="I204" s="5" t="str">
        <f t="shared" si="10"/>
        <v>I:\Transportation Performance\Data\ADOT FMS\1. Raw Data\2018\data files\test\det_182.txt</v>
      </c>
      <c r="J204" s="5" t="str">
        <f t="shared" si="11"/>
        <v>I:\Transportation Performance\Data\ADOT FMS\1. Raw Data\2018\data files\test\det_182.xlsx</v>
      </c>
      <c r="K204" s="5"/>
      <c r="M204" s="114" t="s">
        <v>70</v>
      </c>
      <c r="N204" s="10">
        <v>182</v>
      </c>
      <c r="O204" s="10">
        <v>3</v>
      </c>
      <c r="P204" s="10">
        <v>0</v>
      </c>
    </row>
    <row r="205" spans="4:16" x14ac:dyDescent="0.25">
      <c r="D205" s="109">
        <v>201</v>
      </c>
      <c r="E205" s="10">
        <v>184</v>
      </c>
      <c r="F205" s="10">
        <v>2</v>
      </c>
      <c r="G205" s="10">
        <v>0</v>
      </c>
      <c r="H205" s="5" t="str">
        <f t="shared" si="9"/>
        <v>det_184</v>
      </c>
      <c r="I205" s="5" t="str">
        <f t="shared" si="10"/>
        <v>I:\Transportation Performance\Data\ADOT FMS\1. Raw Data\2018\data files\test\det_184.txt</v>
      </c>
      <c r="J205" s="5" t="str">
        <f t="shared" si="11"/>
        <v>I:\Transportation Performance\Data\ADOT FMS\1. Raw Data\2018\data files\test\det_184.xlsx</v>
      </c>
      <c r="K205" s="5"/>
      <c r="M205" s="114" t="s">
        <v>70</v>
      </c>
      <c r="N205" s="10">
        <v>184</v>
      </c>
      <c r="O205" s="10">
        <v>2</v>
      </c>
      <c r="P205" s="10">
        <v>0</v>
      </c>
    </row>
    <row r="206" spans="4:16" x14ac:dyDescent="0.25">
      <c r="D206" s="109">
        <v>202</v>
      </c>
      <c r="E206" s="10">
        <v>187</v>
      </c>
      <c r="F206" s="10">
        <v>2</v>
      </c>
      <c r="G206" s="10">
        <v>0</v>
      </c>
      <c r="H206" s="5" t="str">
        <f t="shared" si="9"/>
        <v>det_187</v>
      </c>
      <c r="I206" s="5" t="str">
        <f t="shared" si="10"/>
        <v>I:\Transportation Performance\Data\ADOT FMS\1. Raw Data\2018\data files\test\det_187.txt</v>
      </c>
      <c r="J206" s="5" t="str">
        <f t="shared" si="11"/>
        <v>I:\Transportation Performance\Data\ADOT FMS\1. Raw Data\2018\data files\test\det_187.xlsx</v>
      </c>
      <c r="K206" s="5"/>
      <c r="M206" s="114" t="s">
        <v>70</v>
      </c>
      <c r="N206" s="10">
        <v>187</v>
      </c>
      <c r="O206" s="10">
        <v>2</v>
      </c>
      <c r="P206" s="10">
        <v>0</v>
      </c>
    </row>
    <row r="207" spans="4:16" x14ac:dyDescent="0.25">
      <c r="D207" s="109">
        <v>203</v>
      </c>
      <c r="E207" s="10">
        <v>176</v>
      </c>
      <c r="F207" s="10">
        <v>2</v>
      </c>
      <c r="G207" s="10">
        <v>0</v>
      </c>
      <c r="H207" s="5" t="str">
        <f t="shared" si="9"/>
        <v>det_176</v>
      </c>
      <c r="I207" s="5" t="str">
        <f t="shared" si="10"/>
        <v>I:\Transportation Performance\Data\ADOT FMS\1. Raw Data\2018\data files\test\det_176.txt</v>
      </c>
      <c r="J207" s="5" t="str">
        <f t="shared" si="11"/>
        <v>I:\Transportation Performance\Data\ADOT FMS\1. Raw Data\2018\data files\test\det_176.xlsx</v>
      </c>
      <c r="K207" s="5"/>
      <c r="M207" s="114" t="s">
        <v>70</v>
      </c>
      <c r="N207" s="10">
        <v>176</v>
      </c>
      <c r="O207" s="10">
        <v>2</v>
      </c>
      <c r="P207" s="10">
        <v>0</v>
      </c>
    </row>
    <row r="208" spans="4:16" x14ac:dyDescent="0.25">
      <c r="D208" s="109">
        <v>204</v>
      </c>
      <c r="E208" s="10">
        <v>171</v>
      </c>
      <c r="F208" s="10">
        <v>3</v>
      </c>
      <c r="G208" s="10">
        <v>0</v>
      </c>
      <c r="H208" s="5" t="str">
        <f t="shared" si="9"/>
        <v>det_171</v>
      </c>
      <c r="I208" s="5" t="str">
        <f t="shared" si="10"/>
        <v>I:\Transportation Performance\Data\ADOT FMS\1. Raw Data\2018\data files\test\det_171.txt</v>
      </c>
      <c r="J208" s="5" t="str">
        <f t="shared" si="11"/>
        <v>I:\Transportation Performance\Data\ADOT FMS\1. Raw Data\2018\data files\test\det_171.xlsx</v>
      </c>
      <c r="K208" s="5"/>
      <c r="M208" s="114" t="s">
        <v>70</v>
      </c>
      <c r="N208" s="10">
        <v>171</v>
      </c>
      <c r="O208" s="10">
        <v>3</v>
      </c>
      <c r="P208" s="10">
        <v>0</v>
      </c>
    </row>
    <row r="209" spans="4:16" x14ac:dyDescent="0.25">
      <c r="D209" s="109">
        <v>205</v>
      </c>
      <c r="E209" s="112">
        <v>169</v>
      </c>
      <c r="F209" s="112">
        <v>4</v>
      </c>
      <c r="G209" s="112">
        <v>0</v>
      </c>
      <c r="H209" s="5" t="str">
        <f t="shared" si="9"/>
        <v>det_169</v>
      </c>
      <c r="I209" s="5" t="str">
        <f t="shared" si="10"/>
        <v>I:\Transportation Performance\Data\ADOT FMS\1. Raw Data\2018\data files\test\det_169.txt</v>
      </c>
      <c r="J209" s="5" t="str">
        <f t="shared" si="11"/>
        <v>I:\Transportation Performance\Data\ADOT FMS\1. Raw Data\2018\data files\test\det_169.xlsx</v>
      </c>
      <c r="K209" s="5"/>
      <c r="M209" s="114" t="s">
        <v>70</v>
      </c>
      <c r="N209" s="112">
        <v>169</v>
      </c>
      <c r="O209" s="112">
        <v>4</v>
      </c>
      <c r="P209" s="112">
        <v>0</v>
      </c>
    </row>
    <row r="210" spans="4:16" x14ac:dyDescent="0.25">
      <c r="D210" s="109">
        <v>206</v>
      </c>
      <c r="E210" s="10">
        <v>167</v>
      </c>
      <c r="F210" s="10">
        <v>2</v>
      </c>
      <c r="G210" s="10">
        <v>0</v>
      </c>
      <c r="H210" s="5" t="str">
        <f t="shared" si="9"/>
        <v>det_167</v>
      </c>
      <c r="I210" s="5" t="str">
        <f t="shared" si="10"/>
        <v>I:\Transportation Performance\Data\ADOT FMS\1. Raw Data\2018\data files\test\det_167.txt</v>
      </c>
      <c r="J210" s="5" t="str">
        <f t="shared" si="11"/>
        <v>I:\Transportation Performance\Data\ADOT FMS\1. Raw Data\2018\data files\test\det_167.xlsx</v>
      </c>
      <c r="K210" s="5"/>
      <c r="M210" s="114" t="s">
        <v>70</v>
      </c>
      <c r="N210" s="10">
        <v>167</v>
      </c>
      <c r="O210" s="10">
        <v>2</v>
      </c>
      <c r="P210" s="10">
        <v>0</v>
      </c>
    </row>
    <row r="211" spans="4:16" x14ac:dyDescent="0.25">
      <c r="D211" s="109">
        <v>207</v>
      </c>
      <c r="E211" s="10">
        <v>539</v>
      </c>
      <c r="F211" s="10">
        <v>0</v>
      </c>
      <c r="G211" s="10">
        <v>0</v>
      </c>
      <c r="H211" s="5" t="str">
        <f t="shared" si="9"/>
        <v>det_539</v>
      </c>
      <c r="I211" s="5" t="str">
        <f t="shared" si="10"/>
        <v>I:\Transportation Performance\Data\ADOT FMS\1. Raw Data\2018\data files\test\det_539.txt</v>
      </c>
      <c r="J211" s="5" t="str">
        <f t="shared" si="11"/>
        <v>I:\Transportation Performance\Data\ADOT FMS\1. Raw Data\2018\data files\test\det_539.xlsx</v>
      </c>
      <c r="K211" s="5"/>
      <c r="M211" s="114" t="s">
        <v>71</v>
      </c>
      <c r="N211" s="10">
        <v>539</v>
      </c>
      <c r="O211" s="10">
        <v>0</v>
      </c>
      <c r="P211" s="10">
        <v>0</v>
      </c>
    </row>
    <row r="212" spans="4:16" x14ac:dyDescent="0.25">
      <c r="D212" s="109">
        <v>208</v>
      </c>
      <c r="E212" s="112">
        <v>540</v>
      </c>
      <c r="F212" s="112">
        <v>2</v>
      </c>
      <c r="G212" s="112">
        <v>1</v>
      </c>
      <c r="H212" s="5" t="str">
        <f t="shared" si="9"/>
        <v>det_540</v>
      </c>
      <c r="I212" s="5" t="str">
        <f t="shared" si="10"/>
        <v>I:\Transportation Performance\Data\ADOT FMS\1. Raw Data\2018\data files\test\det_540.txt</v>
      </c>
      <c r="J212" s="5" t="str">
        <f t="shared" si="11"/>
        <v>I:\Transportation Performance\Data\ADOT FMS\1. Raw Data\2018\data files\test\det_540.xlsx</v>
      </c>
      <c r="K212" s="5"/>
      <c r="M212" s="114" t="s">
        <v>71</v>
      </c>
      <c r="N212" s="112">
        <v>540</v>
      </c>
      <c r="O212" s="112">
        <v>2</v>
      </c>
      <c r="P212" s="112">
        <v>1</v>
      </c>
    </row>
    <row r="213" spans="4:16" x14ac:dyDescent="0.25">
      <c r="D213" s="109">
        <v>209</v>
      </c>
      <c r="E213" s="10">
        <v>541</v>
      </c>
      <c r="F213" s="10">
        <v>3</v>
      </c>
      <c r="G213" s="10">
        <v>1</v>
      </c>
      <c r="H213" s="5" t="str">
        <f t="shared" si="9"/>
        <v>det_541</v>
      </c>
      <c r="I213" s="5" t="str">
        <f t="shared" si="10"/>
        <v>I:\Transportation Performance\Data\ADOT FMS\1. Raw Data\2018\data files\test\det_541.txt</v>
      </c>
      <c r="J213" s="5" t="str">
        <f t="shared" si="11"/>
        <v>I:\Transportation Performance\Data\ADOT FMS\1. Raw Data\2018\data files\test\det_541.xlsx</v>
      </c>
      <c r="K213" s="5"/>
      <c r="M213" s="114" t="s">
        <v>71</v>
      </c>
      <c r="N213" s="10">
        <v>541</v>
      </c>
      <c r="O213" s="10">
        <v>3</v>
      </c>
      <c r="P213" s="10">
        <v>1</v>
      </c>
    </row>
    <row r="214" spans="4:16" x14ac:dyDescent="0.25">
      <c r="D214" s="109">
        <v>210</v>
      </c>
      <c r="E214" s="10">
        <v>542</v>
      </c>
      <c r="F214" s="10">
        <v>3</v>
      </c>
      <c r="G214" s="10">
        <v>1</v>
      </c>
      <c r="H214" s="5" t="str">
        <f t="shared" si="9"/>
        <v>det_542</v>
      </c>
      <c r="I214" s="5" t="str">
        <f t="shared" si="10"/>
        <v>I:\Transportation Performance\Data\ADOT FMS\1. Raw Data\2018\data files\test\det_542.txt</v>
      </c>
      <c r="J214" s="5" t="str">
        <f t="shared" si="11"/>
        <v>I:\Transportation Performance\Data\ADOT FMS\1. Raw Data\2018\data files\test\det_542.xlsx</v>
      </c>
      <c r="K214" s="5"/>
      <c r="M214" s="114" t="s">
        <v>71</v>
      </c>
      <c r="N214" s="10">
        <v>542</v>
      </c>
      <c r="O214" s="10">
        <v>3</v>
      </c>
      <c r="P214" s="10">
        <v>1</v>
      </c>
    </row>
    <row r="215" spans="4:16" x14ac:dyDescent="0.25">
      <c r="D215" s="109">
        <v>211</v>
      </c>
      <c r="E215" s="10">
        <v>543</v>
      </c>
      <c r="F215" s="10">
        <v>3</v>
      </c>
      <c r="G215" s="10">
        <v>1</v>
      </c>
      <c r="H215" s="5" t="str">
        <f t="shared" si="9"/>
        <v>det_543</v>
      </c>
      <c r="I215" s="5" t="str">
        <f t="shared" si="10"/>
        <v>I:\Transportation Performance\Data\ADOT FMS\1. Raw Data\2018\data files\test\det_543.txt</v>
      </c>
      <c r="J215" s="5" t="str">
        <f t="shared" si="11"/>
        <v>I:\Transportation Performance\Data\ADOT FMS\1. Raw Data\2018\data files\test\det_543.xlsx</v>
      </c>
      <c r="K215" s="5"/>
      <c r="M215" s="114" t="s">
        <v>71</v>
      </c>
      <c r="N215" s="10">
        <v>543</v>
      </c>
      <c r="O215" s="10">
        <v>3</v>
      </c>
      <c r="P215" s="10">
        <v>1</v>
      </c>
    </row>
    <row r="216" spans="4:16" x14ac:dyDescent="0.25">
      <c r="D216" s="109">
        <v>212</v>
      </c>
      <c r="E216" s="118">
        <v>514</v>
      </c>
      <c r="F216" s="118">
        <v>2</v>
      </c>
      <c r="G216" s="118">
        <v>1</v>
      </c>
      <c r="H216" s="5" t="str">
        <f t="shared" si="9"/>
        <v>det_514</v>
      </c>
      <c r="I216" s="5" t="str">
        <f t="shared" si="10"/>
        <v>I:\Transportation Performance\Data\ADOT FMS\1. Raw Data\2018\data files\test\det_514.txt</v>
      </c>
      <c r="J216" s="5" t="str">
        <f t="shared" si="11"/>
        <v>I:\Transportation Performance\Data\ADOT FMS\1. Raw Data\2018\data files\test\det_514.xlsx</v>
      </c>
      <c r="K216" s="5"/>
      <c r="M216" s="114" t="s">
        <v>71</v>
      </c>
      <c r="N216" s="118">
        <v>514</v>
      </c>
      <c r="O216" s="118">
        <v>2</v>
      </c>
      <c r="P216" s="118">
        <v>1</v>
      </c>
    </row>
    <row r="217" spans="4:16" x14ac:dyDescent="0.25">
      <c r="D217" s="109">
        <v>213</v>
      </c>
      <c r="E217" s="10">
        <v>518</v>
      </c>
      <c r="F217" s="10">
        <v>3</v>
      </c>
      <c r="G217" s="10">
        <v>1</v>
      </c>
      <c r="H217" s="5" t="str">
        <f t="shared" si="9"/>
        <v>det_518</v>
      </c>
      <c r="I217" s="5" t="str">
        <f t="shared" si="10"/>
        <v>I:\Transportation Performance\Data\ADOT FMS\1. Raw Data\2018\data files\test\det_518.txt</v>
      </c>
      <c r="J217" s="5" t="str">
        <f t="shared" si="11"/>
        <v>I:\Transportation Performance\Data\ADOT FMS\1. Raw Data\2018\data files\test\det_518.xlsx</v>
      </c>
      <c r="K217" s="5"/>
      <c r="M217" s="114" t="s">
        <v>71</v>
      </c>
      <c r="N217" s="10">
        <v>518</v>
      </c>
      <c r="O217" s="10">
        <v>3</v>
      </c>
      <c r="P217" s="10">
        <v>1</v>
      </c>
    </row>
    <row r="218" spans="4:16" x14ac:dyDescent="0.25">
      <c r="D218" s="109">
        <v>214</v>
      </c>
      <c r="E218" s="10">
        <v>510</v>
      </c>
      <c r="F218" s="10">
        <v>4</v>
      </c>
      <c r="G218" s="10">
        <v>1</v>
      </c>
      <c r="H218" s="5" t="str">
        <f t="shared" si="9"/>
        <v>det_510</v>
      </c>
      <c r="I218" s="5" t="str">
        <f t="shared" si="10"/>
        <v>I:\Transportation Performance\Data\ADOT FMS\1. Raw Data\2018\data files\test\det_510.txt</v>
      </c>
      <c r="J218" s="5" t="str">
        <f t="shared" si="11"/>
        <v>I:\Transportation Performance\Data\ADOT FMS\1. Raw Data\2018\data files\test\det_510.xlsx</v>
      </c>
      <c r="K218" s="5"/>
      <c r="M218" s="114" t="s">
        <v>71</v>
      </c>
      <c r="N218" s="10">
        <v>510</v>
      </c>
      <c r="O218" s="10">
        <v>4</v>
      </c>
      <c r="P218" s="10">
        <v>1</v>
      </c>
    </row>
    <row r="219" spans="4:16" x14ac:dyDescent="0.25">
      <c r="D219" s="109">
        <v>215</v>
      </c>
      <c r="E219" s="112">
        <v>513</v>
      </c>
      <c r="F219" s="112">
        <v>2</v>
      </c>
      <c r="G219" s="112">
        <v>0</v>
      </c>
      <c r="H219" s="5" t="str">
        <f t="shared" si="9"/>
        <v>det_513</v>
      </c>
      <c r="I219" s="5" t="str">
        <f t="shared" si="10"/>
        <v>I:\Transportation Performance\Data\ADOT FMS\1. Raw Data\2018\data files\test\det_513.txt</v>
      </c>
      <c r="J219" s="5" t="str">
        <f t="shared" si="11"/>
        <v>I:\Transportation Performance\Data\ADOT FMS\1. Raw Data\2018\data files\test\det_513.xlsx</v>
      </c>
      <c r="K219" s="5"/>
      <c r="M219" s="114" t="s">
        <v>71</v>
      </c>
      <c r="N219" s="112">
        <v>513</v>
      </c>
      <c r="O219" s="112">
        <v>2</v>
      </c>
      <c r="P219" s="112">
        <v>0</v>
      </c>
    </row>
    <row r="220" spans="4:16" x14ac:dyDescent="0.25">
      <c r="D220" s="109">
        <v>216</v>
      </c>
      <c r="E220" s="112">
        <v>544</v>
      </c>
      <c r="F220" s="112">
        <v>3</v>
      </c>
      <c r="G220" s="112">
        <v>1</v>
      </c>
      <c r="H220" s="5" t="str">
        <f t="shared" si="9"/>
        <v>det_544</v>
      </c>
      <c r="I220" s="5" t="str">
        <f t="shared" si="10"/>
        <v>I:\Transportation Performance\Data\ADOT FMS\1. Raw Data\2018\data files\test\det_544.txt</v>
      </c>
      <c r="J220" s="5" t="str">
        <f t="shared" si="11"/>
        <v>I:\Transportation Performance\Data\ADOT FMS\1. Raw Data\2018\data files\test\det_544.xlsx</v>
      </c>
      <c r="K220" s="5"/>
      <c r="M220" s="114" t="s">
        <v>71</v>
      </c>
      <c r="N220" s="10">
        <v>544</v>
      </c>
      <c r="O220" s="10">
        <v>3</v>
      </c>
      <c r="P220" s="10">
        <v>1</v>
      </c>
    </row>
    <row r="221" spans="4:16" x14ac:dyDescent="0.25">
      <c r="D221" s="109">
        <v>217</v>
      </c>
      <c r="E221" s="10">
        <v>545</v>
      </c>
      <c r="F221" s="10">
        <v>3</v>
      </c>
      <c r="G221" s="10">
        <v>1</v>
      </c>
      <c r="H221" s="5" t="str">
        <f t="shared" si="9"/>
        <v>det_545</v>
      </c>
      <c r="I221" s="5" t="str">
        <f t="shared" si="10"/>
        <v>I:\Transportation Performance\Data\ADOT FMS\1. Raw Data\2018\data files\test\det_545.txt</v>
      </c>
      <c r="J221" s="5" t="str">
        <f t="shared" si="11"/>
        <v>I:\Transportation Performance\Data\ADOT FMS\1. Raw Data\2018\data files\test\det_545.xlsx</v>
      </c>
      <c r="K221" s="5"/>
      <c r="M221" s="114" t="s">
        <v>71</v>
      </c>
      <c r="N221" s="10">
        <v>545</v>
      </c>
      <c r="O221" s="10">
        <v>3</v>
      </c>
      <c r="P221" s="10">
        <v>1</v>
      </c>
    </row>
    <row r="222" spans="4:16" x14ac:dyDescent="0.25">
      <c r="D222" s="109">
        <v>218</v>
      </c>
      <c r="E222" s="10">
        <v>546</v>
      </c>
      <c r="F222" s="10">
        <v>3</v>
      </c>
      <c r="G222" s="10">
        <v>1</v>
      </c>
      <c r="H222" s="5" t="str">
        <f t="shared" si="9"/>
        <v>det_546</v>
      </c>
      <c r="I222" s="5" t="str">
        <f t="shared" si="10"/>
        <v>I:\Transportation Performance\Data\ADOT FMS\1. Raw Data\2018\data files\test\det_546.txt</v>
      </c>
      <c r="J222" s="5" t="str">
        <f t="shared" si="11"/>
        <v>I:\Transportation Performance\Data\ADOT FMS\1. Raw Data\2018\data files\test\det_546.xlsx</v>
      </c>
      <c r="K222" s="5"/>
      <c r="M222" s="114" t="s">
        <v>71</v>
      </c>
      <c r="N222" s="10">
        <v>546</v>
      </c>
      <c r="O222" s="10">
        <v>3</v>
      </c>
      <c r="P222" s="10">
        <v>1</v>
      </c>
    </row>
    <row r="223" spans="4:16" x14ac:dyDescent="0.25">
      <c r="D223" s="109">
        <v>219</v>
      </c>
      <c r="E223" s="10">
        <v>547</v>
      </c>
      <c r="F223" s="10">
        <v>3</v>
      </c>
      <c r="G223" s="10">
        <v>1</v>
      </c>
      <c r="H223" s="5" t="str">
        <f t="shared" si="9"/>
        <v>det_547</v>
      </c>
      <c r="I223" s="5" t="str">
        <f t="shared" si="10"/>
        <v>I:\Transportation Performance\Data\ADOT FMS\1. Raw Data\2018\data files\test\det_547.txt</v>
      </c>
      <c r="J223" s="5" t="str">
        <f t="shared" si="11"/>
        <v>I:\Transportation Performance\Data\ADOT FMS\1. Raw Data\2018\data files\test\det_547.xlsx</v>
      </c>
      <c r="K223" s="5"/>
      <c r="M223" s="114" t="s">
        <v>71</v>
      </c>
      <c r="N223" s="10">
        <v>547</v>
      </c>
      <c r="O223" s="10">
        <v>3</v>
      </c>
      <c r="P223" s="10">
        <v>1</v>
      </c>
    </row>
    <row r="224" spans="4:16" x14ac:dyDescent="0.25">
      <c r="D224" s="109">
        <v>220</v>
      </c>
      <c r="E224" s="10">
        <v>548</v>
      </c>
      <c r="F224" s="10">
        <v>2</v>
      </c>
      <c r="G224" s="10">
        <v>0</v>
      </c>
      <c r="H224" s="5" t="str">
        <f t="shared" si="9"/>
        <v>det_548</v>
      </c>
      <c r="I224" s="5" t="str">
        <f t="shared" si="10"/>
        <v>I:\Transportation Performance\Data\ADOT FMS\1. Raw Data\2018\data files\test\det_548.txt</v>
      </c>
      <c r="J224" s="5" t="str">
        <f t="shared" si="11"/>
        <v>I:\Transportation Performance\Data\ADOT FMS\1. Raw Data\2018\data files\test\det_548.xlsx</v>
      </c>
      <c r="K224" s="5"/>
      <c r="M224" s="114" t="s">
        <v>71</v>
      </c>
      <c r="N224" s="10">
        <v>548</v>
      </c>
      <c r="O224" s="10">
        <v>2</v>
      </c>
      <c r="P224" s="10">
        <v>0</v>
      </c>
    </row>
    <row r="225" spans="4:16" x14ac:dyDescent="0.25">
      <c r="D225" s="109">
        <v>221</v>
      </c>
      <c r="E225" s="10">
        <v>264</v>
      </c>
      <c r="F225" s="10">
        <v>5</v>
      </c>
      <c r="G225" s="10">
        <v>1</v>
      </c>
      <c r="H225" s="5" t="str">
        <f t="shared" si="9"/>
        <v>det_264</v>
      </c>
      <c r="I225" s="5" t="str">
        <f t="shared" si="10"/>
        <v>I:\Transportation Performance\Data\ADOT FMS\1. Raw Data\2018\data files\test\det_264.txt</v>
      </c>
      <c r="J225" s="5" t="str">
        <f t="shared" si="11"/>
        <v>I:\Transportation Performance\Data\ADOT FMS\1. Raw Data\2018\data files\test\det_264.xlsx</v>
      </c>
      <c r="K225" s="5"/>
      <c r="M225" s="114" t="s">
        <v>72</v>
      </c>
      <c r="N225" s="10">
        <v>264</v>
      </c>
      <c r="O225" s="10">
        <v>5</v>
      </c>
      <c r="P225" s="10">
        <v>1</v>
      </c>
    </row>
    <row r="226" spans="4:16" x14ac:dyDescent="0.25">
      <c r="D226" s="109">
        <v>222</v>
      </c>
      <c r="E226" s="10">
        <v>267</v>
      </c>
      <c r="F226" s="10">
        <v>4</v>
      </c>
      <c r="G226" s="10">
        <v>1</v>
      </c>
      <c r="H226" s="5" t="str">
        <f t="shared" si="9"/>
        <v>det_267</v>
      </c>
      <c r="I226" s="5" t="str">
        <f t="shared" si="10"/>
        <v>I:\Transportation Performance\Data\ADOT FMS\1. Raw Data\2018\data files\test\det_267.txt</v>
      </c>
      <c r="J226" s="5" t="str">
        <f t="shared" si="11"/>
        <v>I:\Transportation Performance\Data\ADOT FMS\1. Raw Data\2018\data files\test\det_267.xlsx</v>
      </c>
      <c r="K226" s="5"/>
      <c r="M226" s="114" t="s">
        <v>72</v>
      </c>
      <c r="N226" s="10">
        <v>267</v>
      </c>
      <c r="O226" s="10">
        <v>4</v>
      </c>
      <c r="P226" s="10">
        <v>1</v>
      </c>
    </row>
    <row r="227" spans="4:16" x14ac:dyDescent="0.25">
      <c r="D227" s="109">
        <v>223</v>
      </c>
      <c r="E227" s="10">
        <v>270</v>
      </c>
      <c r="F227" s="10">
        <v>3</v>
      </c>
      <c r="G227" s="10">
        <v>1</v>
      </c>
      <c r="H227" s="5" t="str">
        <f t="shared" si="9"/>
        <v>det_270</v>
      </c>
      <c r="I227" s="5" t="str">
        <f t="shared" si="10"/>
        <v>I:\Transportation Performance\Data\ADOT FMS\1. Raw Data\2018\data files\test\det_270.txt</v>
      </c>
      <c r="J227" s="5" t="str">
        <f t="shared" si="11"/>
        <v>I:\Transportation Performance\Data\ADOT FMS\1. Raw Data\2018\data files\test\det_270.xlsx</v>
      </c>
      <c r="K227" s="5"/>
      <c r="M227" s="114" t="s">
        <v>72</v>
      </c>
      <c r="N227" s="10">
        <v>270</v>
      </c>
      <c r="O227" s="10">
        <v>3</v>
      </c>
      <c r="P227" s="10">
        <v>1</v>
      </c>
    </row>
    <row r="228" spans="4:16" x14ac:dyDescent="0.25">
      <c r="D228" s="109">
        <v>224</v>
      </c>
      <c r="E228" s="10">
        <v>271</v>
      </c>
      <c r="F228" s="10">
        <v>3</v>
      </c>
      <c r="G228" s="10">
        <v>0</v>
      </c>
      <c r="H228" s="5" t="str">
        <f t="shared" si="9"/>
        <v>det_271</v>
      </c>
      <c r="I228" s="5" t="str">
        <f t="shared" si="10"/>
        <v>I:\Transportation Performance\Data\ADOT FMS\1. Raw Data\2018\data files\test\det_271.txt</v>
      </c>
      <c r="J228" s="5" t="str">
        <f t="shared" si="11"/>
        <v>I:\Transportation Performance\Data\ADOT FMS\1. Raw Data\2018\data files\test\det_271.xlsx</v>
      </c>
      <c r="K228" s="5"/>
      <c r="M228" s="114" t="s">
        <v>273</v>
      </c>
      <c r="N228" s="10">
        <v>271</v>
      </c>
      <c r="O228" s="10">
        <v>3</v>
      </c>
      <c r="P228" s="10">
        <v>0</v>
      </c>
    </row>
    <row r="229" spans="4:16" x14ac:dyDescent="0.25">
      <c r="D229" s="109">
        <v>225</v>
      </c>
      <c r="E229" s="10">
        <v>256</v>
      </c>
      <c r="F229" s="10">
        <v>3</v>
      </c>
      <c r="G229" s="10">
        <v>1</v>
      </c>
      <c r="H229" s="5" t="str">
        <f t="shared" si="9"/>
        <v>det_256</v>
      </c>
      <c r="I229" s="5" t="str">
        <f t="shared" si="10"/>
        <v>I:\Transportation Performance\Data\ADOT FMS\1. Raw Data\2018\data files\test\det_256.txt</v>
      </c>
      <c r="J229" s="5" t="str">
        <f t="shared" si="11"/>
        <v>I:\Transportation Performance\Data\ADOT FMS\1. Raw Data\2018\data files\test\det_256.xlsx</v>
      </c>
      <c r="K229" s="5"/>
      <c r="M229" s="114" t="s">
        <v>72</v>
      </c>
      <c r="N229" s="10">
        <v>256</v>
      </c>
      <c r="O229" s="10">
        <v>3</v>
      </c>
      <c r="P229" s="10">
        <v>1</v>
      </c>
    </row>
    <row r="230" spans="4:16" x14ac:dyDescent="0.25">
      <c r="D230" s="109">
        <v>226</v>
      </c>
      <c r="E230" s="115">
        <v>258</v>
      </c>
      <c r="F230" s="115">
        <v>3</v>
      </c>
      <c r="G230" s="115">
        <v>1</v>
      </c>
      <c r="H230" s="5" t="str">
        <f t="shared" si="9"/>
        <v>det_258</v>
      </c>
      <c r="I230" s="5" t="str">
        <f t="shared" si="10"/>
        <v>I:\Transportation Performance\Data\ADOT FMS\1. Raw Data\2018\data files\test\det_258.txt</v>
      </c>
      <c r="J230" s="5" t="str">
        <f t="shared" si="11"/>
        <v>I:\Transportation Performance\Data\ADOT FMS\1. Raw Data\2018\data files\test\det_258.xlsx</v>
      </c>
      <c r="K230" s="5"/>
      <c r="M230" s="114" t="s">
        <v>72</v>
      </c>
      <c r="N230" s="115">
        <v>258</v>
      </c>
      <c r="O230" s="115">
        <v>3</v>
      </c>
      <c r="P230" s="115">
        <v>1</v>
      </c>
    </row>
    <row r="231" spans="4:16" x14ac:dyDescent="0.25">
      <c r="D231" s="109">
        <v>227</v>
      </c>
      <c r="E231" s="10">
        <v>261</v>
      </c>
      <c r="F231" s="10">
        <v>4</v>
      </c>
      <c r="G231" s="10">
        <v>1</v>
      </c>
      <c r="H231" s="5" t="str">
        <f t="shared" si="9"/>
        <v>det_261</v>
      </c>
      <c r="I231" s="5" t="str">
        <f t="shared" si="10"/>
        <v>I:\Transportation Performance\Data\ADOT FMS\1. Raw Data\2018\data files\test\det_261.txt</v>
      </c>
      <c r="J231" s="5" t="str">
        <f t="shared" si="11"/>
        <v>I:\Transportation Performance\Data\ADOT FMS\1. Raw Data\2018\data files\test\det_261.xlsx</v>
      </c>
      <c r="K231" s="5"/>
      <c r="M231" s="114" t="s">
        <v>72</v>
      </c>
      <c r="N231" s="10">
        <v>261</v>
      </c>
      <c r="O231" s="10">
        <v>4</v>
      </c>
      <c r="P231" s="10">
        <v>1</v>
      </c>
    </row>
    <row r="232" spans="4:16" x14ac:dyDescent="0.25">
      <c r="D232" s="109">
        <v>228</v>
      </c>
      <c r="E232" s="10">
        <v>263</v>
      </c>
      <c r="F232" s="10">
        <v>4</v>
      </c>
      <c r="G232" s="10">
        <v>1</v>
      </c>
      <c r="H232" s="5" t="str">
        <f t="shared" si="9"/>
        <v>det_263</v>
      </c>
      <c r="I232" s="5" t="str">
        <f t="shared" si="10"/>
        <v>I:\Transportation Performance\Data\ADOT FMS\1. Raw Data\2018\data files\test\det_263.txt</v>
      </c>
      <c r="J232" s="5" t="str">
        <f t="shared" si="11"/>
        <v>I:\Transportation Performance\Data\ADOT FMS\1. Raw Data\2018\data files\test\det_263.xlsx</v>
      </c>
      <c r="K232" s="5"/>
      <c r="M232" s="114" t="s">
        <v>72</v>
      </c>
      <c r="N232" s="10">
        <v>263</v>
      </c>
      <c r="O232" s="10">
        <v>4</v>
      </c>
      <c r="P232" s="10">
        <v>1</v>
      </c>
    </row>
    <row r="233" spans="4:16" x14ac:dyDescent="0.25">
      <c r="D233" s="109">
        <v>229</v>
      </c>
      <c r="E233" s="10">
        <v>507</v>
      </c>
      <c r="F233" s="10">
        <v>3</v>
      </c>
      <c r="G233" s="10">
        <v>1</v>
      </c>
      <c r="H233" s="5" t="str">
        <f t="shared" si="9"/>
        <v>det_507</v>
      </c>
      <c r="I233" s="5" t="str">
        <f t="shared" si="10"/>
        <v>I:\Transportation Performance\Data\ADOT FMS\1. Raw Data\2018\data files\test\det_507.txt</v>
      </c>
      <c r="J233" s="5" t="str">
        <f t="shared" si="11"/>
        <v>I:\Transportation Performance\Data\ADOT FMS\1. Raw Data\2018\data files\test\det_507.xlsx</v>
      </c>
      <c r="K233" s="5"/>
      <c r="M233" s="114" t="s">
        <v>72</v>
      </c>
      <c r="N233" s="10">
        <v>507</v>
      </c>
      <c r="O233" s="10">
        <v>3</v>
      </c>
      <c r="P233" s="10">
        <v>1</v>
      </c>
    </row>
    <row r="234" spans="4:16" x14ac:dyDescent="0.25">
      <c r="D234" s="109">
        <v>230</v>
      </c>
      <c r="E234" s="10">
        <v>549</v>
      </c>
      <c r="F234" s="10">
        <v>4</v>
      </c>
      <c r="G234" s="10">
        <v>1</v>
      </c>
      <c r="H234" s="5" t="str">
        <f t="shared" si="9"/>
        <v>det_549</v>
      </c>
      <c r="I234" s="5" t="str">
        <f t="shared" si="10"/>
        <v>I:\Transportation Performance\Data\ADOT FMS\1. Raw Data\2018\data files\test\det_549.txt</v>
      </c>
      <c r="J234" s="5" t="str">
        <f t="shared" si="11"/>
        <v>I:\Transportation Performance\Data\ADOT FMS\1. Raw Data\2018\data files\test\det_549.xlsx</v>
      </c>
      <c r="K234" s="5"/>
      <c r="M234" s="114" t="s">
        <v>73</v>
      </c>
      <c r="N234" s="10">
        <v>549</v>
      </c>
      <c r="O234" s="10">
        <v>4</v>
      </c>
      <c r="P234" s="10">
        <v>1</v>
      </c>
    </row>
    <row r="235" spans="4:16" x14ac:dyDescent="0.25">
      <c r="D235" s="109">
        <v>231</v>
      </c>
      <c r="E235" s="10">
        <v>550</v>
      </c>
      <c r="F235" s="10">
        <v>3</v>
      </c>
      <c r="G235" s="10">
        <v>1</v>
      </c>
      <c r="H235" s="5" t="str">
        <f t="shared" si="9"/>
        <v>det_550</v>
      </c>
      <c r="I235" s="5" t="str">
        <f t="shared" si="10"/>
        <v>I:\Transportation Performance\Data\ADOT FMS\1. Raw Data\2018\data files\test\det_550.txt</v>
      </c>
      <c r="J235" s="5" t="str">
        <f t="shared" si="11"/>
        <v>I:\Transportation Performance\Data\ADOT FMS\1. Raw Data\2018\data files\test\det_550.xlsx</v>
      </c>
      <c r="K235" s="5"/>
      <c r="M235" s="114" t="s">
        <v>74</v>
      </c>
      <c r="N235" s="10">
        <v>550</v>
      </c>
      <c r="O235" s="10">
        <v>3</v>
      </c>
      <c r="P235" s="10">
        <v>1</v>
      </c>
    </row>
    <row r="236" spans="4:16" x14ac:dyDescent="0.25">
      <c r="D236" s="109">
        <v>232</v>
      </c>
      <c r="E236" s="112">
        <v>551</v>
      </c>
      <c r="F236" s="112">
        <v>2</v>
      </c>
      <c r="G236" s="112">
        <v>1</v>
      </c>
      <c r="H236" s="5" t="str">
        <f t="shared" si="9"/>
        <v>det_551</v>
      </c>
      <c r="I236" s="5" t="str">
        <f t="shared" si="10"/>
        <v>I:\Transportation Performance\Data\ADOT FMS\1. Raw Data\2018\data files\test\det_551.txt</v>
      </c>
      <c r="J236" s="5" t="str">
        <f t="shared" si="11"/>
        <v>I:\Transportation Performance\Data\ADOT FMS\1. Raw Data\2018\data files\test\det_551.xlsx</v>
      </c>
      <c r="K236" s="5"/>
      <c r="M236" s="114" t="s">
        <v>73</v>
      </c>
      <c r="N236" s="112">
        <v>551</v>
      </c>
      <c r="O236" s="112">
        <v>2</v>
      </c>
      <c r="P236" s="112">
        <v>1</v>
      </c>
    </row>
    <row r="237" spans="4:16" x14ac:dyDescent="0.25">
      <c r="D237" s="109">
        <v>233</v>
      </c>
      <c r="E237" s="10">
        <v>552</v>
      </c>
      <c r="F237" s="10">
        <v>3</v>
      </c>
      <c r="G237" s="10">
        <v>1</v>
      </c>
      <c r="H237" s="5" t="str">
        <f t="shared" si="9"/>
        <v>det_552</v>
      </c>
      <c r="I237" s="5" t="str">
        <f t="shared" si="10"/>
        <v>I:\Transportation Performance\Data\ADOT FMS\1. Raw Data\2018\data files\test\det_552.txt</v>
      </c>
      <c r="J237" s="5" t="str">
        <f t="shared" si="11"/>
        <v>I:\Transportation Performance\Data\ADOT FMS\1. Raw Data\2018\data files\test\det_552.xlsx</v>
      </c>
      <c r="K237" s="5"/>
      <c r="M237" s="114" t="s">
        <v>74</v>
      </c>
      <c r="N237" s="10">
        <v>552</v>
      </c>
      <c r="O237" s="10">
        <v>3</v>
      </c>
      <c r="P237" s="10">
        <v>1</v>
      </c>
    </row>
    <row r="238" spans="4:16" x14ac:dyDescent="0.25">
      <c r="D238" s="109">
        <v>234</v>
      </c>
      <c r="E238" s="10">
        <v>553</v>
      </c>
      <c r="F238" s="10">
        <v>3</v>
      </c>
      <c r="G238" s="10">
        <v>1</v>
      </c>
      <c r="H238" s="5" t="str">
        <f t="shared" si="9"/>
        <v>det_553</v>
      </c>
      <c r="I238" s="5" t="str">
        <f t="shared" si="10"/>
        <v>I:\Transportation Performance\Data\ADOT FMS\1. Raw Data\2018\data files\test\det_553.txt</v>
      </c>
      <c r="J238" s="5" t="str">
        <f t="shared" si="11"/>
        <v>I:\Transportation Performance\Data\ADOT FMS\1. Raw Data\2018\data files\test\det_553.xlsx</v>
      </c>
      <c r="K238" s="5"/>
      <c r="M238" s="114" t="s">
        <v>73</v>
      </c>
      <c r="N238" s="10">
        <v>553</v>
      </c>
      <c r="O238" s="10">
        <v>3</v>
      </c>
      <c r="P238" s="10">
        <v>1</v>
      </c>
    </row>
    <row r="239" spans="4:16" x14ac:dyDescent="0.25">
      <c r="D239" s="109">
        <v>235</v>
      </c>
      <c r="E239" s="10">
        <v>554</v>
      </c>
      <c r="F239" s="10">
        <v>3</v>
      </c>
      <c r="G239" s="10">
        <v>1</v>
      </c>
      <c r="H239" s="5" t="str">
        <f t="shared" si="9"/>
        <v>det_554</v>
      </c>
      <c r="I239" s="5" t="str">
        <f t="shared" si="10"/>
        <v>I:\Transportation Performance\Data\ADOT FMS\1. Raw Data\2018\data files\test\det_554.txt</v>
      </c>
      <c r="J239" s="5" t="str">
        <f t="shared" si="11"/>
        <v>I:\Transportation Performance\Data\ADOT FMS\1. Raw Data\2018\data files\test\det_554.xlsx</v>
      </c>
      <c r="K239" s="5"/>
      <c r="M239" s="114" t="s">
        <v>74</v>
      </c>
      <c r="N239" s="10">
        <v>554</v>
      </c>
      <c r="O239" s="10">
        <v>3</v>
      </c>
      <c r="P239" s="10">
        <v>1</v>
      </c>
    </row>
    <row r="240" spans="4:16" x14ac:dyDescent="0.25">
      <c r="D240" s="109">
        <v>236</v>
      </c>
      <c r="E240" s="10">
        <v>555</v>
      </c>
      <c r="F240" s="10">
        <v>3</v>
      </c>
      <c r="G240" s="10">
        <v>1</v>
      </c>
      <c r="H240" s="5" t="str">
        <f t="shared" si="9"/>
        <v>det_555</v>
      </c>
      <c r="I240" s="5" t="str">
        <f t="shared" si="10"/>
        <v>I:\Transportation Performance\Data\ADOT FMS\1. Raw Data\2018\data files\test\det_555.txt</v>
      </c>
      <c r="J240" s="5" t="str">
        <f t="shared" si="11"/>
        <v>I:\Transportation Performance\Data\ADOT FMS\1. Raw Data\2018\data files\test\det_555.xlsx</v>
      </c>
      <c r="K240" s="5"/>
      <c r="M240" s="114" t="s">
        <v>73</v>
      </c>
      <c r="N240" s="10">
        <v>555</v>
      </c>
      <c r="O240" s="10">
        <v>3</v>
      </c>
      <c r="P240" s="10">
        <v>1</v>
      </c>
    </row>
    <row r="241" spans="4:16" x14ac:dyDescent="0.25">
      <c r="D241" s="109">
        <v>237</v>
      </c>
      <c r="E241" s="10">
        <v>556</v>
      </c>
      <c r="F241" s="10">
        <v>3</v>
      </c>
      <c r="G241" s="10">
        <v>1</v>
      </c>
      <c r="H241" s="5" t="str">
        <f t="shared" si="9"/>
        <v>det_556</v>
      </c>
      <c r="I241" s="5" t="str">
        <f t="shared" si="10"/>
        <v>I:\Transportation Performance\Data\ADOT FMS\1. Raw Data\2018\data files\test\det_556.txt</v>
      </c>
      <c r="J241" s="5" t="str">
        <f t="shared" si="11"/>
        <v>I:\Transportation Performance\Data\ADOT FMS\1. Raw Data\2018\data files\test\det_556.xlsx</v>
      </c>
      <c r="K241" s="5"/>
      <c r="M241" s="114" t="s">
        <v>74</v>
      </c>
      <c r="N241" s="10">
        <v>556</v>
      </c>
      <c r="O241" s="10">
        <v>3</v>
      </c>
      <c r="P241" s="10">
        <v>1</v>
      </c>
    </row>
    <row r="242" spans="4:16" x14ac:dyDescent="0.25">
      <c r="D242" s="109">
        <v>238</v>
      </c>
      <c r="E242" s="10">
        <v>557</v>
      </c>
      <c r="F242" s="10">
        <v>3</v>
      </c>
      <c r="G242" s="10">
        <v>1</v>
      </c>
      <c r="H242" s="5" t="str">
        <f t="shared" si="9"/>
        <v>det_557</v>
      </c>
      <c r="I242" s="5" t="str">
        <f t="shared" si="10"/>
        <v>I:\Transportation Performance\Data\ADOT FMS\1. Raw Data\2018\data files\test\det_557.txt</v>
      </c>
      <c r="J242" s="5" t="str">
        <f t="shared" si="11"/>
        <v>I:\Transportation Performance\Data\ADOT FMS\1. Raw Data\2018\data files\test\det_557.xlsx</v>
      </c>
      <c r="K242" s="5"/>
      <c r="M242" s="114" t="s">
        <v>73</v>
      </c>
      <c r="N242" s="10">
        <v>557</v>
      </c>
      <c r="O242" s="10">
        <v>3</v>
      </c>
      <c r="P242" s="10">
        <v>1</v>
      </c>
    </row>
    <row r="243" spans="4:16" x14ac:dyDescent="0.25">
      <c r="D243" s="109">
        <v>239</v>
      </c>
      <c r="E243" s="10">
        <v>570</v>
      </c>
      <c r="F243" s="10">
        <v>3</v>
      </c>
      <c r="G243" s="10">
        <v>1</v>
      </c>
      <c r="H243" s="5" t="str">
        <f t="shared" si="9"/>
        <v>det_570</v>
      </c>
      <c r="I243" s="5" t="str">
        <f t="shared" si="10"/>
        <v>I:\Transportation Performance\Data\ADOT FMS\1. Raw Data\2018\data files\test\det_570.txt</v>
      </c>
      <c r="J243" s="5" t="str">
        <f t="shared" si="11"/>
        <v>I:\Transportation Performance\Data\ADOT FMS\1. Raw Data\2018\data files\test\det_570.xlsx</v>
      </c>
      <c r="K243" s="5"/>
      <c r="M243" s="114" t="s">
        <v>74</v>
      </c>
      <c r="N243" s="10">
        <v>570</v>
      </c>
      <c r="O243" s="10">
        <v>3</v>
      </c>
      <c r="P243" s="10">
        <v>1</v>
      </c>
    </row>
    <row r="244" spans="4:16" x14ac:dyDescent="0.25">
      <c r="D244" s="109">
        <v>240</v>
      </c>
      <c r="E244" s="10">
        <v>571</v>
      </c>
      <c r="F244" s="10">
        <v>3</v>
      </c>
      <c r="G244" s="10">
        <v>1</v>
      </c>
      <c r="H244" s="5" t="str">
        <f t="shared" si="9"/>
        <v>det_571</v>
      </c>
      <c r="I244" s="5" t="str">
        <f t="shared" si="10"/>
        <v>I:\Transportation Performance\Data\ADOT FMS\1. Raw Data\2018\data files\test\det_571.txt</v>
      </c>
      <c r="J244" s="5" t="str">
        <f t="shared" si="11"/>
        <v>I:\Transportation Performance\Data\ADOT FMS\1. Raw Data\2018\data files\test\det_571.xlsx</v>
      </c>
      <c r="K244" s="5"/>
      <c r="M244" s="114" t="s">
        <v>74</v>
      </c>
      <c r="N244" s="10">
        <v>571</v>
      </c>
      <c r="O244" s="10">
        <v>3</v>
      </c>
      <c r="P244" s="10">
        <v>1</v>
      </c>
    </row>
    <row r="245" spans="4:16" x14ac:dyDescent="0.25">
      <c r="D245" s="109">
        <v>241</v>
      </c>
      <c r="E245" s="10">
        <v>572</v>
      </c>
      <c r="F245" s="10">
        <v>3</v>
      </c>
      <c r="G245" s="10">
        <v>1</v>
      </c>
      <c r="H245" s="5" t="str">
        <f t="shared" si="9"/>
        <v>det_572</v>
      </c>
      <c r="I245" s="5" t="str">
        <f t="shared" si="10"/>
        <v>I:\Transportation Performance\Data\ADOT FMS\1. Raw Data\2018\data files\test\det_572.txt</v>
      </c>
      <c r="J245" s="5" t="str">
        <f t="shared" si="11"/>
        <v>I:\Transportation Performance\Data\ADOT FMS\1. Raw Data\2018\data files\test\det_572.xlsx</v>
      </c>
      <c r="K245" s="5"/>
      <c r="M245" s="114" t="s">
        <v>74</v>
      </c>
      <c r="N245" s="10">
        <v>572</v>
      </c>
      <c r="O245" s="10">
        <v>3</v>
      </c>
      <c r="P245" s="10">
        <v>1</v>
      </c>
    </row>
    <row r="246" spans="4:16" x14ac:dyDescent="0.25">
      <c r="D246" s="109">
        <v>242</v>
      </c>
      <c r="E246" s="10">
        <v>573</v>
      </c>
      <c r="F246" s="10">
        <v>3</v>
      </c>
      <c r="G246" s="10">
        <v>1</v>
      </c>
      <c r="H246" s="5" t="str">
        <f t="shared" si="9"/>
        <v>det_573</v>
      </c>
      <c r="I246" s="5" t="str">
        <f t="shared" si="10"/>
        <v>I:\Transportation Performance\Data\ADOT FMS\1. Raw Data\2018\data files\test\det_573.txt</v>
      </c>
      <c r="J246" s="5" t="str">
        <f t="shared" si="11"/>
        <v>I:\Transportation Performance\Data\ADOT FMS\1. Raw Data\2018\data files\test\det_573.xlsx</v>
      </c>
      <c r="K246" s="5"/>
      <c r="M246" s="114" t="s">
        <v>74</v>
      </c>
      <c r="N246" s="10">
        <v>573</v>
      </c>
      <c r="O246" s="10">
        <v>3</v>
      </c>
      <c r="P246" s="10">
        <v>1</v>
      </c>
    </row>
    <row r="247" spans="4:16" x14ac:dyDescent="0.25">
      <c r="D247" s="109">
        <v>243</v>
      </c>
      <c r="E247" s="10">
        <v>574</v>
      </c>
      <c r="F247" s="10">
        <v>3</v>
      </c>
      <c r="G247" s="10">
        <v>1</v>
      </c>
      <c r="H247" s="5" t="str">
        <f t="shared" si="9"/>
        <v>det_574</v>
      </c>
      <c r="I247" s="5" t="str">
        <f t="shared" si="10"/>
        <v>I:\Transportation Performance\Data\ADOT FMS\1. Raw Data\2018\data files\test\det_574.txt</v>
      </c>
      <c r="J247" s="5" t="str">
        <f t="shared" si="11"/>
        <v>I:\Transportation Performance\Data\ADOT FMS\1. Raw Data\2018\data files\test\det_574.xlsx</v>
      </c>
      <c r="K247" s="5"/>
      <c r="M247" s="114" t="s">
        <v>74</v>
      </c>
      <c r="N247" s="10">
        <v>574</v>
      </c>
      <c r="O247" s="10">
        <v>3</v>
      </c>
      <c r="P247" s="10">
        <v>1</v>
      </c>
    </row>
    <row r="248" spans="4:16" x14ac:dyDescent="0.25">
      <c r="D248" s="109">
        <v>244</v>
      </c>
      <c r="E248" s="10">
        <v>575</v>
      </c>
      <c r="F248" s="10">
        <v>3</v>
      </c>
      <c r="G248" s="10">
        <v>1</v>
      </c>
      <c r="H248" s="5" t="str">
        <f t="shared" si="9"/>
        <v>det_575</v>
      </c>
      <c r="I248" s="5" t="str">
        <f t="shared" si="10"/>
        <v>I:\Transportation Performance\Data\ADOT FMS\1. Raw Data\2018\data files\test\det_575.txt</v>
      </c>
      <c r="J248" s="5" t="str">
        <f t="shared" si="11"/>
        <v>I:\Transportation Performance\Data\ADOT FMS\1. Raw Data\2018\data files\test\det_575.xlsx</v>
      </c>
      <c r="K248" s="5"/>
      <c r="M248" s="114" t="s">
        <v>74</v>
      </c>
      <c r="N248" s="10">
        <v>575</v>
      </c>
      <c r="O248" s="10">
        <v>3</v>
      </c>
      <c r="P248" s="10">
        <v>1</v>
      </c>
    </row>
    <row r="249" spans="4:16" x14ac:dyDescent="0.25">
      <c r="D249" s="109">
        <v>245</v>
      </c>
      <c r="E249" s="10">
        <v>576</v>
      </c>
      <c r="F249" s="10">
        <v>3</v>
      </c>
      <c r="G249" s="10">
        <v>1</v>
      </c>
      <c r="H249" s="5" t="str">
        <f t="shared" si="9"/>
        <v>det_576</v>
      </c>
      <c r="I249" s="5" t="str">
        <f t="shared" si="10"/>
        <v>I:\Transportation Performance\Data\ADOT FMS\1. Raw Data\2018\data files\test\det_576.txt</v>
      </c>
      <c r="J249" s="5" t="str">
        <f t="shared" si="11"/>
        <v>I:\Transportation Performance\Data\ADOT FMS\1. Raw Data\2018\data files\test\det_576.xlsx</v>
      </c>
      <c r="K249" s="5"/>
      <c r="M249" s="114" t="s">
        <v>74</v>
      </c>
      <c r="N249" s="10">
        <v>576</v>
      </c>
      <c r="O249" s="10">
        <v>3</v>
      </c>
      <c r="P249" s="10">
        <v>1</v>
      </c>
    </row>
    <row r="250" spans="4:16" x14ac:dyDescent="0.25">
      <c r="D250" s="109">
        <v>246</v>
      </c>
      <c r="E250" s="10">
        <v>577</v>
      </c>
      <c r="F250" s="10">
        <v>3</v>
      </c>
      <c r="G250" s="10">
        <v>1</v>
      </c>
      <c r="H250" s="5" t="str">
        <f t="shared" si="9"/>
        <v>det_577</v>
      </c>
      <c r="I250" s="5" t="str">
        <f t="shared" si="10"/>
        <v>I:\Transportation Performance\Data\ADOT FMS\1. Raw Data\2018\data files\test\det_577.txt</v>
      </c>
      <c r="J250" s="5" t="str">
        <f t="shared" si="11"/>
        <v>I:\Transportation Performance\Data\ADOT FMS\1. Raw Data\2018\data files\test\det_577.xlsx</v>
      </c>
      <c r="K250" s="5"/>
      <c r="M250" s="114" t="s">
        <v>74</v>
      </c>
      <c r="N250" s="10">
        <v>577</v>
      </c>
      <c r="O250" s="10">
        <v>3</v>
      </c>
      <c r="P250" s="10">
        <v>1</v>
      </c>
    </row>
    <row r="251" spans="4:16" x14ac:dyDescent="0.25">
      <c r="D251" s="109">
        <v>247</v>
      </c>
      <c r="E251" s="10">
        <v>578</v>
      </c>
      <c r="F251" s="10">
        <v>4</v>
      </c>
      <c r="G251" s="10">
        <v>1</v>
      </c>
      <c r="H251" s="5" t="str">
        <f t="shared" si="9"/>
        <v>det_578</v>
      </c>
      <c r="I251" s="5" t="str">
        <f t="shared" si="10"/>
        <v>I:\Transportation Performance\Data\ADOT FMS\1. Raw Data\2018\data files\test\det_578.txt</v>
      </c>
      <c r="J251" s="5" t="str">
        <f t="shared" si="11"/>
        <v>I:\Transportation Performance\Data\ADOT FMS\1. Raw Data\2018\data files\test\det_578.xlsx</v>
      </c>
      <c r="K251" s="5"/>
      <c r="M251" s="114" t="s">
        <v>74</v>
      </c>
      <c r="N251" s="10">
        <v>578</v>
      </c>
      <c r="O251" s="10">
        <v>4</v>
      </c>
      <c r="P251" s="10">
        <v>1</v>
      </c>
    </row>
    <row r="252" spans="4:16" x14ac:dyDescent="0.25">
      <c r="D252" s="109">
        <v>248</v>
      </c>
      <c r="E252" s="10">
        <v>255</v>
      </c>
      <c r="F252" s="10">
        <v>4</v>
      </c>
      <c r="G252" s="10">
        <v>0</v>
      </c>
      <c r="H252" s="5" t="str">
        <f t="shared" si="9"/>
        <v>det_255</v>
      </c>
      <c r="I252" s="5" t="str">
        <f t="shared" si="10"/>
        <v>I:\Transportation Performance\Data\ADOT FMS\1. Raw Data\2018\data files\test\det_255.txt</v>
      </c>
      <c r="J252" s="5" t="str">
        <f t="shared" si="11"/>
        <v>I:\Transportation Performance\Data\ADOT FMS\1. Raw Data\2018\data files\test\det_255.xlsx</v>
      </c>
      <c r="K252" s="5"/>
      <c r="M252" s="114" t="s">
        <v>73</v>
      </c>
      <c r="N252" s="10">
        <v>255</v>
      </c>
      <c r="O252" s="10">
        <v>4</v>
      </c>
      <c r="P252" s="10">
        <v>0</v>
      </c>
    </row>
    <row r="253" spans="4:16" x14ac:dyDescent="0.25">
      <c r="D253" s="109">
        <v>249</v>
      </c>
      <c r="E253" s="10">
        <v>558</v>
      </c>
      <c r="F253" s="10">
        <v>3</v>
      </c>
      <c r="G253" s="10">
        <v>1</v>
      </c>
      <c r="H253" s="5" t="str">
        <f t="shared" si="9"/>
        <v>det_558</v>
      </c>
      <c r="I253" s="5" t="str">
        <f t="shared" si="10"/>
        <v>I:\Transportation Performance\Data\ADOT FMS\1. Raw Data\2018\data files\test\det_558.txt</v>
      </c>
      <c r="J253" s="5" t="str">
        <f t="shared" si="11"/>
        <v>I:\Transportation Performance\Data\ADOT FMS\1. Raw Data\2018\data files\test\det_558.xlsx</v>
      </c>
      <c r="K253" s="5"/>
      <c r="M253" s="114" t="s">
        <v>75</v>
      </c>
      <c r="N253" s="10">
        <v>558</v>
      </c>
      <c r="O253" s="10">
        <v>3</v>
      </c>
      <c r="P253" s="10">
        <v>1</v>
      </c>
    </row>
    <row r="254" spans="4:16" x14ac:dyDescent="0.25">
      <c r="D254" s="109">
        <v>250</v>
      </c>
      <c r="E254" s="10">
        <v>559</v>
      </c>
      <c r="F254" s="10">
        <v>3</v>
      </c>
      <c r="G254" s="10">
        <v>1</v>
      </c>
      <c r="H254" s="5" t="str">
        <f t="shared" si="9"/>
        <v>det_559</v>
      </c>
      <c r="I254" s="5" t="str">
        <f t="shared" si="10"/>
        <v>I:\Transportation Performance\Data\ADOT FMS\1. Raw Data\2018\data files\test\det_559.txt</v>
      </c>
      <c r="J254" s="5" t="str">
        <f t="shared" si="11"/>
        <v>I:\Transportation Performance\Data\ADOT FMS\1. Raw Data\2018\data files\test\det_559.xlsx</v>
      </c>
      <c r="M254" s="114" t="s">
        <v>75</v>
      </c>
      <c r="N254" s="10">
        <v>559</v>
      </c>
      <c r="O254" s="10">
        <v>3</v>
      </c>
      <c r="P254" s="10">
        <v>1</v>
      </c>
    </row>
    <row r="255" spans="4:16" x14ac:dyDescent="0.25">
      <c r="D255" s="109">
        <v>251</v>
      </c>
      <c r="E255" s="10">
        <v>560</v>
      </c>
      <c r="F255" s="10">
        <v>3</v>
      </c>
      <c r="G255" s="10">
        <v>1</v>
      </c>
      <c r="H255" s="5" t="str">
        <f t="shared" si="9"/>
        <v>det_560</v>
      </c>
      <c r="I255" s="5" t="str">
        <f t="shared" si="10"/>
        <v>I:\Transportation Performance\Data\ADOT FMS\1. Raw Data\2018\data files\test\det_560.txt</v>
      </c>
      <c r="J255" s="5" t="str">
        <f t="shared" si="11"/>
        <v>I:\Transportation Performance\Data\ADOT FMS\1. Raw Data\2018\data files\test\det_560.xlsx</v>
      </c>
      <c r="M255" s="114" t="s">
        <v>75</v>
      </c>
      <c r="N255" s="10">
        <v>560</v>
      </c>
      <c r="O255" s="10">
        <v>3</v>
      </c>
      <c r="P255" s="10">
        <v>1</v>
      </c>
    </row>
    <row r="256" spans="4:16" x14ac:dyDescent="0.25">
      <c r="D256" s="109">
        <v>252</v>
      </c>
      <c r="E256" s="10">
        <v>561</v>
      </c>
      <c r="F256" s="10">
        <v>4</v>
      </c>
      <c r="G256" s="10">
        <v>1</v>
      </c>
      <c r="H256" s="5" t="str">
        <f t="shared" si="9"/>
        <v>det_561</v>
      </c>
      <c r="I256" s="5" t="str">
        <f t="shared" si="10"/>
        <v>I:\Transportation Performance\Data\ADOT FMS\1. Raw Data\2018\data files\test\det_561.txt</v>
      </c>
      <c r="J256" s="5" t="str">
        <f t="shared" si="11"/>
        <v>I:\Transportation Performance\Data\ADOT FMS\1. Raw Data\2018\data files\test\det_561.xlsx</v>
      </c>
      <c r="M256" s="114" t="s">
        <v>75</v>
      </c>
      <c r="N256" s="10">
        <v>561</v>
      </c>
      <c r="O256" s="10">
        <v>4</v>
      </c>
      <c r="P256" s="10">
        <v>1</v>
      </c>
    </row>
    <row r="257" spans="4:16" x14ac:dyDescent="0.25">
      <c r="D257" s="109">
        <v>253</v>
      </c>
      <c r="E257" s="10">
        <v>562</v>
      </c>
      <c r="F257" s="10">
        <v>3</v>
      </c>
      <c r="G257" s="10">
        <v>1</v>
      </c>
      <c r="H257" s="5" t="str">
        <f t="shared" si="9"/>
        <v>det_562</v>
      </c>
      <c r="I257" s="5" t="str">
        <f t="shared" si="10"/>
        <v>I:\Transportation Performance\Data\ADOT FMS\1. Raw Data\2018\data files\test\det_562.txt</v>
      </c>
      <c r="J257" s="5" t="str">
        <f t="shared" si="11"/>
        <v>I:\Transportation Performance\Data\ADOT FMS\1. Raw Data\2018\data files\test\det_562.xlsx</v>
      </c>
      <c r="M257" s="114" t="s">
        <v>75</v>
      </c>
      <c r="N257" s="10">
        <v>562</v>
      </c>
      <c r="O257" s="10">
        <v>3</v>
      </c>
      <c r="P257" s="10">
        <v>1</v>
      </c>
    </row>
    <row r="258" spans="4:16" x14ac:dyDescent="0.25">
      <c r="D258" s="109">
        <v>254</v>
      </c>
      <c r="E258" s="10">
        <v>563</v>
      </c>
      <c r="F258" s="10">
        <v>4</v>
      </c>
      <c r="G258" s="10">
        <v>1</v>
      </c>
      <c r="H258" s="5" t="str">
        <f t="shared" si="9"/>
        <v>det_563</v>
      </c>
      <c r="I258" s="5" t="str">
        <f t="shared" si="10"/>
        <v>I:\Transportation Performance\Data\ADOT FMS\1. Raw Data\2018\data files\test\det_563.txt</v>
      </c>
      <c r="J258" s="5" t="str">
        <f t="shared" si="11"/>
        <v>I:\Transportation Performance\Data\ADOT FMS\1. Raw Data\2018\data files\test\det_563.xlsx</v>
      </c>
      <c r="M258" s="114" t="s">
        <v>75</v>
      </c>
      <c r="N258" s="10">
        <v>563</v>
      </c>
      <c r="O258" s="10">
        <v>4</v>
      </c>
      <c r="P258" s="10">
        <v>1</v>
      </c>
    </row>
    <row r="259" spans="4:16" x14ac:dyDescent="0.25">
      <c r="D259" s="109">
        <v>255</v>
      </c>
      <c r="E259" s="10">
        <v>564</v>
      </c>
      <c r="F259" s="10">
        <v>3</v>
      </c>
      <c r="G259" s="10">
        <v>1</v>
      </c>
      <c r="H259" s="5" t="str">
        <f t="shared" si="9"/>
        <v>det_564</v>
      </c>
      <c r="I259" s="5" t="str">
        <f t="shared" si="10"/>
        <v>I:\Transportation Performance\Data\ADOT FMS\1. Raw Data\2018\data files\test\det_564.txt</v>
      </c>
      <c r="J259" s="5" t="str">
        <f t="shared" si="11"/>
        <v>I:\Transportation Performance\Data\ADOT FMS\1. Raw Data\2018\data files\test\det_564.xlsx</v>
      </c>
      <c r="M259" s="114" t="s">
        <v>75</v>
      </c>
      <c r="N259" s="10">
        <v>564</v>
      </c>
      <c r="O259" s="10">
        <v>3</v>
      </c>
      <c r="P259" s="10">
        <v>1</v>
      </c>
    </row>
    <row r="260" spans="4:16" x14ac:dyDescent="0.25">
      <c r="D260" s="109">
        <v>256</v>
      </c>
      <c r="E260" s="10">
        <v>565</v>
      </c>
      <c r="F260" s="10">
        <v>4</v>
      </c>
      <c r="G260" s="10">
        <v>1</v>
      </c>
      <c r="H260" s="5" t="str">
        <f t="shared" si="9"/>
        <v>det_565</v>
      </c>
      <c r="I260" s="5" t="str">
        <f t="shared" si="10"/>
        <v>I:\Transportation Performance\Data\ADOT FMS\1. Raw Data\2018\data files\test\det_565.txt</v>
      </c>
      <c r="J260" s="5" t="str">
        <f t="shared" si="11"/>
        <v>I:\Transportation Performance\Data\ADOT FMS\1. Raw Data\2018\data files\test\det_565.xlsx</v>
      </c>
      <c r="M260" s="114" t="s">
        <v>75</v>
      </c>
      <c r="N260" s="10">
        <v>565</v>
      </c>
      <c r="O260" s="10">
        <v>4</v>
      </c>
      <c r="P260" s="10">
        <v>1</v>
      </c>
    </row>
    <row r="261" spans="4:16" x14ac:dyDescent="0.25">
      <c r="D261" s="109">
        <v>257</v>
      </c>
      <c r="E261" s="10">
        <v>566</v>
      </c>
      <c r="F261" s="10">
        <v>3</v>
      </c>
      <c r="G261" s="10">
        <v>1</v>
      </c>
      <c r="H261" s="5" t="str">
        <f t="shared" ref="H261:H324" si="12">"det_"&amp;E261&amp;""</f>
        <v>det_566</v>
      </c>
      <c r="I261" s="5" t="str">
        <f t="shared" si="10"/>
        <v>I:\Transportation Performance\Data\ADOT FMS\1. Raw Data\2018\data files\test\det_566.txt</v>
      </c>
      <c r="J261" s="5" t="str">
        <f t="shared" si="11"/>
        <v>I:\Transportation Performance\Data\ADOT FMS\1. Raw Data\2018\data files\test\det_566.xlsx</v>
      </c>
      <c r="M261" s="114" t="s">
        <v>75</v>
      </c>
      <c r="N261" s="10">
        <v>566</v>
      </c>
      <c r="O261" s="10">
        <v>3</v>
      </c>
      <c r="P261" s="10">
        <v>1</v>
      </c>
    </row>
    <row r="262" spans="4:16" x14ac:dyDescent="0.25">
      <c r="D262" s="109">
        <v>258</v>
      </c>
      <c r="E262" s="10">
        <v>567</v>
      </c>
      <c r="F262" s="10">
        <v>4</v>
      </c>
      <c r="G262" s="10">
        <v>1</v>
      </c>
      <c r="H262" s="5" t="str">
        <f t="shared" si="12"/>
        <v>det_567</v>
      </c>
      <c r="I262" s="5" t="str">
        <f t="shared" si="10"/>
        <v>I:\Transportation Performance\Data\ADOT FMS\1. Raw Data\2018\data files\test\det_567.txt</v>
      </c>
      <c r="J262" s="5" t="str">
        <f t="shared" si="11"/>
        <v>I:\Transportation Performance\Data\ADOT FMS\1. Raw Data\2018\data files\test\det_567.xlsx</v>
      </c>
      <c r="K262" s="5"/>
      <c r="M262" s="114" t="s">
        <v>75</v>
      </c>
      <c r="N262" s="10">
        <v>567</v>
      </c>
      <c r="O262" s="10">
        <v>4</v>
      </c>
      <c r="P262" s="10">
        <v>1</v>
      </c>
    </row>
    <row r="263" spans="4:16" x14ac:dyDescent="0.25">
      <c r="D263" s="109">
        <v>259</v>
      </c>
      <c r="E263" s="10">
        <v>568</v>
      </c>
      <c r="F263" s="10">
        <v>3</v>
      </c>
      <c r="G263" s="10">
        <v>1</v>
      </c>
      <c r="H263" s="5" t="str">
        <f t="shared" si="12"/>
        <v>det_568</v>
      </c>
      <c r="I263" s="5" t="str">
        <f t="shared" si="10"/>
        <v>I:\Transportation Performance\Data\ADOT FMS\1. Raw Data\2018\data files\test\det_568.txt</v>
      </c>
      <c r="J263" s="5" t="str">
        <f t="shared" si="11"/>
        <v>I:\Transportation Performance\Data\ADOT FMS\1. Raw Data\2018\data files\test\det_568.xlsx</v>
      </c>
      <c r="M263" s="114" t="s">
        <v>75</v>
      </c>
      <c r="N263" s="10">
        <v>568</v>
      </c>
      <c r="O263" s="10">
        <v>3</v>
      </c>
      <c r="P263" s="10">
        <v>1</v>
      </c>
    </row>
    <row r="264" spans="4:16" x14ac:dyDescent="0.25">
      <c r="D264" s="109">
        <v>260</v>
      </c>
      <c r="E264" s="10">
        <v>569</v>
      </c>
      <c r="F264" s="10">
        <v>3</v>
      </c>
      <c r="G264" s="10">
        <v>1</v>
      </c>
      <c r="H264" s="5" t="str">
        <f t="shared" si="12"/>
        <v>det_569</v>
      </c>
      <c r="I264" s="5" t="str">
        <f t="shared" si="10"/>
        <v>I:\Transportation Performance\Data\ADOT FMS\1. Raw Data\2018\data files\test\det_569.txt</v>
      </c>
      <c r="J264" s="5" t="str">
        <f t="shared" si="11"/>
        <v>I:\Transportation Performance\Data\ADOT FMS\1. Raw Data\2018\data files\test\det_569.xlsx</v>
      </c>
      <c r="M264" s="114" t="s">
        <v>75</v>
      </c>
      <c r="N264" s="10">
        <v>569</v>
      </c>
      <c r="O264" s="10">
        <v>3</v>
      </c>
      <c r="P264" s="10">
        <v>1</v>
      </c>
    </row>
    <row r="265" spans="4:16" x14ac:dyDescent="0.25">
      <c r="D265" s="109">
        <v>261</v>
      </c>
      <c r="E265" s="10">
        <v>601</v>
      </c>
      <c r="F265" s="10">
        <v>4</v>
      </c>
      <c r="G265" s="10">
        <v>0</v>
      </c>
      <c r="H265" s="5" t="str">
        <f t="shared" si="12"/>
        <v>det_601</v>
      </c>
      <c r="I265" s="5" t="str">
        <f t="shared" si="10"/>
        <v>I:\Transportation Performance\Data\ADOT FMS\1. Raw Data\2018\data files\test\det_601.txt</v>
      </c>
      <c r="J265" s="5" t="str">
        <f t="shared" si="11"/>
        <v>I:\Transportation Performance\Data\ADOT FMS\1. Raw Data\2018\data files\test\det_601.xlsx</v>
      </c>
      <c r="M265" s="114" t="s">
        <v>76</v>
      </c>
      <c r="N265" s="10">
        <v>601</v>
      </c>
      <c r="O265" s="10">
        <v>4</v>
      </c>
      <c r="P265" s="10">
        <v>0</v>
      </c>
    </row>
    <row r="266" spans="4:16" x14ac:dyDescent="0.25">
      <c r="D266" s="109">
        <v>262</v>
      </c>
      <c r="E266" s="10">
        <v>602</v>
      </c>
      <c r="F266" s="10">
        <v>3</v>
      </c>
      <c r="G266" s="10">
        <v>1</v>
      </c>
      <c r="H266" s="5" t="str">
        <f t="shared" si="12"/>
        <v>det_602</v>
      </c>
      <c r="I266" s="5" t="str">
        <f t="shared" ref="I266:I329" si="13">$B$5&amp;"\"&amp;H266&amp;".txt"</f>
        <v>I:\Transportation Performance\Data\ADOT FMS\1. Raw Data\2018\data files\test\det_602.txt</v>
      </c>
      <c r="J266" s="5" t="str">
        <f t="shared" ref="J266:J329" si="14">$B$5&amp;"\"&amp;H266&amp;".xlsx"</f>
        <v>I:\Transportation Performance\Data\ADOT FMS\1. Raw Data\2018\data files\test\det_602.xlsx</v>
      </c>
      <c r="M266" s="114" t="s">
        <v>76</v>
      </c>
      <c r="N266" s="10">
        <v>602</v>
      </c>
      <c r="O266" s="10">
        <v>3</v>
      </c>
      <c r="P266" s="10">
        <v>1</v>
      </c>
    </row>
    <row r="267" spans="4:16" x14ac:dyDescent="0.25">
      <c r="D267" s="109">
        <v>263</v>
      </c>
      <c r="E267" s="10">
        <v>603</v>
      </c>
      <c r="F267" s="10">
        <v>3</v>
      </c>
      <c r="G267" s="10">
        <v>1</v>
      </c>
      <c r="H267" s="5" t="str">
        <f t="shared" si="12"/>
        <v>det_603</v>
      </c>
      <c r="I267" s="5" t="str">
        <f t="shared" si="13"/>
        <v>I:\Transportation Performance\Data\ADOT FMS\1. Raw Data\2018\data files\test\det_603.txt</v>
      </c>
      <c r="J267" s="5" t="str">
        <f t="shared" si="14"/>
        <v>I:\Transportation Performance\Data\ADOT FMS\1. Raw Data\2018\data files\test\det_603.xlsx</v>
      </c>
      <c r="M267" s="114" t="s">
        <v>76</v>
      </c>
      <c r="N267" s="10">
        <v>603</v>
      </c>
      <c r="O267" s="10">
        <v>3</v>
      </c>
      <c r="P267" s="10">
        <v>1</v>
      </c>
    </row>
    <row r="268" spans="4:16" x14ac:dyDescent="0.25">
      <c r="D268" s="109">
        <v>264</v>
      </c>
      <c r="E268" s="10">
        <v>604</v>
      </c>
      <c r="F268" s="10">
        <v>3</v>
      </c>
      <c r="G268" s="10">
        <v>1</v>
      </c>
      <c r="H268" s="5" t="str">
        <f t="shared" si="12"/>
        <v>det_604</v>
      </c>
      <c r="I268" s="5" t="str">
        <f t="shared" si="13"/>
        <v>I:\Transportation Performance\Data\ADOT FMS\1. Raw Data\2018\data files\test\det_604.txt</v>
      </c>
      <c r="J268" s="5" t="str">
        <f t="shared" si="14"/>
        <v>I:\Transportation Performance\Data\ADOT FMS\1. Raw Data\2018\data files\test\det_604.xlsx</v>
      </c>
      <c r="M268" s="114" t="s">
        <v>76</v>
      </c>
      <c r="N268" s="10">
        <v>604</v>
      </c>
      <c r="O268" s="10">
        <v>3</v>
      </c>
      <c r="P268" s="10">
        <v>1</v>
      </c>
    </row>
    <row r="269" spans="4:16" x14ac:dyDescent="0.25">
      <c r="D269" s="109">
        <v>265</v>
      </c>
      <c r="E269" s="10">
        <v>605</v>
      </c>
      <c r="F269" s="10">
        <v>3</v>
      </c>
      <c r="G269" s="10">
        <v>1</v>
      </c>
      <c r="H269" s="5" t="str">
        <f t="shared" si="12"/>
        <v>det_605</v>
      </c>
      <c r="I269" s="5" t="str">
        <f t="shared" si="13"/>
        <v>I:\Transportation Performance\Data\ADOT FMS\1. Raw Data\2018\data files\test\det_605.txt</v>
      </c>
      <c r="J269" s="5" t="str">
        <f t="shared" si="14"/>
        <v>I:\Transportation Performance\Data\ADOT FMS\1. Raw Data\2018\data files\test\det_605.xlsx</v>
      </c>
      <c r="M269" s="114" t="s">
        <v>76</v>
      </c>
      <c r="N269" s="10">
        <v>605</v>
      </c>
      <c r="O269" s="10">
        <v>3</v>
      </c>
      <c r="P269" s="10">
        <v>1</v>
      </c>
    </row>
    <row r="270" spans="4:16" x14ac:dyDescent="0.25">
      <c r="D270" s="109">
        <v>266</v>
      </c>
      <c r="E270" s="10">
        <v>606</v>
      </c>
      <c r="F270" s="10">
        <v>3</v>
      </c>
      <c r="G270" s="10">
        <v>1</v>
      </c>
      <c r="H270" s="5" t="str">
        <f t="shared" si="12"/>
        <v>det_606</v>
      </c>
      <c r="I270" s="5" t="str">
        <f t="shared" si="13"/>
        <v>I:\Transportation Performance\Data\ADOT FMS\1. Raw Data\2018\data files\test\det_606.txt</v>
      </c>
      <c r="J270" s="5" t="str">
        <f t="shared" si="14"/>
        <v>I:\Transportation Performance\Data\ADOT FMS\1. Raw Data\2018\data files\test\det_606.xlsx</v>
      </c>
      <c r="M270" s="114" t="s">
        <v>76</v>
      </c>
      <c r="N270" s="10">
        <v>606</v>
      </c>
      <c r="O270" s="10">
        <v>3</v>
      </c>
      <c r="P270" s="10">
        <v>1</v>
      </c>
    </row>
    <row r="271" spans="4:16" x14ac:dyDescent="0.25">
      <c r="D271" s="109">
        <v>267</v>
      </c>
      <c r="E271" s="10">
        <v>594</v>
      </c>
      <c r="F271" s="10">
        <v>3</v>
      </c>
      <c r="G271" s="10">
        <v>1</v>
      </c>
      <c r="H271" s="5" t="str">
        <f t="shared" si="12"/>
        <v>det_594</v>
      </c>
      <c r="I271" s="5" t="str">
        <f t="shared" si="13"/>
        <v>I:\Transportation Performance\Data\ADOT FMS\1. Raw Data\2018\data files\test\det_594.txt</v>
      </c>
      <c r="J271" s="5" t="str">
        <f t="shared" si="14"/>
        <v>I:\Transportation Performance\Data\ADOT FMS\1. Raw Data\2018\data files\test\det_594.xlsx</v>
      </c>
      <c r="M271" s="114" t="s">
        <v>76</v>
      </c>
      <c r="N271" s="10">
        <v>594</v>
      </c>
      <c r="O271" s="10">
        <v>3</v>
      </c>
      <c r="P271" s="10">
        <v>1</v>
      </c>
    </row>
    <row r="272" spans="4:16" x14ac:dyDescent="0.25">
      <c r="D272" s="109">
        <v>268</v>
      </c>
      <c r="E272" s="10">
        <v>595</v>
      </c>
      <c r="F272" s="10">
        <v>3</v>
      </c>
      <c r="G272" s="10">
        <v>1</v>
      </c>
      <c r="H272" s="5" t="str">
        <f t="shared" si="12"/>
        <v>det_595</v>
      </c>
      <c r="I272" s="5" t="str">
        <f t="shared" si="13"/>
        <v>I:\Transportation Performance\Data\ADOT FMS\1. Raw Data\2018\data files\test\det_595.txt</v>
      </c>
      <c r="J272" s="5" t="str">
        <f t="shared" si="14"/>
        <v>I:\Transportation Performance\Data\ADOT FMS\1. Raw Data\2018\data files\test\det_595.xlsx</v>
      </c>
      <c r="M272" s="114" t="s">
        <v>76</v>
      </c>
      <c r="N272" s="10">
        <v>595</v>
      </c>
      <c r="O272" s="10">
        <v>3</v>
      </c>
      <c r="P272" s="10">
        <v>1</v>
      </c>
    </row>
    <row r="273" spans="4:16" x14ac:dyDescent="0.25">
      <c r="D273" s="109">
        <v>269</v>
      </c>
      <c r="E273" s="10">
        <v>596</v>
      </c>
      <c r="F273" s="10">
        <v>3</v>
      </c>
      <c r="G273" s="10">
        <v>1</v>
      </c>
      <c r="H273" s="5" t="str">
        <f t="shared" si="12"/>
        <v>det_596</v>
      </c>
      <c r="I273" s="5" t="str">
        <f t="shared" si="13"/>
        <v>I:\Transportation Performance\Data\ADOT FMS\1. Raw Data\2018\data files\test\det_596.txt</v>
      </c>
      <c r="J273" s="5" t="str">
        <f t="shared" si="14"/>
        <v>I:\Transportation Performance\Data\ADOT FMS\1. Raw Data\2018\data files\test\det_596.xlsx</v>
      </c>
      <c r="M273" s="114" t="s">
        <v>76</v>
      </c>
      <c r="N273" s="10">
        <v>596</v>
      </c>
      <c r="O273" s="10">
        <v>3</v>
      </c>
      <c r="P273" s="10">
        <v>1</v>
      </c>
    </row>
    <row r="274" spans="4:16" x14ac:dyDescent="0.25">
      <c r="D274" s="109">
        <v>270</v>
      </c>
      <c r="E274" s="10">
        <v>597</v>
      </c>
      <c r="F274" s="10">
        <v>3</v>
      </c>
      <c r="G274" s="10">
        <v>1</v>
      </c>
      <c r="H274" s="5" t="str">
        <f t="shared" si="12"/>
        <v>det_597</v>
      </c>
      <c r="I274" s="5" t="str">
        <f t="shared" si="13"/>
        <v>I:\Transportation Performance\Data\ADOT FMS\1. Raw Data\2018\data files\test\det_597.txt</v>
      </c>
      <c r="J274" s="5" t="str">
        <f t="shared" si="14"/>
        <v>I:\Transportation Performance\Data\ADOT FMS\1. Raw Data\2018\data files\test\det_597.xlsx</v>
      </c>
      <c r="M274" s="114" t="s">
        <v>76</v>
      </c>
      <c r="N274" s="10">
        <v>597</v>
      </c>
      <c r="O274" s="10">
        <v>3</v>
      </c>
      <c r="P274" s="10">
        <v>1</v>
      </c>
    </row>
    <row r="275" spans="4:16" x14ac:dyDescent="0.25">
      <c r="D275" s="109">
        <v>271</v>
      </c>
      <c r="E275" s="10">
        <v>598</v>
      </c>
      <c r="F275" s="10">
        <v>3</v>
      </c>
      <c r="G275" s="10">
        <v>1</v>
      </c>
      <c r="H275" s="5" t="str">
        <f t="shared" si="12"/>
        <v>det_598</v>
      </c>
      <c r="I275" s="5" t="str">
        <f t="shared" si="13"/>
        <v>I:\Transportation Performance\Data\ADOT FMS\1. Raw Data\2018\data files\test\det_598.txt</v>
      </c>
      <c r="J275" s="5" t="str">
        <f t="shared" si="14"/>
        <v>I:\Transportation Performance\Data\ADOT FMS\1. Raw Data\2018\data files\test\det_598.xlsx</v>
      </c>
      <c r="K275" s="5"/>
      <c r="M275" s="114" t="s">
        <v>76</v>
      </c>
      <c r="N275" s="10">
        <v>598</v>
      </c>
      <c r="O275" s="10">
        <v>3</v>
      </c>
      <c r="P275" s="10">
        <v>1</v>
      </c>
    </row>
    <row r="276" spans="4:16" x14ac:dyDescent="0.25">
      <c r="D276" s="109">
        <v>272</v>
      </c>
      <c r="E276" s="10">
        <v>599</v>
      </c>
      <c r="F276" s="10">
        <v>3</v>
      </c>
      <c r="G276" s="10">
        <v>1</v>
      </c>
      <c r="H276" s="5" t="str">
        <f t="shared" si="12"/>
        <v>det_599</v>
      </c>
      <c r="I276" s="5" t="str">
        <f t="shared" si="13"/>
        <v>I:\Transportation Performance\Data\ADOT FMS\1. Raw Data\2018\data files\test\det_599.txt</v>
      </c>
      <c r="J276" s="5" t="str">
        <f t="shared" si="14"/>
        <v>I:\Transportation Performance\Data\ADOT FMS\1. Raw Data\2018\data files\test\det_599.xlsx</v>
      </c>
      <c r="K276" s="5"/>
      <c r="M276" s="114" t="s">
        <v>76</v>
      </c>
      <c r="N276" s="10">
        <v>599</v>
      </c>
      <c r="O276" s="10">
        <v>3</v>
      </c>
      <c r="P276" s="10">
        <v>1</v>
      </c>
    </row>
    <row r="277" spans="4:16" x14ac:dyDescent="0.25">
      <c r="D277" s="109">
        <v>273</v>
      </c>
      <c r="E277" s="10">
        <v>600</v>
      </c>
      <c r="F277" s="10">
        <v>3</v>
      </c>
      <c r="G277" s="10">
        <v>1</v>
      </c>
      <c r="H277" s="5" t="str">
        <f t="shared" si="12"/>
        <v>det_600</v>
      </c>
      <c r="I277" s="5" t="str">
        <f t="shared" si="13"/>
        <v>I:\Transportation Performance\Data\ADOT FMS\1. Raw Data\2018\data files\test\det_600.txt</v>
      </c>
      <c r="J277" s="5" t="str">
        <f t="shared" si="14"/>
        <v>I:\Transportation Performance\Data\ADOT FMS\1. Raw Data\2018\data files\test\det_600.xlsx</v>
      </c>
      <c r="K277" s="5"/>
      <c r="M277" s="114" t="s">
        <v>76</v>
      </c>
      <c r="N277" s="10">
        <v>600</v>
      </c>
      <c r="O277" s="10">
        <v>3</v>
      </c>
      <c r="P277" s="10">
        <v>1</v>
      </c>
    </row>
    <row r="278" spans="4:16" x14ac:dyDescent="0.25">
      <c r="D278" s="109">
        <v>274</v>
      </c>
      <c r="E278" s="112">
        <v>586</v>
      </c>
      <c r="F278" s="112">
        <v>3</v>
      </c>
      <c r="G278" s="112">
        <v>0</v>
      </c>
      <c r="H278" s="5" t="str">
        <f t="shared" si="12"/>
        <v>det_586</v>
      </c>
      <c r="I278" s="5" t="str">
        <f t="shared" si="13"/>
        <v>I:\Transportation Performance\Data\ADOT FMS\1. Raw Data\2018\data files\test\det_586.txt</v>
      </c>
      <c r="J278" s="5" t="str">
        <f t="shared" si="14"/>
        <v>I:\Transportation Performance\Data\ADOT FMS\1. Raw Data\2018\data files\test\det_586.xlsx</v>
      </c>
      <c r="K278" s="5"/>
      <c r="M278" s="114" t="s">
        <v>77</v>
      </c>
      <c r="N278" s="112">
        <v>586</v>
      </c>
      <c r="O278" s="112">
        <v>3</v>
      </c>
      <c r="P278" s="112">
        <v>0</v>
      </c>
    </row>
    <row r="279" spans="4:16" x14ac:dyDescent="0.25">
      <c r="D279" s="109">
        <v>275</v>
      </c>
      <c r="E279" s="10">
        <v>587</v>
      </c>
      <c r="F279" s="10">
        <v>4</v>
      </c>
      <c r="G279" s="10">
        <v>0</v>
      </c>
      <c r="H279" s="5" t="str">
        <f t="shared" si="12"/>
        <v>det_587</v>
      </c>
      <c r="I279" s="5" t="str">
        <f t="shared" si="13"/>
        <v>I:\Transportation Performance\Data\ADOT FMS\1. Raw Data\2018\data files\test\det_587.txt</v>
      </c>
      <c r="J279" s="5" t="str">
        <f t="shared" si="14"/>
        <v>I:\Transportation Performance\Data\ADOT FMS\1. Raw Data\2018\data files\test\det_587.xlsx</v>
      </c>
      <c r="K279" s="5"/>
      <c r="M279" s="114" t="s">
        <v>77</v>
      </c>
      <c r="N279" s="10">
        <v>587</v>
      </c>
      <c r="O279" s="10">
        <v>4</v>
      </c>
      <c r="P279" s="10">
        <v>0</v>
      </c>
    </row>
    <row r="280" spans="4:16" x14ac:dyDescent="0.25">
      <c r="D280" s="109">
        <v>276</v>
      </c>
      <c r="E280" s="10">
        <v>588</v>
      </c>
      <c r="F280" s="10">
        <v>4</v>
      </c>
      <c r="G280" s="10">
        <v>0</v>
      </c>
      <c r="H280" s="5" t="str">
        <f t="shared" si="12"/>
        <v>det_588</v>
      </c>
      <c r="I280" s="5" t="str">
        <f t="shared" si="13"/>
        <v>I:\Transportation Performance\Data\ADOT FMS\1. Raw Data\2018\data files\test\det_588.txt</v>
      </c>
      <c r="J280" s="5" t="str">
        <f t="shared" si="14"/>
        <v>I:\Transportation Performance\Data\ADOT FMS\1. Raw Data\2018\data files\test\det_588.xlsx</v>
      </c>
      <c r="K280" s="5"/>
      <c r="M280" s="114" t="s">
        <v>77</v>
      </c>
      <c r="N280" s="10">
        <v>588</v>
      </c>
      <c r="O280" s="10">
        <v>4</v>
      </c>
      <c r="P280" s="10">
        <v>0</v>
      </c>
    </row>
    <row r="281" spans="4:16" x14ac:dyDescent="0.25">
      <c r="D281" s="109">
        <v>277</v>
      </c>
      <c r="E281" s="10">
        <v>589</v>
      </c>
      <c r="F281" s="10">
        <v>4</v>
      </c>
      <c r="G281" s="10">
        <v>0</v>
      </c>
      <c r="H281" s="5" t="str">
        <f t="shared" si="12"/>
        <v>det_589</v>
      </c>
      <c r="I281" s="5" t="str">
        <f t="shared" si="13"/>
        <v>I:\Transportation Performance\Data\ADOT FMS\1. Raw Data\2018\data files\test\det_589.txt</v>
      </c>
      <c r="J281" s="5" t="str">
        <f t="shared" si="14"/>
        <v>I:\Transportation Performance\Data\ADOT FMS\1. Raw Data\2018\data files\test\det_589.xlsx</v>
      </c>
      <c r="K281" s="5"/>
      <c r="M281" s="114" t="s">
        <v>77</v>
      </c>
      <c r="N281" s="10">
        <v>589</v>
      </c>
      <c r="O281" s="10">
        <v>4</v>
      </c>
      <c r="P281" s="10">
        <v>0</v>
      </c>
    </row>
    <row r="282" spans="4:16" x14ac:dyDescent="0.25">
      <c r="D282" s="109">
        <v>278</v>
      </c>
      <c r="E282" s="10">
        <v>590</v>
      </c>
      <c r="F282" s="10">
        <v>4</v>
      </c>
      <c r="G282" s="10">
        <v>0</v>
      </c>
      <c r="H282" s="5" t="str">
        <f t="shared" si="12"/>
        <v>det_590</v>
      </c>
      <c r="I282" s="5" t="str">
        <f t="shared" si="13"/>
        <v>I:\Transportation Performance\Data\ADOT FMS\1. Raw Data\2018\data files\test\det_590.txt</v>
      </c>
      <c r="J282" s="5" t="str">
        <f t="shared" si="14"/>
        <v>I:\Transportation Performance\Data\ADOT FMS\1. Raw Data\2018\data files\test\det_590.xlsx</v>
      </c>
      <c r="K282" s="5"/>
      <c r="M282" s="114" t="s">
        <v>77</v>
      </c>
      <c r="N282" s="10">
        <v>590</v>
      </c>
      <c r="O282" s="10">
        <v>4</v>
      </c>
      <c r="P282" s="10">
        <v>0</v>
      </c>
    </row>
    <row r="283" spans="4:16" x14ac:dyDescent="0.25">
      <c r="D283" s="109">
        <v>279</v>
      </c>
      <c r="E283" s="10">
        <v>591</v>
      </c>
      <c r="F283" s="10">
        <v>4</v>
      </c>
      <c r="G283" s="10">
        <v>0</v>
      </c>
      <c r="H283" s="5" t="str">
        <f t="shared" si="12"/>
        <v>det_591</v>
      </c>
      <c r="I283" s="5" t="str">
        <f t="shared" si="13"/>
        <v>I:\Transportation Performance\Data\ADOT FMS\1. Raw Data\2018\data files\test\det_591.txt</v>
      </c>
      <c r="J283" s="5" t="str">
        <f t="shared" si="14"/>
        <v>I:\Transportation Performance\Data\ADOT FMS\1. Raw Data\2018\data files\test\det_591.xlsx</v>
      </c>
      <c r="K283" s="5"/>
      <c r="M283" s="114" t="s">
        <v>77</v>
      </c>
      <c r="N283" s="10">
        <v>591</v>
      </c>
      <c r="O283" s="10">
        <v>4</v>
      </c>
      <c r="P283" s="10">
        <v>0</v>
      </c>
    </row>
    <row r="284" spans="4:16" x14ac:dyDescent="0.25">
      <c r="D284" s="109">
        <v>280</v>
      </c>
      <c r="E284" s="10">
        <v>592</v>
      </c>
      <c r="F284" s="10">
        <v>5</v>
      </c>
      <c r="G284" s="10">
        <v>0</v>
      </c>
      <c r="H284" s="5" t="str">
        <f t="shared" si="12"/>
        <v>det_592</v>
      </c>
      <c r="I284" s="5" t="str">
        <f t="shared" si="13"/>
        <v>I:\Transportation Performance\Data\ADOT FMS\1. Raw Data\2018\data files\test\det_592.txt</v>
      </c>
      <c r="J284" s="5" t="str">
        <f t="shared" si="14"/>
        <v>I:\Transportation Performance\Data\ADOT FMS\1. Raw Data\2018\data files\test\det_592.xlsx</v>
      </c>
      <c r="K284" s="5"/>
      <c r="M284" s="114" t="s">
        <v>77</v>
      </c>
      <c r="N284" s="10">
        <v>592</v>
      </c>
      <c r="O284" s="10">
        <v>5</v>
      </c>
      <c r="P284" s="10">
        <v>0</v>
      </c>
    </row>
    <row r="285" spans="4:16" x14ac:dyDescent="0.25">
      <c r="D285" s="109">
        <v>281</v>
      </c>
      <c r="E285" s="10">
        <v>593</v>
      </c>
      <c r="F285" s="10">
        <v>4</v>
      </c>
      <c r="G285" s="10">
        <v>0</v>
      </c>
      <c r="H285" s="5" t="str">
        <f t="shared" si="12"/>
        <v>det_593</v>
      </c>
      <c r="I285" s="5" t="str">
        <f t="shared" si="13"/>
        <v>I:\Transportation Performance\Data\ADOT FMS\1. Raw Data\2018\data files\test\det_593.txt</v>
      </c>
      <c r="J285" s="5" t="str">
        <f t="shared" si="14"/>
        <v>I:\Transportation Performance\Data\ADOT FMS\1. Raw Data\2018\data files\test\det_593.xlsx</v>
      </c>
      <c r="K285" s="5"/>
      <c r="M285" s="114" t="s">
        <v>77</v>
      </c>
      <c r="N285" s="10">
        <v>593</v>
      </c>
      <c r="O285" s="10">
        <v>4</v>
      </c>
      <c r="P285" s="10">
        <v>0</v>
      </c>
    </row>
    <row r="286" spans="4:16" x14ac:dyDescent="0.25">
      <c r="D286" s="109">
        <v>282</v>
      </c>
      <c r="E286" s="10">
        <v>579</v>
      </c>
      <c r="F286" s="10">
        <v>4</v>
      </c>
      <c r="G286" s="10">
        <v>0</v>
      </c>
      <c r="H286" s="5" t="str">
        <f t="shared" si="12"/>
        <v>det_579</v>
      </c>
      <c r="I286" s="5" t="str">
        <f t="shared" si="13"/>
        <v>I:\Transportation Performance\Data\ADOT FMS\1. Raw Data\2018\data files\test\det_579.txt</v>
      </c>
      <c r="J286" s="5" t="str">
        <f t="shared" si="14"/>
        <v>I:\Transportation Performance\Data\ADOT FMS\1. Raw Data\2018\data files\test\det_579.xlsx</v>
      </c>
      <c r="K286" s="5"/>
      <c r="M286" s="114" t="s">
        <v>77</v>
      </c>
      <c r="N286" s="10">
        <v>579</v>
      </c>
      <c r="O286" s="10">
        <v>4</v>
      </c>
      <c r="P286" s="10">
        <v>0</v>
      </c>
    </row>
    <row r="287" spans="4:16" x14ac:dyDescent="0.25">
      <c r="D287" s="109">
        <v>283</v>
      </c>
      <c r="E287" s="10">
        <v>580</v>
      </c>
      <c r="F287" s="10">
        <v>5</v>
      </c>
      <c r="G287" s="10">
        <v>0</v>
      </c>
      <c r="H287" s="5" t="str">
        <f t="shared" si="12"/>
        <v>det_580</v>
      </c>
      <c r="I287" s="5" t="str">
        <f t="shared" si="13"/>
        <v>I:\Transportation Performance\Data\ADOT FMS\1. Raw Data\2018\data files\test\det_580.txt</v>
      </c>
      <c r="J287" s="5" t="str">
        <f t="shared" si="14"/>
        <v>I:\Transportation Performance\Data\ADOT FMS\1. Raw Data\2018\data files\test\det_580.xlsx</v>
      </c>
      <c r="K287" s="5"/>
      <c r="M287" s="114" t="s">
        <v>77</v>
      </c>
      <c r="N287" s="10">
        <v>580</v>
      </c>
      <c r="O287" s="10">
        <v>5</v>
      </c>
      <c r="P287" s="10">
        <v>0</v>
      </c>
    </row>
    <row r="288" spans="4:16" x14ac:dyDescent="0.25">
      <c r="D288" s="109">
        <v>284</v>
      </c>
      <c r="E288" s="10">
        <v>581</v>
      </c>
      <c r="F288" s="10">
        <v>4</v>
      </c>
      <c r="G288" s="10">
        <v>0</v>
      </c>
      <c r="H288" s="5" t="str">
        <f t="shared" si="12"/>
        <v>det_581</v>
      </c>
      <c r="I288" s="5" t="str">
        <f t="shared" si="13"/>
        <v>I:\Transportation Performance\Data\ADOT FMS\1. Raw Data\2018\data files\test\det_581.txt</v>
      </c>
      <c r="J288" s="5" t="str">
        <f t="shared" si="14"/>
        <v>I:\Transportation Performance\Data\ADOT FMS\1. Raw Data\2018\data files\test\det_581.xlsx</v>
      </c>
      <c r="K288" s="5"/>
      <c r="M288" s="114" t="s">
        <v>77</v>
      </c>
      <c r="N288" s="10">
        <v>581</v>
      </c>
      <c r="O288" s="10">
        <v>4</v>
      </c>
      <c r="P288" s="10">
        <v>0</v>
      </c>
    </row>
    <row r="289" spans="4:16" x14ac:dyDescent="0.25">
      <c r="D289" s="109">
        <v>285</v>
      </c>
      <c r="E289" s="10">
        <v>582</v>
      </c>
      <c r="F289" s="10">
        <v>4</v>
      </c>
      <c r="G289" s="10">
        <v>0</v>
      </c>
      <c r="H289" s="5" t="str">
        <f t="shared" si="12"/>
        <v>det_582</v>
      </c>
      <c r="I289" s="5" t="str">
        <f t="shared" si="13"/>
        <v>I:\Transportation Performance\Data\ADOT FMS\1. Raw Data\2018\data files\test\det_582.txt</v>
      </c>
      <c r="J289" s="5" t="str">
        <f t="shared" si="14"/>
        <v>I:\Transportation Performance\Data\ADOT FMS\1. Raw Data\2018\data files\test\det_582.xlsx</v>
      </c>
      <c r="K289" s="5"/>
      <c r="M289" s="114" t="s">
        <v>77</v>
      </c>
      <c r="N289" s="10">
        <v>582</v>
      </c>
      <c r="O289" s="10">
        <v>4</v>
      </c>
      <c r="P289" s="10">
        <v>0</v>
      </c>
    </row>
    <row r="290" spans="4:16" x14ac:dyDescent="0.25">
      <c r="D290" s="109">
        <v>286</v>
      </c>
      <c r="E290" s="10">
        <v>583</v>
      </c>
      <c r="F290" s="10">
        <v>4</v>
      </c>
      <c r="G290" s="10">
        <v>0</v>
      </c>
      <c r="H290" s="5" t="str">
        <f t="shared" si="12"/>
        <v>det_583</v>
      </c>
      <c r="I290" s="5" t="str">
        <f t="shared" si="13"/>
        <v>I:\Transportation Performance\Data\ADOT FMS\1. Raw Data\2018\data files\test\det_583.txt</v>
      </c>
      <c r="J290" s="5" t="str">
        <f t="shared" si="14"/>
        <v>I:\Transportation Performance\Data\ADOT FMS\1. Raw Data\2018\data files\test\det_583.xlsx</v>
      </c>
      <c r="K290" s="5"/>
      <c r="M290" s="114" t="s">
        <v>77</v>
      </c>
      <c r="N290" s="10">
        <v>583</v>
      </c>
      <c r="O290" s="10">
        <v>4</v>
      </c>
      <c r="P290" s="10">
        <v>0</v>
      </c>
    </row>
    <row r="291" spans="4:16" x14ac:dyDescent="0.25">
      <c r="D291" s="109">
        <v>287</v>
      </c>
      <c r="E291" s="10">
        <v>584</v>
      </c>
      <c r="F291" s="10">
        <v>4</v>
      </c>
      <c r="G291" s="10">
        <v>0</v>
      </c>
      <c r="H291" s="5" t="str">
        <f t="shared" si="12"/>
        <v>det_584</v>
      </c>
      <c r="I291" s="5" t="str">
        <f t="shared" si="13"/>
        <v>I:\Transportation Performance\Data\ADOT FMS\1. Raw Data\2018\data files\test\det_584.txt</v>
      </c>
      <c r="J291" s="5" t="str">
        <f t="shared" si="14"/>
        <v>I:\Transportation Performance\Data\ADOT FMS\1. Raw Data\2018\data files\test\det_584.xlsx</v>
      </c>
      <c r="K291" s="5"/>
      <c r="M291" s="114" t="s">
        <v>77</v>
      </c>
      <c r="N291" s="10">
        <v>584</v>
      </c>
      <c r="O291" s="10">
        <v>4</v>
      </c>
      <c r="P291" s="10">
        <v>0</v>
      </c>
    </row>
    <row r="292" spans="4:16" x14ac:dyDescent="0.25">
      <c r="D292" s="109">
        <v>288</v>
      </c>
      <c r="E292" s="112">
        <v>585</v>
      </c>
      <c r="F292" s="112">
        <v>3</v>
      </c>
      <c r="G292" s="112">
        <v>0</v>
      </c>
      <c r="H292" s="5" t="str">
        <f t="shared" si="12"/>
        <v>det_585</v>
      </c>
      <c r="I292" s="5" t="str">
        <f t="shared" si="13"/>
        <v>I:\Transportation Performance\Data\ADOT FMS\1. Raw Data\2018\data files\test\det_585.txt</v>
      </c>
      <c r="J292" s="5" t="str">
        <f t="shared" si="14"/>
        <v>I:\Transportation Performance\Data\ADOT FMS\1. Raw Data\2018\data files\test\det_585.xlsx</v>
      </c>
      <c r="K292" s="5"/>
      <c r="M292" s="114" t="s">
        <v>77</v>
      </c>
      <c r="N292" s="112">
        <v>585</v>
      </c>
      <c r="O292" s="112">
        <v>3</v>
      </c>
      <c r="P292" s="112">
        <v>0</v>
      </c>
    </row>
    <row r="293" spans="4:16" x14ac:dyDescent="0.25">
      <c r="D293" s="109">
        <v>289</v>
      </c>
      <c r="E293" s="10">
        <v>650</v>
      </c>
      <c r="F293" s="10">
        <v>3</v>
      </c>
      <c r="G293" s="10">
        <v>1</v>
      </c>
      <c r="H293" s="5" t="str">
        <f t="shared" si="12"/>
        <v>det_650</v>
      </c>
      <c r="I293" s="5" t="str">
        <f t="shared" si="13"/>
        <v>I:\Transportation Performance\Data\ADOT FMS\1. Raw Data\2018\data files\test\det_650.txt</v>
      </c>
      <c r="J293" s="5" t="str">
        <f t="shared" si="14"/>
        <v>I:\Transportation Performance\Data\ADOT FMS\1. Raw Data\2018\data files\test\det_650.xlsx</v>
      </c>
      <c r="K293" s="5"/>
      <c r="M293" s="114" t="s">
        <v>78</v>
      </c>
      <c r="N293" s="10">
        <v>650</v>
      </c>
      <c r="O293" s="10">
        <v>3</v>
      </c>
      <c r="P293" s="10">
        <v>1</v>
      </c>
    </row>
    <row r="294" spans="4:16" x14ac:dyDescent="0.25">
      <c r="D294" s="109">
        <v>290</v>
      </c>
      <c r="E294" s="112">
        <v>666</v>
      </c>
      <c r="F294" s="112">
        <v>3</v>
      </c>
      <c r="G294" s="112">
        <v>1</v>
      </c>
      <c r="H294" s="5" t="str">
        <f t="shared" si="12"/>
        <v>det_666</v>
      </c>
      <c r="I294" s="5" t="str">
        <f t="shared" si="13"/>
        <v>I:\Transportation Performance\Data\ADOT FMS\1. Raw Data\2018\data files\test\det_666.txt</v>
      </c>
      <c r="J294" s="5" t="str">
        <f t="shared" si="14"/>
        <v>I:\Transportation Performance\Data\ADOT FMS\1. Raw Data\2018\data files\test\det_666.xlsx</v>
      </c>
      <c r="K294" s="5"/>
      <c r="M294" s="114" t="s">
        <v>78</v>
      </c>
      <c r="N294" s="112">
        <v>666</v>
      </c>
      <c r="O294" s="112">
        <v>3</v>
      </c>
      <c r="P294" s="112">
        <v>1</v>
      </c>
    </row>
    <row r="295" spans="4:16" x14ac:dyDescent="0.25">
      <c r="D295" s="109">
        <v>291</v>
      </c>
      <c r="E295" s="10">
        <v>667</v>
      </c>
      <c r="F295" s="10">
        <v>3</v>
      </c>
      <c r="G295" s="10">
        <v>1</v>
      </c>
      <c r="H295" s="5" t="str">
        <f t="shared" si="12"/>
        <v>det_667</v>
      </c>
      <c r="I295" s="5" t="str">
        <f t="shared" si="13"/>
        <v>I:\Transportation Performance\Data\ADOT FMS\1. Raw Data\2018\data files\test\det_667.txt</v>
      </c>
      <c r="J295" s="5" t="str">
        <f t="shared" si="14"/>
        <v>I:\Transportation Performance\Data\ADOT FMS\1. Raw Data\2018\data files\test\det_667.xlsx</v>
      </c>
      <c r="K295" s="5"/>
      <c r="M295" s="114" t="s">
        <v>78</v>
      </c>
      <c r="N295" s="10">
        <v>667</v>
      </c>
      <c r="O295" s="10">
        <v>3</v>
      </c>
      <c r="P295" s="10">
        <v>1</v>
      </c>
    </row>
    <row r="296" spans="4:16" x14ac:dyDescent="0.25">
      <c r="D296" s="109">
        <v>292</v>
      </c>
      <c r="E296" s="10">
        <v>668</v>
      </c>
      <c r="F296" s="10">
        <v>3</v>
      </c>
      <c r="G296" s="10">
        <v>1</v>
      </c>
      <c r="H296" s="5" t="str">
        <f t="shared" si="12"/>
        <v>det_668</v>
      </c>
      <c r="I296" s="5" t="str">
        <f t="shared" si="13"/>
        <v>I:\Transportation Performance\Data\ADOT FMS\1. Raw Data\2018\data files\test\det_668.txt</v>
      </c>
      <c r="J296" s="5" t="str">
        <f t="shared" si="14"/>
        <v>I:\Transportation Performance\Data\ADOT FMS\1. Raw Data\2018\data files\test\det_668.xlsx</v>
      </c>
      <c r="K296" s="5"/>
      <c r="M296" s="114" t="s">
        <v>78</v>
      </c>
      <c r="N296" s="10">
        <v>668</v>
      </c>
      <c r="O296" s="10">
        <v>3</v>
      </c>
      <c r="P296" s="10">
        <v>1</v>
      </c>
    </row>
    <row r="297" spans="4:16" x14ac:dyDescent="0.25">
      <c r="D297" s="109">
        <v>293</v>
      </c>
      <c r="E297" s="10">
        <v>669</v>
      </c>
      <c r="F297" s="10">
        <v>3</v>
      </c>
      <c r="G297" s="10">
        <v>1</v>
      </c>
      <c r="H297" s="5" t="str">
        <f t="shared" si="12"/>
        <v>det_669</v>
      </c>
      <c r="I297" s="5" t="str">
        <f t="shared" si="13"/>
        <v>I:\Transportation Performance\Data\ADOT FMS\1. Raw Data\2018\data files\test\det_669.txt</v>
      </c>
      <c r="J297" s="5" t="str">
        <f t="shared" si="14"/>
        <v>I:\Transportation Performance\Data\ADOT FMS\1. Raw Data\2018\data files\test\det_669.xlsx</v>
      </c>
      <c r="K297" s="5"/>
      <c r="M297" s="114" t="s">
        <v>78</v>
      </c>
      <c r="N297" s="10">
        <v>669</v>
      </c>
      <c r="O297" s="10">
        <v>3</v>
      </c>
      <c r="P297" s="10">
        <v>1</v>
      </c>
    </row>
    <row r="298" spans="4:16" x14ac:dyDescent="0.25">
      <c r="D298" s="109">
        <v>294</v>
      </c>
      <c r="E298" s="112">
        <v>670</v>
      </c>
      <c r="F298" s="112">
        <v>4</v>
      </c>
      <c r="G298" s="112">
        <v>1</v>
      </c>
      <c r="H298" s="5" t="str">
        <f t="shared" si="12"/>
        <v>det_670</v>
      </c>
      <c r="I298" s="5" t="str">
        <f t="shared" si="13"/>
        <v>I:\Transportation Performance\Data\ADOT FMS\1. Raw Data\2018\data files\test\det_670.txt</v>
      </c>
      <c r="J298" s="5" t="str">
        <f t="shared" si="14"/>
        <v>I:\Transportation Performance\Data\ADOT FMS\1. Raw Data\2018\data files\test\det_670.xlsx</v>
      </c>
      <c r="K298" s="5"/>
      <c r="M298" s="114" t="s">
        <v>78</v>
      </c>
      <c r="N298" s="112">
        <v>670</v>
      </c>
      <c r="O298" s="112">
        <v>4</v>
      </c>
      <c r="P298" s="112">
        <v>1</v>
      </c>
    </row>
    <row r="299" spans="4:16" x14ac:dyDescent="0.25">
      <c r="D299" s="109">
        <v>295</v>
      </c>
      <c r="E299" s="112">
        <v>671</v>
      </c>
      <c r="F299" s="112">
        <v>4</v>
      </c>
      <c r="G299" s="112">
        <v>1</v>
      </c>
      <c r="H299" s="5" t="str">
        <f t="shared" si="12"/>
        <v>det_671</v>
      </c>
      <c r="I299" s="5" t="str">
        <f t="shared" si="13"/>
        <v>I:\Transportation Performance\Data\ADOT FMS\1. Raw Data\2018\data files\test\det_671.txt</v>
      </c>
      <c r="J299" s="5" t="str">
        <f t="shared" si="14"/>
        <v>I:\Transportation Performance\Data\ADOT FMS\1. Raw Data\2018\data files\test\det_671.xlsx</v>
      </c>
      <c r="K299" s="5"/>
      <c r="M299" s="114" t="s">
        <v>78</v>
      </c>
      <c r="N299" s="112">
        <v>671</v>
      </c>
      <c r="O299" s="112">
        <v>4</v>
      </c>
      <c r="P299" s="112">
        <v>1</v>
      </c>
    </row>
    <row r="300" spans="4:16" x14ac:dyDescent="0.25">
      <c r="D300" s="109">
        <v>296</v>
      </c>
      <c r="E300" s="10">
        <v>672</v>
      </c>
      <c r="F300" s="10">
        <v>3</v>
      </c>
      <c r="G300" s="10">
        <v>1</v>
      </c>
      <c r="H300" s="5" t="str">
        <f t="shared" si="12"/>
        <v>det_672</v>
      </c>
      <c r="I300" s="5" t="str">
        <f t="shared" si="13"/>
        <v>I:\Transportation Performance\Data\ADOT FMS\1. Raw Data\2018\data files\test\det_672.txt</v>
      </c>
      <c r="J300" s="5" t="str">
        <f t="shared" si="14"/>
        <v>I:\Transportation Performance\Data\ADOT FMS\1. Raw Data\2018\data files\test\det_672.xlsx</v>
      </c>
      <c r="K300" s="5"/>
      <c r="M300" s="114" t="s">
        <v>78</v>
      </c>
      <c r="N300" s="10">
        <v>672</v>
      </c>
      <c r="O300" s="10">
        <v>3</v>
      </c>
      <c r="P300" s="10">
        <v>1</v>
      </c>
    </row>
    <row r="301" spans="4:16" x14ac:dyDescent="0.25">
      <c r="D301" s="109">
        <v>297</v>
      </c>
      <c r="E301" s="112">
        <v>673</v>
      </c>
      <c r="F301" s="112">
        <v>3</v>
      </c>
      <c r="G301" s="112">
        <v>0</v>
      </c>
      <c r="H301" s="5" t="str">
        <f t="shared" si="12"/>
        <v>det_673</v>
      </c>
      <c r="I301" s="5" t="str">
        <f t="shared" si="13"/>
        <v>I:\Transportation Performance\Data\ADOT FMS\1. Raw Data\2018\data files\test\det_673.txt</v>
      </c>
      <c r="J301" s="5" t="str">
        <f t="shared" si="14"/>
        <v>I:\Transportation Performance\Data\ADOT FMS\1. Raw Data\2018\data files\test\det_673.xlsx</v>
      </c>
      <c r="K301" s="5"/>
      <c r="M301" s="114" t="s">
        <v>78</v>
      </c>
      <c r="N301" s="112">
        <v>673</v>
      </c>
      <c r="O301" s="112">
        <v>3</v>
      </c>
      <c r="P301" s="112">
        <v>0</v>
      </c>
    </row>
    <row r="302" spans="4:16" x14ac:dyDescent="0.25">
      <c r="D302" s="109">
        <v>298</v>
      </c>
      <c r="E302" s="10">
        <v>674</v>
      </c>
      <c r="F302" s="10">
        <v>3</v>
      </c>
      <c r="G302" s="10">
        <v>1</v>
      </c>
      <c r="H302" s="5" t="str">
        <f t="shared" si="12"/>
        <v>det_674</v>
      </c>
      <c r="I302" s="5" t="str">
        <f t="shared" si="13"/>
        <v>I:\Transportation Performance\Data\ADOT FMS\1. Raw Data\2018\data files\test\det_674.txt</v>
      </c>
      <c r="J302" s="5" t="str">
        <f t="shared" si="14"/>
        <v>I:\Transportation Performance\Data\ADOT FMS\1. Raw Data\2018\data files\test\det_674.xlsx</v>
      </c>
      <c r="K302" s="5"/>
      <c r="M302" s="114" t="s">
        <v>78</v>
      </c>
      <c r="N302" s="10">
        <v>674</v>
      </c>
      <c r="O302" s="10">
        <v>3</v>
      </c>
      <c r="P302" s="10">
        <v>1</v>
      </c>
    </row>
    <row r="303" spans="4:16" x14ac:dyDescent="0.25">
      <c r="D303" s="109">
        <v>299</v>
      </c>
      <c r="E303" s="10">
        <v>675</v>
      </c>
      <c r="F303" s="10">
        <v>3</v>
      </c>
      <c r="G303" s="10">
        <v>1</v>
      </c>
      <c r="H303" s="5" t="str">
        <f t="shared" si="12"/>
        <v>det_675</v>
      </c>
      <c r="I303" s="5" t="str">
        <f t="shared" si="13"/>
        <v>I:\Transportation Performance\Data\ADOT FMS\1. Raw Data\2018\data files\test\det_675.txt</v>
      </c>
      <c r="J303" s="5" t="str">
        <f t="shared" si="14"/>
        <v>I:\Transportation Performance\Data\ADOT FMS\1. Raw Data\2018\data files\test\det_675.xlsx</v>
      </c>
      <c r="K303" s="5"/>
      <c r="M303" s="114" t="s">
        <v>78</v>
      </c>
      <c r="N303" s="10">
        <v>675</v>
      </c>
      <c r="O303" s="10">
        <v>3</v>
      </c>
      <c r="P303" s="10">
        <v>1</v>
      </c>
    </row>
    <row r="304" spans="4:16" x14ac:dyDescent="0.25">
      <c r="D304" s="109">
        <v>300</v>
      </c>
      <c r="E304" s="10">
        <v>676</v>
      </c>
      <c r="F304" s="10">
        <v>3</v>
      </c>
      <c r="G304" s="10">
        <v>1</v>
      </c>
      <c r="H304" s="5" t="str">
        <f t="shared" si="12"/>
        <v>det_676</v>
      </c>
      <c r="I304" s="5" t="str">
        <f t="shared" si="13"/>
        <v>I:\Transportation Performance\Data\ADOT FMS\1. Raw Data\2018\data files\test\det_676.txt</v>
      </c>
      <c r="J304" s="5" t="str">
        <f t="shared" si="14"/>
        <v>I:\Transportation Performance\Data\ADOT FMS\1. Raw Data\2018\data files\test\det_676.xlsx</v>
      </c>
      <c r="K304" s="5"/>
      <c r="M304" s="114" t="s">
        <v>78</v>
      </c>
      <c r="N304" s="10">
        <v>676</v>
      </c>
      <c r="O304" s="10">
        <v>3</v>
      </c>
      <c r="P304" s="10">
        <v>1</v>
      </c>
    </row>
    <row r="305" spans="4:16" x14ac:dyDescent="0.25">
      <c r="D305" s="109">
        <v>301</v>
      </c>
      <c r="E305" s="112">
        <v>677</v>
      </c>
      <c r="F305" s="112">
        <v>4</v>
      </c>
      <c r="G305" s="112">
        <v>1</v>
      </c>
      <c r="H305" s="5" t="str">
        <f t="shared" si="12"/>
        <v>det_677</v>
      </c>
      <c r="I305" s="5" t="str">
        <f t="shared" si="13"/>
        <v>I:\Transportation Performance\Data\ADOT FMS\1. Raw Data\2018\data files\test\det_677.txt</v>
      </c>
      <c r="J305" s="5" t="str">
        <f t="shared" si="14"/>
        <v>I:\Transportation Performance\Data\ADOT FMS\1. Raw Data\2018\data files\test\det_677.xlsx</v>
      </c>
      <c r="K305" s="5"/>
      <c r="M305" s="114" t="s">
        <v>78</v>
      </c>
      <c r="N305" s="112">
        <v>677</v>
      </c>
      <c r="O305" s="112">
        <v>4</v>
      </c>
      <c r="P305" s="112">
        <v>1</v>
      </c>
    </row>
    <row r="306" spans="4:16" x14ac:dyDescent="0.25">
      <c r="D306" s="109">
        <v>302</v>
      </c>
      <c r="E306" s="10">
        <v>678</v>
      </c>
      <c r="F306" s="10">
        <v>3</v>
      </c>
      <c r="G306" s="10">
        <v>1</v>
      </c>
      <c r="H306" s="5" t="str">
        <f t="shared" si="12"/>
        <v>det_678</v>
      </c>
      <c r="I306" s="5" t="str">
        <f t="shared" si="13"/>
        <v>I:\Transportation Performance\Data\ADOT FMS\1. Raw Data\2018\data files\test\det_678.txt</v>
      </c>
      <c r="J306" s="5" t="str">
        <f t="shared" si="14"/>
        <v>I:\Transportation Performance\Data\ADOT FMS\1. Raw Data\2018\data files\test\det_678.xlsx</v>
      </c>
      <c r="M306" s="114" t="s">
        <v>78</v>
      </c>
      <c r="N306" s="10">
        <v>678</v>
      </c>
      <c r="O306" s="10">
        <v>3</v>
      </c>
      <c r="P306" s="10">
        <v>1</v>
      </c>
    </row>
    <row r="307" spans="4:16" x14ac:dyDescent="0.25">
      <c r="D307" s="109">
        <v>303</v>
      </c>
      <c r="E307" s="10">
        <v>679</v>
      </c>
      <c r="F307" s="10">
        <v>3</v>
      </c>
      <c r="G307" s="10">
        <v>1</v>
      </c>
      <c r="H307" s="5" t="str">
        <f t="shared" si="12"/>
        <v>det_679</v>
      </c>
      <c r="I307" s="5" t="str">
        <f t="shared" si="13"/>
        <v>I:\Transportation Performance\Data\ADOT FMS\1. Raw Data\2018\data files\test\det_679.txt</v>
      </c>
      <c r="J307" s="5" t="str">
        <f t="shared" si="14"/>
        <v>I:\Transportation Performance\Data\ADOT FMS\1. Raw Data\2018\data files\test\det_679.xlsx</v>
      </c>
      <c r="M307" s="114" t="s">
        <v>78</v>
      </c>
      <c r="N307" s="10">
        <v>679</v>
      </c>
      <c r="O307" s="10">
        <v>3</v>
      </c>
      <c r="P307" s="10">
        <v>1</v>
      </c>
    </row>
    <row r="308" spans="4:16" x14ac:dyDescent="0.25">
      <c r="D308" s="109">
        <v>304</v>
      </c>
      <c r="E308" s="112">
        <v>680</v>
      </c>
      <c r="F308" s="112">
        <v>3</v>
      </c>
      <c r="G308" s="112">
        <v>0</v>
      </c>
      <c r="H308" s="5" t="str">
        <f t="shared" si="12"/>
        <v>det_680</v>
      </c>
      <c r="I308" s="5" t="str">
        <f t="shared" si="13"/>
        <v>I:\Transportation Performance\Data\ADOT FMS\1. Raw Data\2018\data files\test\det_680.txt</v>
      </c>
      <c r="J308" s="5" t="str">
        <f t="shared" si="14"/>
        <v>I:\Transportation Performance\Data\ADOT FMS\1. Raw Data\2018\data files\test\det_680.xlsx</v>
      </c>
      <c r="M308" s="114" t="s">
        <v>78</v>
      </c>
      <c r="N308" s="112">
        <v>680</v>
      </c>
      <c r="O308" s="112">
        <v>3</v>
      </c>
      <c r="P308" s="112">
        <v>0</v>
      </c>
    </row>
    <row r="309" spans="4:16" x14ac:dyDescent="0.25">
      <c r="D309" s="109">
        <v>305</v>
      </c>
      <c r="E309" s="10">
        <v>643</v>
      </c>
      <c r="F309" s="10">
        <v>2</v>
      </c>
      <c r="G309" s="10">
        <v>1</v>
      </c>
      <c r="H309" s="5" t="str">
        <f t="shared" si="12"/>
        <v>det_643</v>
      </c>
      <c r="I309" s="5" t="str">
        <f t="shared" si="13"/>
        <v>I:\Transportation Performance\Data\ADOT FMS\1. Raw Data\2018\data files\test\det_643.txt</v>
      </c>
      <c r="J309" s="5" t="str">
        <f t="shared" si="14"/>
        <v>I:\Transportation Performance\Data\ADOT FMS\1. Raw Data\2018\data files\test\det_643.xlsx</v>
      </c>
      <c r="M309" s="114" t="s">
        <v>282</v>
      </c>
      <c r="N309" s="10">
        <v>643</v>
      </c>
      <c r="O309" s="10">
        <v>2</v>
      </c>
      <c r="P309" s="10">
        <v>1</v>
      </c>
    </row>
    <row r="310" spans="4:16" x14ac:dyDescent="0.25">
      <c r="D310" s="109">
        <v>306</v>
      </c>
      <c r="E310" s="10">
        <v>644</v>
      </c>
      <c r="F310" s="10">
        <v>2</v>
      </c>
      <c r="G310" s="10">
        <v>1</v>
      </c>
      <c r="H310" s="5" t="str">
        <f t="shared" si="12"/>
        <v>det_644</v>
      </c>
      <c r="I310" s="5" t="str">
        <f t="shared" si="13"/>
        <v>I:\Transportation Performance\Data\ADOT FMS\1. Raw Data\2018\data files\test\det_644.txt</v>
      </c>
      <c r="J310" s="5" t="str">
        <f t="shared" si="14"/>
        <v>I:\Transportation Performance\Data\ADOT FMS\1. Raw Data\2018\data files\test\det_644.xlsx</v>
      </c>
      <c r="M310" s="114" t="s">
        <v>282</v>
      </c>
      <c r="N310" s="10">
        <v>644</v>
      </c>
      <c r="O310" s="10">
        <v>2</v>
      </c>
      <c r="P310" s="10">
        <v>1</v>
      </c>
    </row>
    <row r="311" spans="4:16" x14ac:dyDescent="0.25">
      <c r="D311" s="109">
        <v>307</v>
      </c>
      <c r="E311" s="10">
        <v>645</v>
      </c>
      <c r="F311" s="10">
        <v>2</v>
      </c>
      <c r="G311" s="10">
        <v>1</v>
      </c>
      <c r="H311" s="5" t="str">
        <f t="shared" si="12"/>
        <v>det_645</v>
      </c>
      <c r="I311" s="5" t="str">
        <f t="shared" si="13"/>
        <v>I:\Transportation Performance\Data\ADOT FMS\1. Raw Data\2018\data files\test\det_645.txt</v>
      </c>
      <c r="J311" s="5" t="str">
        <f t="shared" si="14"/>
        <v>I:\Transportation Performance\Data\ADOT FMS\1. Raw Data\2018\data files\test\det_645.xlsx</v>
      </c>
      <c r="M311" s="114" t="s">
        <v>282</v>
      </c>
      <c r="N311" s="10">
        <v>645</v>
      </c>
      <c r="O311" s="10">
        <v>2</v>
      </c>
      <c r="P311" s="10">
        <v>1</v>
      </c>
    </row>
    <row r="312" spans="4:16" x14ac:dyDescent="0.25">
      <c r="D312" s="109">
        <v>308</v>
      </c>
      <c r="E312" s="10">
        <v>646</v>
      </c>
      <c r="F312" s="10">
        <v>2</v>
      </c>
      <c r="G312" s="10">
        <v>1</v>
      </c>
      <c r="H312" s="5" t="str">
        <f t="shared" si="12"/>
        <v>det_646</v>
      </c>
      <c r="I312" s="5" t="str">
        <f t="shared" si="13"/>
        <v>I:\Transportation Performance\Data\ADOT FMS\1. Raw Data\2018\data files\test\det_646.txt</v>
      </c>
      <c r="J312" s="5" t="str">
        <f t="shared" si="14"/>
        <v>I:\Transportation Performance\Data\ADOT FMS\1. Raw Data\2018\data files\test\det_646.xlsx</v>
      </c>
      <c r="M312" s="114" t="s">
        <v>282</v>
      </c>
      <c r="N312" s="10">
        <v>646</v>
      </c>
      <c r="O312" s="10">
        <v>2</v>
      </c>
      <c r="P312" s="10">
        <v>1</v>
      </c>
    </row>
    <row r="313" spans="4:16" x14ac:dyDescent="0.25">
      <c r="D313" s="109">
        <v>309</v>
      </c>
      <c r="E313" s="10">
        <v>647</v>
      </c>
      <c r="F313" s="10">
        <v>2</v>
      </c>
      <c r="G313" s="10">
        <v>1</v>
      </c>
      <c r="H313" s="5" t="str">
        <f t="shared" si="12"/>
        <v>det_647</v>
      </c>
      <c r="I313" s="5" t="str">
        <f t="shared" si="13"/>
        <v>I:\Transportation Performance\Data\ADOT FMS\1. Raw Data\2018\data files\test\det_647.txt</v>
      </c>
      <c r="J313" s="5" t="str">
        <f t="shared" si="14"/>
        <v>I:\Transportation Performance\Data\ADOT FMS\1. Raw Data\2018\data files\test\det_647.xlsx</v>
      </c>
      <c r="M313" s="114" t="s">
        <v>282</v>
      </c>
      <c r="N313" s="10">
        <v>647</v>
      </c>
      <c r="O313" s="10">
        <v>2</v>
      </c>
      <c r="P313" s="10">
        <v>1</v>
      </c>
    </row>
    <row r="314" spans="4:16" x14ac:dyDescent="0.25">
      <c r="D314" s="109">
        <v>310</v>
      </c>
      <c r="E314" s="10">
        <v>648</v>
      </c>
      <c r="F314" s="10">
        <v>2</v>
      </c>
      <c r="G314" s="10">
        <v>1</v>
      </c>
      <c r="H314" s="5" t="str">
        <f t="shared" si="12"/>
        <v>det_648</v>
      </c>
      <c r="I314" s="5" t="str">
        <f t="shared" si="13"/>
        <v>I:\Transportation Performance\Data\ADOT FMS\1. Raw Data\2018\data files\test\det_648.txt</v>
      </c>
      <c r="J314" s="5" t="str">
        <f t="shared" si="14"/>
        <v>I:\Transportation Performance\Data\ADOT FMS\1. Raw Data\2018\data files\test\det_648.xlsx</v>
      </c>
      <c r="M314" s="114" t="s">
        <v>282</v>
      </c>
      <c r="N314" s="10">
        <v>648</v>
      </c>
      <c r="O314" s="10">
        <v>2</v>
      </c>
      <c r="P314" s="10">
        <v>1</v>
      </c>
    </row>
    <row r="315" spans="4:16" x14ac:dyDescent="0.25">
      <c r="D315" s="109">
        <v>311</v>
      </c>
      <c r="E315" s="10">
        <v>649</v>
      </c>
      <c r="F315" s="10">
        <v>2</v>
      </c>
      <c r="G315" s="10">
        <v>1</v>
      </c>
      <c r="H315" s="5" t="str">
        <f t="shared" si="12"/>
        <v>det_649</v>
      </c>
      <c r="I315" s="5" t="str">
        <f t="shared" si="13"/>
        <v>I:\Transportation Performance\Data\ADOT FMS\1. Raw Data\2018\data files\test\det_649.txt</v>
      </c>
      <c r="J315" s="5" t="str">
        <f t="shared" si="14"/>
        <v>I:\Transportation Performance\Data\ADOT FMS\1. Raw Data\2018\data files\test\det_649.xlsx</v>
      </c>
      <c r="M315" s="114" t="s">
        <v>282</v>
      </c>
      <c r="N315" s="10">
        <v>649</v>
      </c>
      <c r="O315" s="10">
        <v>2</v>
      </c>
      <c r="P315" s="10">
        <v>1</v>
      </c>
    </row>
    <row r="316" spans="4:16" x14ac:dyDescent="0.25">
      <c r="D316" s="109">
        <v>312</v>
      </c>
      <c r="E316" s="10">
        <v>659</v>
      </c>
      <c r="F316" s="10">
        <v>2</v>
      </c>
      <c r="G316" s="10">
        <v>1</v>
      </c>
      <c r="H316" s="5" t="str">
        <f t="shared" si="12"/>
        <v>det_659</v>
      </c>
      <c r="I316" s="5" t="str">
        <f t="shared" si="13"/>
        <v>I:\Transportation Performance\Data\ADOT FMS\1. Raw Data\2018\data files\test\det_659.txt</v>
      </c>
      <c r="J316" s="5" t="str">
        <f t="shared" si="14"/>
        <v>I:\Transportation Performance\Data\ADOT FMS\1. Raw Data\2018\data files\test\det_659.xlsx</v>
      </c>
      <c r="M316" s="114" t="s">
        <v>282</v>
      </c>
      <c r="N316" s="10">
        <v>659</v>
      </c>
      <c r="O316" s="10">
        <v>2</v>
      </c>
      <c r="P316" s="10">
        <v>1</v>
      </c>
    </row>
    <row r="317" spans="4:16" x14ac:dyDescent="0.25">
      <c r="D317" s="109">
        <v>313</v>
      </c>
      <c r="E317" s="10">
        <v>660</v>
      </c>
      <c r="F317" s="10">
        <v>2</v>
      </c>
      <c r="G317" s="10">
        <v>1</v>
      </c>
      <c r="H317" s="5" t="str">
        <f t="shared" si="12"/>
        <v>det_660</v>
      </c>
      <c r="I317" s="5" t="str">
        <f t="shared" si="13"/>
        <v>I:\Transportation Performance\Data\ADOT FMS\1. Raw Data\2018\data files\test\det_660.txt</v>
      </c>
      <c r="J317" s="5" t="str">
        <f t="shared" si="14"/>
        <v>I:\Transportation Performance\Data\ADOT FMS\1. Raw Data\2018\data files\test\det_660.xlsx</v>
      </c>
      <c r="M317" s="114" t="s">
        <v>282</v>
      </c>
      <c r="N317" s="10">
        <v>660</v>
      </c>
      <c r="O317" s="10">
        <v>2</v>
      </c>
      <c r="P317" s="10">
        <v>1</v>
      </c>
    </row>
    <row r="318" spans="4:16" x14ac:dyDescent="0.25">
      <c r="D318" s="109">
        <v>314</v>
      </c>
      <c r="E318" s="10">
        <v>661</v>
      </c>
      <c r="F318" s="10">
        <v>2</v>
      </c>
      <c r="G318" s="10">
        <v>1</v>
      </c>
      <c r="H318" s="5" t="str">
        <f t="shared" si="12"/>
        <v>det_661</v>
      </c>
      <c r="I318" s="5" t="str">
        <f t="shared" si="13"/>
        <v>I:\Transportation Performance\Data\ADOT FMS\1. Raw Data\2018\data files\test\det_661.txt</v>
      </c>
      <c r="J318" s="5" t="str">
        <f t="shared" si="14"/>
        <v>I:\Transportation Performance\Data\ADOT FMS\1. Raw Data\2018\data files\test\det_661.xlsx</v>
      </c>
      <c r="M318" s="114" t="s">
        <v>282</v>
      </c>
      <c r="N318" s="10">
        <v>661</v>
      </c>
      <c r="O318" s="10">
        <v>2</v>
      </c>
      <c r="P318" s="10">
        <v>1</v>
      </c>
    </row>
    <row r="319" spans="4:16" x14ac:dyDescent="0.25">
      <c r="D319" s="109">
        <v>315</v>
      </c>
      <c r="E319" s="10">
        <v>662</v>
      </c>
      <c r="F319" s="10">
        <v>2</v>
      </c>
      <c r="G319" s="10">
        <v>1</v>
      </c>
      <c r="H319" s="5" t="str">
        <f t="shared" si="12"/>
        <v>det_662</v>
      </c>
      <c r="I319" s="5" t="str">
        <f t="shared" si="13"/>
        <v>I:\Transportation Performance\Data\ADOT FMS\1. Raw Data\2018\data files\test\det_662.txt</v>
      </c>
      <c r="J319" s="5" t="str">
        <f t="shared" si="14"/>
        <v>I:\Transportation Performance\Data\ADOT FMS\1. Raw Data\2018\data files\test\det_662.xlsx</v>
      </c>
      <c r="M319" s="114" t="s">
        <v>282</v>
      </c>
      <c r="N319" s="10">
        <v>662</v>
      </c>
      <c r="O319" s="10">
        <v>2</v>
      </c>
      <c r="P319" s="10">
        <v>1</v>
      </c>
    </row>
    <row r="320" spans="4:16" x14ac:dyDescent="0.25">
      <c r="D320" s="109">
        <v>316</v>
      </c>
      <c r="E320" s="10">
        <v>663</v>
      </c>
      <c r="F320" s="10">
        <v>2</v>
      </c>
      <c r="G320" s="10">
        <v>1</v>
      </c>
      <c r="H320" s="5" t="str">
        <f t="shared" si="12"/>
        <v>det_663</v>
      </c>
      <c r="I320" s="5" t="str">
        <f t="shared" si="13"/>
        <v>I:\Transportation Performance\Data\ADOT FMS\1. Raw Data\2018\data files\test\det_663.txt</v>
      </c>
      <c r="J320" s="5" t="str">
        <f t="shared" si="14"/>
        <v>I:\Transportation Performance\Data\ADOT FMS\1. Raw Data\2018\data files\test\det_663.xlsx</v>
      </c>
      <c r="M320" s="114" t="s">
        <v>282</v>
      </c>
      <c r="N320" s="10">
        <v>663</v>
      </c>
      <c r="O320" s="10">
        <v>2</v>
      </c>
      <c r="P320" s="10">
        <v>1</v>
      </c>
    </row>
    <row r="321" spans="4:16" x14ac:dyDescent="0.25">
      <c r="D321" s="109">
        <v>317</v>
      </c>
      <c r="E321" s="10">
        <v>664</v>
      </c>
      <c r="F321" s="10">
        <v>2</v>
      </c>
      <c r="G321" s="10">
        <v>1</v>
      </c>
      <c r="H321" s="5" t="str">
        <f t="shared" si="12"/>
        <v>det_664</v>
      </c>
      <c r="I321" s="5" t="str">
        <f t="shared" si="13"/>
        <v>I:\Transportation Performance\Data\ADOT FMS\1. Raw Data\2018\data files\test\det_664.txt</v>
      </c>
      <c r="J321" s="5" t="str">
        <f t="shared" si="14"/>
        <v>I:\Transportation Performance\Data\ADOT FMS\1. Raw Data\2018\data files\test\det_664.xlsx</v>
      </c>
      <c r="M321" s="114" t="s">
        <v>282</v>
      </c>
      <c r="N321" s="10">
        <v>664</v>
      </c>
      <c r="O321" s="10">
        <v>2</v>
      </c>
      <c r="P321" s="10">
        <v>1</v>
      </c>
    </row>
    <row r="322" spans="4:16" x14ac:dyDescent="0.25">
      <c r="D322" s="109">
        <v>318</v>
      </c>
      <c r="E322" s="10">
        <v>665</v>
      </c>
      <c r="F322" s="10">
        <v>2</v>
      </c>
      <c r="G322" s="10">
        <v>1</v>
      </c>
      <c r="H322" s="5" t="str">
        <f t="shared" si="12"/>
        <v>det_665</v>
      </c>
      <c r="I322" s="5" t="str">
        <f t="shared" si="13"/>
        <v>I:\Transportation Performance\Data\ADOT FMS\1. Raw Data\2018\data files\test\det_665.txt</v>
      </c>
      <c r="J322" s="5" t="str">
        <f t="shared" si="14"/>
        <v>I:\Transportation Performance\Data\ADOT FMS\1. Raw Data\2018\data files\test\det_665.xlsx</v>
      </c>
      <c r="M322" s="114" t="s">
        <v>282</v>
      </c>
      <c r="N322" s="10">
        <v>665</v>
      </c>
      <c r="O322" s="10">
        <v>2</v>
      </c>
      <c r="P322" s="10">
        <v>1</v>
      </c>
    </row>
    <row r="323" spans="4:16" x14ac:dyDescent="0.25">
      <c r="D323" s="109">
        <v>319</v>
      </c>
      <c r="E323" s="10">
        <v>635</v>
      </c>
      <c r="F323" s="10">
        <v>2</v>
      </c>
      <c r="G323" s="10">
        <v>0</v>
      </c>
      <c r="H323" s="5" t="str">
        <f t="shared" si="12"/>
        <v>det_635</v>
      </c>
      <c r="I323" s="5" t="str">
        <f t="shared" si="13"/>
        <v>I:\Transportation Performance\Data\ADOT FMS\1. Raw Data\2018\data files\test\det_635.txt</v>
      </c>
      <c r="J323" s="5" t="str">
        <f t="shared" si="14"/>
        <v>I:\Transportation Performance\Data\ADOT FMS\1. Raw Data\2018\data files\test\det_635.xlsx</v>
      </c>
      <c r="M323" s="114" t="s">
        <v>283</v>
      </c>
      <c r="N323" s="10">
        <v>635</v>
      </c>
      <c r="O323" s="10">
        <v>2</v>
      </c>
      <c r="P323" s="10">
        <v>0</v>
      </c>
    </row>
    <row r="324" spans="4:16" x14ac:dyDescent="0.25">
      <c r="D324" s="109">
        <v>320</v>
      </c>
      <c r="E324" s="10">
        <v>636</v>
      </c>
      <c r="F324" s="10">
        <v>2</v>
      </c>
      <c r="G324" s="10">
        <v>1</v>
      </c>
      <c r="H324" s="5" t="str">
        <f t="shared" si="12"/>
        <v>det_636</v>
      </c>
      <c r="I324" s="5" t="str">
        <f t="shared" si="13"/>
        <v>I:\Transportation Performance\Data\ADOT FMS\1. Raw Data\2018\data files\test\det_636.txt</v>
      </c>
      <c r="J324" s="5" t="str">
        <f t="shared" si="14"/>
        <v>I:\Transportation Performance\Data\ADOT FMS\1. Raw Data\2018\data files\test\det_636.xlsx</v>
      </c>
      <c r="M324" s="114" t="s">
        <v>283</v>
      </c>
      <c r="N324" s="10">
        <v>636</v>
      </c>
      <c r="O324" s="10">
        <v>2</v>
      </c>
      <c r="P324" s="10">
        <v>1</v>
      </c>
    </row>
    <row r="325" spans="4:16" x14ac:dyDescent="0.25">
      <c r="D325" s="109">
        <v>321</v>
      </c>
      <c r="E325" s="10">
        <v>637</v>
      </c>
      <c r="F325" s="10">
        <v>2</v>
      </c>
      <c r="G325" s="10">
        <v>1</v>
      </c>
      <c r="H325" s="5" t="str">
        <f t="shared" ref="H325:H363" si="15">"det_"&amp;E325&amp;""</f>
        <v>det_637</v>
      </c>
      <c r="I325" s="5" t="str">
        <f t="shared" si="13"/>
        <v>I:\Transportation Performance\Data\ADOT FMS\1. Raw Data\2018\data files\test\det_637.txt</v>
      </c>
      <c r="J325" s="5" t="str">
        <f t="shared" si="14"/>
        <v>I:\Transportation Performance\Data\ADOT FMS\1. Raw Data\2018\data files\test\det_637.xlsx</v>
      </c>
      <c r="M325" s="114" t="s">
        <v>283</v>
      </c>
      <c r="N325" s="10">
        <v>637</v>
      </c>
      <c r="O325" s="10">
        <v>2</v>
      </c>
      <c r="P325" s="10">
        <v>1</v>
      </c>
    </row>
    <row r="326" spans="4:16" x14ac:dyDescent="0.25">
      <c r="D326" s="109">
        <v>322</v>
      </c>
      <c r="E326" s="10">
        <v>638</v>
      </c>
      <c r="F326" s="10">
        <v>2</v>
      </c>
      <c r="G326" s="10">
        <v>1</v>
      </c>
      <c r="H326" s="5" t="str">
        <f t="shared" si="15"/>
        <v>det_638</v>
      </c>
      <c r="I326" s="5" t="str">
        <f t="shared" si="13"/>
        <v>I:\Transportation Performance\Data\ADOT FMS\1. Raw Data\2018\data files\test\det_638.txt</v>
      </c>
      <c r="J326" s="5" t="str">
        <f t="shared" si="14"/>
        <v>I:\Transportation Performance\Data\ADOT FMS\1. Raw Data\2018\data files\test\det_638.xlsx</v>
      </c>
      <c r="M326" s="114" t="s">
        <v>283</v>
      </c>
      <c r="N326" s="10">
        <v>638</v>
      </c>
      <c r="O326" s="10">
        <v>2</v>
      </c>
      <c r="P326" s="10">
        <v>1</v>
      </c>
    </row>
    <row r="327" spans="4:16" x14ac:dyDescent="0.25">
      <c r="D327" s="109">
        <v>323</v>
      </c>
      <c r="E327" s="10">
        <v>639</v>
      </c>
      <c r="F327" s="10">
        <v>2</v>
      </c>
      <c r="G327" s="10">
        <v>1</v>
      </c>
      <c r="H327" s="5" t="str">
        <f t="shared" si="15"/>
        <v>det_639</v>
      </c>
      <c r="I327" s="5" t="str">
        <f t="shared" si="13"/>
        <v>I:\Transportation Performance\Data\ADOT FMS\1. Raw Data\2018\data files\test\det_639.txt</v>
      </c>
      <c r="J327" s="5" t="str">
        <f t="shared" si="14"/>
        <v>I:\Transportation Performance\Data\ADOT FMS\1. Raw Data\2018\data files\test\det_639.xlsx</v>
      </c>
      <c r="M327" s="114" t="s">
        <v>283</v>
      </c>
      <c r="N327" s="10">
        <v>639</v>
      </c>
      <c r="O327" s="10">
        <v>2</v>
      </c>
      <c r="P327" s="10">
        <v>1</v>
      </c>
    </row>
    <row r="328" spans="4:16" x14ac:dyDescent="0.25">
      <c r="D328" s="109">
        <v>324</v>
      </c>
      <c r="E328" s="10">
        <v>640</v>
      </c>
      <c r="F328" s="10">
        <v>2</v>
      </c>
      <c r="G328" s="10">
        <v>1</v>
      </c>
      <c r="H328" s="5" t="str">
        <f t="shared" si="15"/>
        <v>det_640</v>
      </c>
      <c r="I328" s="5" t="str">
        <f t="shared" si="13"/>
        <v>I:\Transportation Performance\Data\ADOT FMS\1. Raw Data\2018\data files\test\det_640.txt</v>
      </c>
      <c r="J328" s="5" t="str">
        <f t="shared" si="14"/>
        <v>I:\Transportation Performance\Data\ADOT FMS\1. Raw Data\2018\data files\test\det_640.xlsx</v>
      </c>
      <c r="M328" s="114" t="s">
        <v>283</v>
      </c>
      <c r="N328" s="10">
        <v>640</v>
      </c>
      <c r="O328" s="10">
        <v>2</v>
      </c>
      <c r="P328" s="10">
        <v>1</v>
      </c>
    </row>
    <row r="329" spans="4:16" x14ac:dyDescent="0.25">
      <c r="D329" s="109">
        <v>325</v>
      </c>
      <c r="E329" s="10">
        <v>641</v>
      </c>
      <c r="F329" s="10">
        <v>2</v>
      </c>
      <c r="G329" s="10">
        <v>1</v>
      </c>
      <c r="H329" s="5" t="str">
        <f t="shared" si="15"/>
        <v>det_641</v>
      </c>
      <c r="I329" s="5" t="str">
        <f t="shared" si="13"/>
        <v>I:\Transportation Performance\Data\ADOT FMS\1. Raw Data\2018\data files\test\det_641.txt</v>
      </c>
      <c r="J329" s="5" t="str">
        <f t="shared" si="14"/>
        <v>I:\Transportation Performance\Data\ADOT FMS\1. Raw Data\2018\data files\test\det_641.xlsx</v>
      </c>
      <c r="M329" s="114" t="s">
        <v>283</v>
      </c>
      <c r="N329" s="10">
        <v>641</v>
      </c>
      <c r="O329" s="10">
        <v>2</v>
      </c>
      <c r="P329" s="10">
        <v>1</v>
      </c>
    </row>
    <row r="330" spans="4:16" x14ac:dyDescent="0.25">
      <c r="D330" s="109">
        <v>326</v>
      </c>
      <c r="E330" s="10">
        <v>642</v>
      </c>
      <c r="F330" s="10">
        <v>2</v>
      </c>
      <c r="G330" s="10">
        <v>1</v>
      </c>
      <c r="H330" s="5" t="str">
        <f t="shared" si="15"/>
        <v>det_642</v>
      </c>
      <c r="I330" s="5" t="str">
        <f t="shared" ref="I330:I363" si="16">$B$5&amp;"\"&amp;H330&amp;".txt"</f>
        <v>I:\Transportation Performance\Data\ADOT FMS\1. Raw Data\2018\data files\test\det_642.txt</v>
      </c>
      <c r="J330" s="5" t="str">
        <f t="shared" ref="J330:J363" si="17">$B$5&amp;"\"&amp;H330&amp;".xlsx"</f>
        <v>I:\Transportation Performance\Data\ADOT FMS\1. Raw Data\2018\data files\test\det_642.xlsx</v>
      </c>
      <c r="M330" s="114" t="s">
        <v>283</v>
      </c>
      <c r="N330" s="10">
        <v>642</v>
      </c>
      <c r="O330" s="10">
        <v>2</v>
      </c>
      <c r="P330" s="10">
        <v>1</v>
      </c>
    </row>
    <row r="331" spans="4:16" x14ac:dyDescent="0.25">
      <c r="D331" s="109">
        <v>327</v>
      </c>
      <c r="E331" s="10">
        <v>651</v>
      </c>
      <c r="F331" s="10">
        <v>3</v>
      </c>
      <c r="G331" s="10">
        <v>0</v>
      </c>
      <c r="H331" s="5" t="str">
        <f t="shared" si="15"/>
        <v>det_651</v>
      </c>
      <c r="I331" s="5" t="str">
        <f t="shared" si="16"/>
        <v>I:\Transportation Performance\Data\ADOT FMS\1. Raw Data\2018\data files\test\det_651.txt</v>
      </c>
      <c r="J331" s="5" t="str">
        <f t="shared" si="17"/>
        <v>I:\Transportation Performance\Data\ADOT FMS\1. Raw Data\2018\data files\test\det_651.xlsx</v>
      </c>
      <c r="M331" s="114" t="s">
        <v>283</v>
      </c>
      <c r="N331" s="10">
        <v>651</v>
      </c>
      <c r="O331" s="10">
        <v>3</v>
      </c>
      <c r="P331" s="10">
        <v>0</v>
      </c>
    </row>
    <row r="332" spans="4:16" x14ac:dyDescent="0.25">
      <c r="D332" s="109">
        <v>328</v>
      </c>
      <c r="E332" s="10">
        <v>652</v>
      </c>
      <c r="F332" s="10">
        <v>3</v>
      </c>
      <c r="G332" s="10">
        <v>1</v>
      </c>
      <c r="H332" s="5" t="str">
        <f t="shared" si="15"/>
        <v>det_652</v>
      </c>
      <c r="I332" s="5" t="str">
        <f t="shared" si="16"/>
        <v>I:\Transportation Performance\Data\ADOT FMS\1. Raw Data\2018\data files\test\det_652.txt</v>
      </c>
      <c r="J332" s="5" t="str">
        <f t="shared" si="17"/>
        <v>I:\Transportation Performance\Data\ADOT FMS\1. Raw Data\2018\data files\test\det_652.xlsx</v>
      </c>
      <c r="M332" s="114" t="s">
        <v>283</v>
      </c>
      <c r="N332" s="10">
        <v>652</v>
      </c>
      <c r="O332" s="10">
        <v>3</v>
      </c>
      <c r="P332" s="10">
        <v>1</v>
      </c>
    </row>
    <row r="333" spans="4:16" x14ac:dyDescent="0.25">
      <c r="D333" s="109">
        <v>329</v>
      </c>
      <c r="E333" s="10">
        <v>653</v>
      </c>
      <c r="F333" s="10">
        <v>3</v>
      </c>
      <c r="G333" s="10">
        <v>1</v>
      </c>
      <c r="H333" s="5" t="str">
        <f t="shared" si="15"/>
        <v>det_653</v>
      </c>
      <c r="I333" s="5" t="str">
        <f t="shared" si="16"/>
        <v>I:\Transportation Performance\Data\ADOT FMS\1. Raw Data\2018\data files\test\det_653.txt</v>
      </c>
      <c r="J333" s="5" t="str">
        <f t="shared" si="17"/>
        <v>I:\Transportation Performance\Data\ADOT FMS\1. Raw Data\2018\data files\test\det_653.xlsx</v>
      </c>
      <c r="M333" s="114" t="s">
        <v>283</v>
      </c>
      <c r="N333" s="10">
        <v>653</v>
      </c>
      <c r="O333" s="10">
        <v>3</v>
      </c>
      <c r="P333" s="10">
        <v>1</v>
      </c>
    </row>
    <row r="334" spans="4:16" x14ac:dyDescent="0.25">
      <c r="D334" s="109">
        <v>330</v>
      </c>
      <c r="E334" s="115">
        <v>654</v>
      </c>
      <c r="F334" s="115">
        <v>2</v>
      </c>
      <c r="G334" s="115">
        <v>1</v>
      </c>
      <c r="H334" s="5" t="str">
        <f t="shared" si="15"/>
        <v>det_654</v>
      </c>
      <c r="I334" s="5" t="str">
        <f t="shared" si="16"/>
        <v>I:\Transportation Performance\Data\ADOT FMS\1. Raw Data\2018\data files\test\det_654.txt</v>
      </c>
      <c r="J334" s="5" t="str">
        <f t="shared" si="17"/>
        <v>I:\Transportation Performance\Data\ADOT FMS\1. Raw Data\2018\data files\test\det_654.xlsx</v>
      </c>
      <c r="M334" s="114" t="s">
        <v>283</v>
      </c>
      <c r="N334" s="115">
        <v>654</v>
      </c>
      <c r="O334" s="115">
        <v>2</v>
      </c>
      <c r="P334" s="115">
        <v>1</v>
      </c>
    </row>
    <row r="335" spans="4:16" x14ac:dyDescent="0.25">
      <c r="D335" s="109">
        <v>331</v>
      </c>
      <c r="E335" s="10">
        <v>655</v>
      </c>
      <c r="F335" s="10">
        <v>3</v>
      </c>
      <c r="G335" s="10">
        <v>1</v>
      </c>
      <c r="H335" s="5" t="str">
        <f t="shared" si="15"/>
        <v>det_655</v>
      </c>
      <c r="I335" s="5" t="str">
        <f t="shared" si="16"/>
        <v>I:\Transportation Performance\Data\ADOT FMS\1. Raw Data\2018\data files\test\det_655.txt</v>
      </c>
      <c r="J335" s="5" t="str">
        <f t="shared" si="17"/>
        <v>I:\Transportation Performance\Data\ADOT FMS\1. Raw Data\2018\data files\test\det_655.xlsx</v>
      </c>
      <c r="M335" s="114" t="s">
        <v>283</v>
      </c>
      <c r="N335" s="10">
        <v>655</v>
      </c>
      <c r="O335" s="10">
        <v>3</v>
      </c>
      <c r="P335" s="10">
        <v>1</v>
      </c>
    </row>
    <row r="336" spans="4:16" x14ac:dyDescent="0.25">
      <c r="D336" s="109">
        <v>332</v>
      </c>
      <c r="E336" s="10">
        <v>656</v>
      </c>
      <c r="F336" s="10">
        <v>3</v>
      </c>
      <c r="G336" s="10">
        <v>1</v>
      </c>
      <c r="H336" s="5" t="str">
        <f t="shared" si="15"/>
        <v>det_656</v>
      </c>
      <c r="I336" s="5" t="str">
        <f t="shared" si="16"/>
        <v>I:\Transportation Performance\Data\ADOT FMS\1. Raw Data\2018\data files\test\det_656.txt</v>
      </c>
      <c r="J336" s="5" t="str">
        <f t="shared" si="17"/>
        <v>I:\Transportation Performance\Data\ADOT FMS\1. Raw Data\2018\data files\test\det_656.xlsx</v>
      </c>
      <c r="M336" s="114" t="s">
        <v>283</v>
      </c>
      <c r="N336" s="10">
        <v>656</v>
      </c>
      <c r="O336" s="10">
        <v>3</v>
      </c>
      <c r="P336" s="10">
        <v>1</v>
      </c>
    </row>
    <row r="337" spans="4:16" x14ac:dyDescent="0.25">
      <c r="D337" s="109">
        <v>333</v>
      </c>
      <c r="E337" s="10">
        <v>657</v>
      </c>
      <c r="F337" s="10">
        <v>3</v>
      </c>
      <c r="G337" s="10">
        <v>1</v>
      </c>
      <c r="H337" s="5" t="str">
        <f t="shared" si="15"/>
        <v>det_657</v>
      </c>
      <c r="I337" s="5" t="str">
        <f t="shared" si="16"/>
        <v>I:\Transportation Performance\Data\ADOT FMS\1. Raw Data\2018\data files\test\det_657.txt</v>
      </c>
      <c r="J337" s="5" t="str">
        <f t="shared" si="17"/>
        <v>I:\Transportation Performance\Data\ADOT FMS\1. Raw Data\2018\data files\test\det_657.xlsx</v>
      </c>
      <c r="M337" s="114" t="s">
        <v>283</v>
      </c>
      <c r="N337" s="10">
        <v>657</v>
      </c>
      <c r="O337" s="10">
        <v>3</v>
      </c>
      <c r="P337" s="10">
        <v>1</v>
      </c>
    </row>
    <row r="338" spans="4:16" x14ac:dyDescent="0.25">
      <c r="D338" s="109">
        <v>334</v>
      </c>
      <c r="E338" s="10">
        <v>658</v>
      </c>
      <c r="F338" s="10">
        <v>2</v>
      </c>
      <c r="G338" s="10">
        <v>1</v>
      </c>
      <c r="H338" s="5" t="str">
        <f t="shared" si="15"/>
        <v>det_658</v>
      </c>
      <c r="I338" s="5" t="str">
        <f t="shared" si="16"/>
        <v>I:\Transportation Performance\Data\ADOT FMS\1. Raw Data\2018\data files\test\det_658.txt</v>
      </c>
      <c r="J338" s="5" t="str">
        <f t="shared" si="17"/>
        <v>I:\Transportation Performance\Data\ADOT FMS\1. Raw Data\2018\data files\test\det_658.xlsx</v>
      </c>
      <c r="M338" s="114" t="s">
        <v>283</v>
      </c>
      <c r="N338" s="10">
        <v>658</v>
      </c>
      <c r="O338" s="10">
        <v>2</v>
      </c>
      <c r="P338" s="10">
        <v>1</v>
      </c>
    </row>
    <row r="339" spans="4:16" x14ac:dyDescent="0.25">
      <c r="D339" s="109">
        <v>335</v>
      </c>
      <c r="E339" s="10">
        <v>624</v>
      </c>
      <c r="F339" s="10">
        <v>3</v>
      </c>
      <c r="G339" s="10">
        <v>1</v>
      </c>
      <c r="H339" s="5" t="str">
        <f t="shared" si="15"/>
        <v>det_624</v>
      </c>
      <c r="I339" s="5" t="str">
        <f t="shared" si="16"/>
        <v>I:\Transportation Performance\Data\ADOT FMS\1. Raw Data\2018\data files\test\det_624.txt</v>
      </c>
      <c r="J339" s="5" t="str">
        <f t="shared" si="17"/>
        <v>I:\Transportation Performance\Data\ADOT FMS\1. Raw Data\2018\data files\test\det_624.xlsx</v>
      </c>
      <c r="M339" s="114" t="s">
        <v>284</v>
      </c>
      <c r="N339" s="10">
        <v>624</v>
      </c>
      <c r="O339" s="10">
        <v>3</v>
      </c>
      <c r="P339" s="10">
        <v>1</v>
      </c>
    </row>
    <row r="340" spans="4:16" x14ac:dyDescent="0.25">
      <c r="D340" s="109">
        <v>336</v>
      </c>
      <c r="E340" s="10">
        <v>626</v>
      </c>
      <c r="F340" s="10">
        <v>3</v>
      </c>
      <c r="G340" s="10">
        <v>1</v>
      </c>
      <c r="H340" s="5" t="str">
        <f t="shared" si="15"/>
        <v>det_626</v>
      </c>
      <c r="I340" s="5" t="str">
        <f t="shared" si="16"/>
        <v>I:\Transportation Performance\Data\ADOT FMS\1. Raw Data\2018\data files\test\det_626.txt</v>
      </c>
      <c r="J340" s="5" t="str">
        <f t="shared" si="17"/>
        <v>I:\Transportation Performance\Data\ADOT FMS\1. Raw Data\2018\data files\test\det_626.xlsx</v>
      </c>
      <c r="M340" s="114" t="s">
        <v>284</v>
      </c>
      <c r="N340" s="10">
        <v>626</v>
      </c>
      <c r="O340" s="10">
        <v>3</v>
      </c>
      <c r="P340" s="10">
        <v>1</v>
      </c>
    </row>
    <row r="341" spans="4:16" x14ac:dyDescent="0.25">
      <c r="D341" s="109">
        <v>337</v>
      </c>
      <c r="E341" s="10">
        <v>628</v>
      </c>
      <c r="F341" s="10">
        <v>3</v>
      </c>
      <c r="G341" s="10">
        <v>1</v>
      </c>
      <c r="H341" s="5" t="str">
        <f t="shared" si="15"/>
        <v>det_628</v>
      </c>
      <c r="I341" s="5" t="str">
        <f t="shared" si="16"/>
        <v>I:\Transportation Performance\Data\ADOT FMS\1. Raw Data\2018\data files\test\det_628.txt</v>
      </c>
      <c r="J341" s="5" t="str">
        <f t="shared" si="17"/>
        <v>I:\Transportation Performance\Data\ADOT FMS\1. Raw Data\2018\data files\test\det_628.xlsx</v>
      </c>
      <c r="M341" s="114" t="s">
        <v>284</v>
      </c>
      <c r="N341" s="10">
        <v>628</v>
      </c>
      <c r="O341" s="10">
        <v>3</v>
      </c>
      <c r="P341" s="10">
        <v>1</v>
      </c>
    </row>
    <row r="342" spans="4:16" x14ac:dyDescent="0.25">
      <c r="D342" s="109">
        <v>338</v>
      </c>
      <c r="E342" s="10">
        <v>630</v>
      </c>
      <c r="F342" s="10">
        <v>3</v>
      </c>
      <c r="G342" s="10">
        <v>1</v>
      </c>
      <c r="H342" s="5" t="str">
        <f t="shared" si="15"/>
        <v>det_630</v>
      </c>
      <c r="I342" s="5" t="str">
        <f t="shared" si="16"/>
        <v>I:\Transportation Performance\Data\ADOT FMS\1. Raw Data\2018\data files\test\det_630.txt</v>
      </c>
      <c r="J342" s="5" t="str">
        <f t="shared" si="17"/>
        <v>I:\Transportation Performance\Data\ADOT FMS\1. Raw Data\2018\data files\test\det_630.xlsx</v>
      </c>
      <c r="M342" s="114" t="s">
        <v>284</v>
      </c>
      <c r="N342" s="10">
        <v>630</v>
      </c>
      <c r="O342" s="10">
        <v>3</v>
      </c>
      <c r="P342" s="10">
        <v>1</v>
      </c>
    </row>
    <row r="343" spans="4:16" x14ac:dyDescent="0.25">
      <c r="D343" s="109">
        <v>339</v>
      </c>
      <c r="E343" s="10">
        <v>632</v>
      </c>
      <c r="F343" s="10">
        <v>3</v>
      </c>
      <c r="G343" s="10">
        <v>1</v>
      </c>
      <c r="H343" s="5" t="str">
        <f t="shared" si="15"/>
        <v>det_632</v>
      </c>
      <c r="I343" s="5" t="str">
        <f t="shared" si="16"/>
        <v>I:\Transportation Performance\Data\ADOT FMS\1. Raw Data\2018\data files\test\det_632.txt</v>
      </c>
      <c r="J343" s="5" t="str">
        <f t="shared" si="17"/>
        <v>I:\Transportation Performance\Data\ADOT FMS\1. Raw Data\2018\data files\test\det_632.xlsx</v>
      </c>
      <c r="M343" s="114" t="s">
        <v>284</v>
      </c>
      <c r="N343" s="10">
        <v>632</v>
      </c>
      <c r="O343" s="10">
        <v>3</v>
      </c>
      <c r="P343" s="10">
        <v>1</v>
      </c>
    </row>
    <row r="344" spans="4:16" x14ac:dyDescent="0.25">
      <c r="D344" s="109">
        <v>340</v>
      </c>
      <c r="E344" s="10">
        <v>634</v>
      </c>
      <c r="F344" s="10">
        <v>3</v>
      </c>
      <c r="G344" s="10">
        <v>1</v>
      </c>
      <c r="H344" s="5" t="str">
        <f t="shared" si="15"/>
        <v>det_634</v>
      </c>
      <c r="I344" s="5" t="str">
        <f t="shared" si="16"/>
        <v>I:\Transportation Performance\Data\ADOT FMS\1. Raw Data\2018\data files\test\det_634.txt</v>
      </c>
      <c r="J344" s="5" t="str">
        <f t="shared" si="17"/>
        <v>I:\Transportation Performance\Data\ADOT FMS\1. Raw Data\2018\data files\test\det_634.xlsx</v>
      </c>
      <c r="M344" s="114" t="s">
        <v>284</v>
      </c>
      <c r="N344" s="10">
        <v>634</v>
      </c>
      <c r="O344" s="10">
        <v>3</v>
      </c>
      <c r="P344" s="10">
        <v>1</v>
      </c>
    </row>
    <row r="345" spans="4:16" x14ac:dyDescent="0.25">
      <c r="D345" s="109">
        <v>341</v>
      </c>
      <c r="E345" s="10">
        <v>625</v>
      </c>
      <c r="F345" s="10">
        <v>3</v>
      </c>
      <c r="G345" s="10">
        <v>1</v>
      </c>
      <c r="H345" s="5" t="str">
        <f t="shared" si="15"/>
        <v>det_625</v>
      </c>
      <c r="I345" s="5" t="str">
        <f t="shared" si="16"/>
        <v>I:\Transportation Performance\Data\ADOT FMS\1. Raw Data\2018\data files\test\det_625.txt</v>
      </c>
      <c r="J345" s="5" t="str">
        <f t="shared" si="17"/>
        <v>I:\Transportation Performance\Data\ADOT FMS\1. Raw Data\2018\data files\test\det_625.xlsx</v>
      </c>
      <c r="M345" s="114" t="s">
        <v>284</v>
      </c>
      <c r="N345" s="10">
        <v>625</v>
      </c>
      <c r="O345" s="10">
        <v>3</v>
      </c>
      <c r="P345" s="10">
        <v>1</v>
      </c>
    </row>
    <row r="346" spans="4:16" x14ac:dyDescent="0.25">
      <c r="D346" s="109">
        <v>342</v>
      </c>
      <c r="E346" s="10">
        <v>627</v>
      </c>
      <c r="F346" s="10">
        <v>3</v>
      </c>
      <c r="G346" s="10">
        <v>1</v>
      </c>
      <c r="H346" s="5" t="str">
        <f t="shared" si="15"/>
        <v>det_627</v>
      </c>
      <c r="I346" s="5" t="str">
        <f t="shared" si="16"/>
        <v>I:\Transportation Performance\Data\ADOT FMS\1. Raw Data\2018\data files\test\det_627.txt</v>
      </c>
      <c r="J346" s="5" t="str">
        <f t="shared" si="17"/>
        <v>I:\Transportation Performance\Data\ADOT FMS\1. Raw Data\2018\data files\test\det_627.xlsx</v>
      </c>
      <c r="M346" s="114" t="s">
        <v>284</v>
      </c>
      <c r="N346" s="10">
        <v>627</v>
      </c>
      <c r="O346" s="10">
        <v>3</v>
      </c>
      <c r="P346" s="10">
        <v>1</v>
      </c>
    </row>
    <row r="347" spans="4:16" x14ac:dyDescent="0.25">
      <c r="D347" s="109">
        <v>343</v>
      </c>
      <c r="E347" s="10">
        <v>629</v>
      </c>
      <c r="F347" s="10">
        <v>3</v>
      </c>
      <c r="G347" s="10">
        <v>1</v>
      </c>
      <c r="H347" s="5" t="str">
        <f t="shared" si="15"/>
        <v>det_629</v>
      </c>
      <c r="I347" s="5" t="str">
        <f t="shared" si="16"/>
        <v>I:\Transportation Performance\Data\ADOT FMS\1. Raw Data\2018\data files\test\det_629.txt</v>
      </c>
      <c r="J347" s="5" t="str">
        <f t="shared" si="17"/>
        <v>I:\Transportation Performance\Data\ADOT FMS\1. Raw Data\2018\data files\test\det_629.xlsx</v>
      </c>
      <c r="M347" s="114" t="s">
        <v>284</v>
      </c>
      <c r="N347" s="10">
        <v>629</v>
      </c>
      <c r="O347" s="10">
        <v>3</v>
      </c>
      <c r="P347" s="10">
        <v>1</v>
      </c>
    </row>
    <row r="348" spans="4:16" x14ac:dyDescent="0.25">
      <c r="D348" s="109">
        <v>344</v>
      </c>
      <c r="E348" s="10">
        <v>631</v>
      </c>
      <c r="F348" s="10">
        <v>3</v>
      </c>
      <c r="G348" s="10">
        <v>1</v>
      </c>
      <c r="H348" s="5" t="str">
        <f t="shared" si="15"/>
        <v>det_631</v>
      </c>
      <c r="I348" s="5" t="str">
        <f t="shared" si="16"/>
        <v>I:\Transportation Performance\Data\ADOT FMS\1. Raw Data\2018\data files\test\det_631.txt</v>
      </c>
      <c r="J348" s="5" t="str">
        <f t="shared" si="17"/>
        <v>I:\Transportation Performance\Data\ADOT FMS\1. Raw Data\2018\data files\test\det_631.xlsx</v>
      </c>
      <c r="M348" s="114" t="s">
        <v>284</v>
      </c>
      <c r="N348" s="10">
        <v>631</v>
      </c>
      <c r="O348" s="10">
        <v>3</v>
      </c>
      <c r="P348" s="10">
        <v>1</v>
      </c>
    </row>
    <row r="349" spans="4:16" x14ac:dyDescent="0.25">
      <c r="D349" s="109">
        <v>345</v>
      </c>
      <c r="E349" s="10">
        <v>633</v>
      </c>
      <c r="F349" s="10">
        <v>4</v>
      </c>
      <c r="G349" s="10">
        <v>1</v>
      </c>
      <c r="H349" s="5" t="str">
        <f t="shared" si="15"/>
        <v>det_633</v>
      </c>
      <c r="I349" s="5" t="str">
        <f t="shared" si="16"/>
        <v>I:\Transportation Performance\Data\ADOT FMS\1. Raw Data\2018\data files\test\det_633.txt</v>
      </c>
      <c r="J349" s="5" t="str">
        <f t="shared" si="17"/>
        <v>I:\Transportation Performance\Data\ADOT FMS\1. Raw Data\2018\data files\test\det_633.xlsx</v>
      </c>
      <c r="M349" s="114" t="s">
        <v>284</v>
      </c>
      <c r="N349" s="10">
        <v>633</v>
      </c>
      <c r="O349" s="10">
        <v>4</v>
      </c>
      <c r="P349" s="10">
        <v>1</v>
      </c>
    </row>
    <row r="350" spans="4:16" x14ac:dyDescent="0.25">
      <c r="D350" s="109">
        <v>346</v>
      </c>
      <c r="E350" s="10">
        <v>607</v>
      </c>
      <c r="F350" s="10">
        <v>4</v>
      </c>
      <c r="G350" s="10">
        <v>0</v>
      </c>
      <c r="H350" s="5" t="str">
        <f t="shared" si="15"/>
        <v>det_607</v>
      </c>
      <c r="I350" s="5" t="str">
        <f t="shared" si="16"/>
        <v>I:\Transportation Performance\Data\ADOT FMS\1. Raw Data\2018\data files\test\det_607.txt</v>
      </c>
      <c r="J350" s="5" t="str">
        <f t="shared" si="17"/>
        <v>I:\Transportation Performance\Data\ADOT FMS\1. Raw Data\2018\data files\test\det_607.xlsx</v>
      </c>
      <c r="M350" s="114" t="s">
        <v>79</v>
      </c>
      <c r="N350" s="10">
        <v>607</v>
      </c>
      <c r="O350" s="10">
        <v>4</v>
      </c>
      <c r="P350" s="10">
        <v>0</v>
      </c>
    </row>
    <row r="351" spans="4:16" x14ac:dyDescent="0.25">
      <c r="D351" s="109">
        <v>347</v>
      </c>
      <c r="E351" s="10">
        <v>608</v>
      </c>
      <c r="F351" s="10">
        <v>4</v>
      </c>
      <c r="G351" s="10">
        <v>0</v>
      </c>
      <c r="H351" s="5" t="str">
        <f t="shared" si="15"/>
        <v>det_608</v>
      </c>
      <c r="I351" s="5" t="str">
        <f t="shared" si="16"/>
        <v>I:\Transportation Performance\Data\ADOT FMS\1. Raw Data\2018\data files\test\det_608.txt</v>
      </c>
      <c r="J351" s="5" t="str">
        <f t="shared" si="17"/>
        <v>I:\Transportation Performance\Data\ADOT FMS\1. Raw Data\2018\data files\test\det_608.xlsx</v>
      </c>
      <c r="M351" s="114" t="s">
        <v>79</v>
      </c>
      <c r="N351" s="10">
        <v>608</v>
      </c>
      <c r="O351" s="10">
        <v>4</v>
      </c>
      <c r="P351" s="10">
        <v>0</v>
      </c>
    </row>
    <row r="352" spans="4:16" x14ac:dyDescent="0.25">
      <c r="D352" s="109">
        <v>348</v>
      </c>
      <c r="E352" s="115">
        <v>609</v>
      </c>
      <c r="F352" s="115">
        <v>2</v>
      </c>
      <c r="G352" s="115">
        <v>0</v>
      </c>
      <c r="H352" s="5" t="str">
        <f t="shared" si="15"/>
        <v>det_609</v>
      </c>
      <c r="I352" s="5" t="str">
        <f t="shared" si="16"/>
        <v>I:\Transportation Performance\Data\ADOT FMS\1. Raw Data\2018\data files\test\det_609.txt</v>
      </c>
      <c r="J352" s="5" t="str">
        <f t="shared" si="17"/>
        <v>I:\Transportation Performance\Data\ADOT FMS\1. Raw Data\2018\data files\test\det_609.xlsx</v>
      </c>
      <c r="M352" s="114" t="s">
        <v>79</v>
      </c>
      <c r="N352" s="115">
        <v>609</v>
      </c>
      <c r="O352" s="115">
        <v>2</v>
      </c>
      <c r="P352" s="115">
        <v>0</v>
      </c>
    </row>
    <row r="353" spans="4:16" x14ac:dyDescent="0.25">
      <c r="D353" s="109">
        <v>349</v>
      </c>
      <c r="E353" s="10">
        <v>610</v>
      </c>
      <c r="F353" s="10">
        <v>4</v>
      </c>
      <c r="G353" s="10">
        <v>0</v>
      </c>
      <c r="H353" s="5" t="str">
        <f t="shared" si="15"/>
        <v>det_610</v>
      </c>
      <c r="I353" s="5" t="str">
        <f t="shared" si="16"/>
        <v>I:\Transportation Performance\Data\ADOT FMS\1. Raw Data\2018\data files\test\det_610.txt</v>
      </c>
      <c r="J353" s="5" t="str">
        <f t="shared" si="17"/>
        <v>I:\Transportation Performance\Data\ADOT FMS\1. Raw Data\2018\data files\test\det_610.xlsx</v>
      </c>
      <c r="M353" s="114" t="s">
        <v>79</v>
      </c>
      <c r="N353" s="10">
        <v>610</v>
      </c>
      <c r="O353" s="10">
        <v>4</v>
      </c>
      <c r="P353" s="10">
        <v>0</v>
      </c>
    </row>
    <row r="354" spans="4:16" x14ac:dyDescent="0.25">
      <c r="D354" s="109">
        <v>350</v>
      </c>
      <c r="E354" s="10">
        <v>611</v>
      </c>
      <c r="F354" s="10">
        <v>4</v>
      </c>
      <c r="G354" s="10">
        <v>0</v>
      </c>
      <c r="H354" s="5" t="str">
        <f t="shared" si="15"/>
        <v>det_611</v>
      </c>
      <c r="I354" s="5" t="str">
        <f t="shared" si="16"/>
        <v>I:\Transportation Performance\Data\ADOT FMS\1. Raw Data\2018\data files\test\det_611.txt</v>
      </c>
      <c r="J354" s="5" t="str">
        <f t="shared" si="17"/>
        <v>I:\Transportation Performance\Data\ADOT FMS\1. Raw Data\2018\data files\test\det_611.xlsx</v>
      </c>
      <c r="M354" s="114" t="s">
        <v>79</v>
      </c>
      <c r="N354" s="10">
        <v>611</v>
      </c>
      <c r="O354" s="10">
        <v>4</v>
      </c>
      <c r="P354" s="10">
        <v>0</v>
      </c>
    </row>
    <row r="355" spans="4:16" x14ac:dyDescent="0.25">
      <c r="D355" s="109">
        <v>351</v>
      </c>
      <c r="E355" s="10">
        <v>612</v>
      </c>
      <c r="F355" s="10">
        <v>4</v>
      </c>
      <c r="G355" s="10">
        <v>0</v>
      </c>
      <c r="H355" s="5" t="str">
        <f t="shared" si="15"/>
        <v>det_612</v>
      </c>
      <c r="I355" s="5" t="str">
        <f t="shared" si="16"/>
        <v>I:\Transportation Performance\Data\ADOT FMS\1. Raw Data\2018\data files\test\det_612.txt</v>
      </c>
      <c r="J355" s="5" t="str">
        <f t="shared" si="17"/>
        <v>I:\Transportation Performance\Data\ADOT FMS\1. Raw Data\2018\data files\test\det_612.xlsx</v>
      </c>
      <c r="M355" s="114" t="s">
        <v>79</v>
      </c>
      <c r="N355" s="10">
        <v>612</v>
      </c>
      <c r="O355" s="10">
        <v>4</v>
      </c>
      <c r="P355" s="10">
        <v>0</v>
      </c>
    </row>
    <row r="356" spans="4:16" x14ac:dyDescent="0.25">
      <c r="D356" s="109">
        <v>352</v>
      </c>
      <c r="E356" s="10">
        <v>613</v>
      </c>
      <c r="F356" s="10">
        <v>4</v>
      </c>
      <c r="G356" s="10">
        <v>0</v>
      </c>
      <c r="H356" s="5" t="str">
        <f t="shared" si="15"/>
        <v>det_613</v>
      </c>
      <c r="I356" s="5" t="str">
        <f t="shared" si="16"/>
        <v>I:\Transportation Performance\Data\ADOT FMS\1. Raw Data\2018\data files\test\det_613.txt</v>
      </c>
      <c r="J356" s="5" t="str">
        <f t="shared" si="17"/>
        <v>I:\Transportation Performance\Data\ADOT FMS\1. Raw Data\2018\data files\test\det_613.xlsx</v>
      </c>
      <c r="M356" s="114" t="s">
        <v>79</v>
      </c>
      <c r="N356" s="10">
        <v>613</v>
      </c>
      <c r="O356" s="10">
        <v>4</v>
      </c>
      <c r="P356" s="10">
        <v>0</v>
      </c>
    </row>
    <row r="357" spans="4:16" x14ac:dyDescent="0.25">
      <c r="D357" s="109">
        <v>353</v>
      </c>
      <c r="E357" s="10">
        <v>614</v>
      </c>
      <c r="F357" s="10">
        <v>4</v>
      </c>
      <c r="G357" s="10">
        <v>0</v>
      </c>
      <c r="H357" s="5" t="str">
        <f t="shared" si="15"/>
        <v>det_614</v>
      </c>
      <c r="I357" s="5" t="str">
        <f t="shared" si="16"/>
        <v>I:\Transportation Performance\Data\ADOT FMS\1. Raw Data\2018\data files\test\det_614.txt</v>
      </c>
      <c r="J357" s="5" t="str">
        <f t="shared" si="17"/>
        <v>I:\Transportation Performance\Data\ADOT FMS\1. Raw Data\2018\data files\test\det_614.xlsx</v>
      </c>
      <c r="M357" s="114" t="s">
        <v>79</v>
      </c>
      <c r="N357" s="10">
        <v>614</v>
      </c>
      <c r="O357" s="10">
        <v>4</v>
      </c>
      <c r="P357" s="10">
        <v>0</v>
      </c>
    </row>
    <row r="358" spans="4:16" x14ac:dyDescent="0.25">
      <c r="D358" s="109">
        <v>354</v>
      </c>
      <c r="E358" s="10">
        <v>615</v>
      </c>
      <c r="F358" s="10">
        <v>4</v>
      </c>
      <c r="G358" s="10">
        <v>0</v>
      </c>
      <c r="H358" s="5" t="str">
        <f t="shared" si="15"/>
        <v>det_615</v>
      </c>
      <c r="I358" s="5" t="str">
        <f t="shared" si="16"/>
        <v>I:\Transportation Performance\Data\ADOT FMS\1. Raw Data\2018\data files\test\det_615.txt</v>
      </c>
      <c r="J358" s="5" t="str">
        <f t="shared" si="17"/>
        <v>I:\Transportation Performance\Data\ADOT FMS\1. Raw Data\2018\data files\test\det_615.xlsx</v>
      </c>
      <c r="M358" s="114" t="s">
        <v>79</v>
      </c>
      <c r="N358" s="10">
        <v>615</v>
      </c>
      <c r="O358" s="10">
        <v>4</v>
      </c>
      <c r="P358" s="10">
        <v>0</v>
      </c>
    </row>
    <row r="359" spans="4:16" x14ac:dyDescent="0.25">
      <c r="D359" s="109">
        <v>355</v>
      </c>
      <c r="E359" s="10">
        <v>616</v>
      </c>
      <c r="F359" s="10">
        <v>4</v>
      </c>
      <c r="G359" s="10">
        <v>0</v>
      </c>
      <c r="H359" s="5" t="str">
        <f t="shared" si="15"/>
        <v>det_616</v>
      </c>
      <c r="I359" s="5" t="str">
        <f t="shared" si="16"/>
        <v>I:\Transportation Performance\Data\ADOT FMS\1. Raw Data\2018\data files\test\det_616.txt</v>
      </c>
      <c r="J359" s="5" t="str">
        <f t="shared" si="17"/>
        <v>I:\Transportation Performance\Data\ADOT FMS\1. Raw Data\2018\data files\test\det_616.xlsx</v>
      </c>
      <c r="M359" s="114" t="s">
        <v>79</v>
      </c>
      <c r="N359" s="10">
        <v>616</v>
      </c>
      <c r="O359" s="10">
        <v>4</v>
      </c>
      <c r="P359" s="10">
        <v>0</v>
      </c>
    </row>
    <row r="360" spans="4:16" x14ac:dyDescent="0.25">
      <c r="D360" s="109">
        <v>356</v>
      </c>
      <c r="E360" s="10">
        <v>617</v>
      </c>
      <c r="F360" s="10">
        <v>4</v>
      </c>
      <c r="G360" s="10">
        <v>0</v>
      </c>
      <c r="H360" s="5" t="str">
        <f t="shared" si="15"/>
        <v>det_617</v>
      </c>
      <c r="I360" s="5" t="str">
        <f t="shared" si="16"/>
        <v>I:\Transportation Performance\Data\ADOT FMS\1. Raw Data\2018\data files\test\det_617.txt</v>
      </c>
      <c r="J360" s="5" t="str">
        <f t="shared" si="17"/>
        <v>I:\Transportation Performance\Data\ADOT FMS\1. Raw Data\2018\data files\test\det_617.xlsx</v>
      </c>
      <c r="M360" s="114" t="s">
        <v>79</v>
      </c>
      <c r="N360" s="10">
        <v>617</v>
      </c>
      <c r="O360" s="10">
        <v>4</v>
      </c>
      <c r="P360" s="10">
        <v>0</v>
      </c>
    </row>
    <row r="361" spans="4:16" x14ac:dyDescent="0.25">
      <c r="D361" s="109">
        <v>357</v>
      </c>
      <c r="E361" s="10">
        <v>618</v>
      </c>
      <c r="F361" s="10">
        <v>4</v>
      </c>
      <c r="G361" s="10">
        <v>0</v>
      </c>
      <c r="H361" s="5" t="str">
        <f t="shared" si="15"/>
        <v>det_618</v>
      </c>
      <c r="I361" s="5" t="str">
        <f t="shared" si="16"/>
        <v>I:\Transportation Performance\Data\ADOT FMS\1. Raw Data\2018\data files\test\det_618.txt</v>
      </c>
      <c r="J361" s="5" t="str">
        <f t="shared" si="17"/>
        <v>I:\Transportation Performance\Data\ADOT FMS\1. Raw Data\2018\data files\test\det_618.xlsx</v>
      </c>
      <c r="M361" s="114" t="s">
        <v>79</v>
      </c>
      <c r="N361" s="10">
        <v>618</v>
      </c>
      <c r="O361" s="10">
        <v>4</v>
      </c>
      <c r="P361" s="10">
        <v>0</v>
      </c>
    </row>
    <row r="362" spans="4:16" x14ac:dyDescent="0.25">
      <c r="D362" s="109">
        <v>358</v>
      </c>
      <c r="E362" s="10">
        <v>619</v>
      </c>
      <c r="F362" s="10">
        <v>4</v>
      </c>
      <c r="G362" s="10">
        <v>0</v>
      </c>
      <c r="H362" s="5" t="str">
        <f t="shared" si="15"/>
        <v>det_619</v>
      </c>
      <c r="I362" s="5" t="str">
        <f t="shared" si="16"/>
        <v>I:\Transportation Performance\Data\ADOT FMS\1. Raw Data\2018\data files\test\det_619.txt</v>
      </c>
      <c r="J362" s="5" t="str">
        <f t="shared" si="17"/>
        <v>I:\Transportation Performance\Data\ADOT FMS\1. Raw Data\2018\data files\test\det_619.xlsx</v>
      </c>
      <c r="M362" s="114" t="s">
        <v>79</v>
      </c>
      <c r="N362" s="10">
        <v>619</v>
      </c>
      <c r="O362" s="10">
        <v>4</v>
      </c>
      <c r="P362" s="10">
        <v>0</v>
      </c>
    </row>
    <row r="363" spans="4:16" x14ac:dyDescent="0.25">
      <c r="D363" s="109">
        <v>359</v>
      </c>
      <c r="E363" s="10">
        <v>620</v>
      </c>
      <c r="F363" s="10">
        <v>4</v>
      </c>
      <c r="G363" s="10">
        <v>0</v>
      </c>
      <c r="H363" s="5" t="str">
        <f t="shared" si="15"/>
        <v>det_620</v>
      </c>
      <c r="I363" s="5" t="str">
        <f t="shared" si="16"/>
        <v>I:\Transportation Performance\Data\ADOT FMS\1. Raw Data\2018\data files\test\det_620.txt</v>
      </c>
      <c r="J363" s="5" t="str">
        <f t="shared" si="17"/>
        <v>I:\Transportation Performance\Data\ADOT FMS\1. Raw Data\2018\data files\test\det_620.xlsx</v>
      </c>
      <c r="M363" s="114" t="s">
        <v>79</v>
      </c>
      <c r="N363" s="10">
        <v>620</v>
      </c>
      <c r="O363" s="10">
        <v>4</v>
      </c>
      <c r="P363" s="10">
        <v>0</v>
      </c>
    </row>
    <row r="364" spans="4:16" x14ac:dyDescent="0.25">
      <c r="D364" s="109">
        <v>360</v>
      </c>
      <c r="N364" s="10"/>
      <c r="O364" s="10"/>
      <c r="P364" s="10"/>
    </row>
    <row r="365" spans="4:16" x14ac:dyDescent="0.25">
      <c r="N365" s="10"/>
      <c r="O365" s="10"/>
      <c r="P365" s="10"/>
    </row>
    <row r="366" spans="4:16" x14ac:dyDescent="0.25">
      <c r="N366" s="10"/>
      <c r="O366" s="10"/>
      <c r="P366" s="10"/>
    </row>
    <row r="367" spans="4:16" x14ac:dyDescent="0.25">
      <c r="N367" s="10"/>
      <c r="O367" s="10"/>
      <c r="P367" s="10"/>
    </row>
    <row r="368" spans="4:16" x14ac:dyDescent="0.25">
      <c r="N368" s="10"/>
      <c r="O368" s="10"/>
      <c r="P368" s="10"/>
    </row>
    <row r="369" spans="14:16" x14ac:dyDescent="0.25">
      <c r="N369" s="10"/>
      <c r="O369" s="10"/>
      <c r="P369" s="10"/>
    </row>
    <row r="370" spans="14:16" x14ac:dyDescent="0.25">
      <c r="N370" s="10"/>
      <c r="O370" s="10"/>
      <c r="P370" s="10"/>
    </row>
    <row r="371" spans="14:16" x14ac:dyDescent="0.25">
      <c r="N371" s="10"/>
      <c r="O371" s="10"/>
      <c r="P371" s="10"/>
    </row>
    <row r="372" spans="14:16" x14ac:dyDescent="0.25">
      <c r="N372" s="10"/>
      <c r="O372" s="10"/>
      <c r="P372" s="10"/>
    </row>
    <row r="373" spans="14:16" x14ac:dyDescent="0.25">
      <c r="N373" s="10"/>
      <c r="O373" s="10"/>
      <c r="P373" s="10"/>
    </row>
    <row r="374" spans="14:16" x14ac:dyDescent="0.25">
      <c r="N374" s="10"/>
      <c r="O374" s="10"/>
      <c r="P374" s="10"/>
    </row>
    <row r="375" spans="14:16" x14ac:dyDescent="0.25">
      <c r="N375" s="10"/>
      <c r="O375" s="10"/>
      <c r="P375" s="10"/>
    </row>
    <row r="376" spans="14:16" x14ac:dyDescent="0.25">
      <c r="N376" s="10"/>
      <c r="O376" s="10"/>
      <c r="P376" s="10"/>
    </row>
    <row r="377" spans="14:16" x14ac:dyDescent="0.25">
      <c r="N377" s="10"/>
      <c r="O377" s="10"/>
      <c r="P377" s="10"/>
    </row>
    <row r="378" spans="14:16" x14ac:dyDescent="0.25">
      <c r="N378" s="10"/>
      <c r="O378" s="10"/>
      <c r="P378" s="10"/>
    </row>
    <row r="379" spans="14:16" x14ac:dyDescent="0.25">
      <c r="N379" s="10"/>
      <c r="O379" s="10"/>
      <c r="P379" s="10"/>
    </row>
    <row r="380" spans="14:16" x14ac:dyDescent="0.25">
      <c r="N380" s="10"/>
      <c r="O380" s="10"/>
      <c r="P380" s="10"/>
    </row>
    <row r="381" spans="14:16" x14ac:dyDescent="0.25">
      <c r="N381" s="10"/>
      <c r="O381" s="10"/>
      <c r="P381" s="10"/>
    </row>
    <row r="382" spans="14:16" x14ac:dyDescent="0.25">
      <c r="N382" s="10"/>
      <c r="O382" s="10"/>
      <c r="P382" s="10"/>
    </row>
    <row r="383" spans="14:16" x14ac:dyDescent="0.25">
      <c r="N383" s="10"/>
      <c r="O383" s="10"/>
      <c r="P383" s="10"/>
    </row>
    <row r="384" spans="14:16" x14ac:dyDescent="0.25">
      <c r="N384" s="10"/>
      <c r="O384" s="10"/>
      <c r="P384" s="10"/>
    </row>
    <row r="385" spans="14:16" x14ac:dyDescent="0.25">
      <c r="N385" s="10"/>
      <c r="O385" s="10"/>
      <c r="P385" s="10"/>
    </row>
    <row r="386" spans="14:16" x14ac:dyDescent="0.25">
      <c r="N386" s="10"/>
      <c r="O386" s="10"/>
      <c r="P386" s="10"/>
    </row>
    <row r="387" spans="14:16" x14ac:dyDescent="0.25">
      <c r="N387" s="10"/>
      <c r="O387" s="10"/>
      <c r="P387" s="10"/>
    </row>
    <row r="388" spans="14:16" x14ac:dyDescent="0.25">
      <c r="N388" s="10"/>
      <c r="O388" s="10"/>
      <c r="P388" s="10"/>
    </row>
    <row r="389" spans="14:16" x14ac:dyDescent="0.25">
      <c r="N389" s="10"/>
      <c r="O389" s="10"/>
      <c r="P389" s="10"/>
    </row>
    <row r="390" spans="14:16" x14ac:dyDescent="0.25">
      <c r="N390" s="10"/>
      <c r="O390" s="10"/>
      <c r="P390" s="10"/>
    </row>
    <row r="391" spans="14:16" x14ac:dyDescent="0.25">
      <c r="N391" s="10"/>
      <c r="O391" s="10"/>
      <c r="P391" s="10"/>
    </row>
    <row r="392" spans="14:16" x14ac:dyDescent="0.25">
      <c r="N392" s="10"/>
      <c r="O392" s="10"/>
      <c r="P392" s="10"/>
    </row>
    <row r="393" spans="14:16" x14ac:dyDescent="0.25">
      <c r="N393" s="10"/>
      <c r="O393" s="10"/>
      <c r="P393" s="10"/>
    </row>
    <row r="394" spans="14:16" x14ac:dyDescent="0.25">
      <c r="N394" s="10"/>
      <c r="O394" s="10"/>
      <c r="P394" s="10"/>
    </row>
    <row r="395" spans="14:16" x14ac:dyDescent="0.25">
      <c r="N395" s="10"/>
      <c r="O395" s="10"/>
      <c r="P395" s="10"/>
    </row>
    <row r="396" spans="14:16" x14ac:dyDescent="0.25">
      <c r="N396" s="10"/>
      <c r="O396" s="10"/>
      <c r="P396" s="10"/>
    </row>
    <row r="397" spans="14:16" x14ac:dyDescent="0.25">
      <c r="N397" s="10"/>
      <c r="O397" s="10"/>
      <c r="P397" s="10"/>
    </row>
    <row r="398" spans="14:16" x14ac:dyDescent="0.25">
      <c r="N398" s="10"/>
      <c r="O398" s="10"/>
      <c r="P398" s="10"/>
    </row>
    <row r="399" spans="14:16" x14ac:dyDescent="0.25">
      <c r="N399" s="10"/>
      <c r="O399" s="10"/>
      <c r="P399" s="10"/>
    </row>
    <row r="400" spans="14:16" x14ac:dyDescent="0.25">
      <c r="N400" s="10"/>
      <c r="O400" s="10"/>
      <c r="P400" s="10"/>
    </row>
    <row r="401" spans="14:16" x14ac:dyDescent="0.25">
      <c r="N401" s="10"/>
      <c r="O401" s="10"/>
      <c r="P401" s="10"/>
    </row>
    <row r="402" spans="14:16" x14ac:dyDescent="0.25">
      <c r="N402" s="10"/>
      <c r="O402" s="10"/>
      <c r="P402" s="10"/>
    </row>
    <row r="403" spans="14:16" x14ac:dyDescent="0.25">
      <c r="N403" s="10"/>
      <c r="O403" s="10"/>
      <c r="P403" s="10"/>
    </row>
    <row r="404" spans="14:16" x14ac:dyDescent="0.25">
      <c r="N404" s="10"/>
      <c r="O404" s="10"/>
      <c r="P404" s="10"/>
    </row>
    <row r="405" spans="14:16" x14ac:dyDescent="0.25">
      <c r="N405" s="10"/>
      <c r="O405" s="10"/>
      <c r="P405" s="10"/>
    </row>
    <row r="406" spans="14:16" x14ac:dyDescent="0.25">
      <c r="N406" s="10"/>
      <c r="O406" s="10"/>
      <c r="P406" s="10"/>
    </row>
    <row r="407" spans="14:16" x14ac:dyDescent="0.25">
      <c r="N407" s="10"/>
      <c r="O407" s="10"/>
      <c r="P407" s="10"/>
    </row>
    <row r="408" spans="14:16" x14ac:dyDescent="0.25">
      <c r="N408" s="10"/>
      <c r="O408" s="10"/>
      <c r="P408" s="10"/>
    </row>
    <row r="409" spans="14:16" x14ac:dyDescent="0.25">
      <c r="N409" s="10"/>
      <c r="O409" s="10"/>
      <c r="P409" s="10"/>
    </row>
    <row r="410" spans="14:16" x14ac:dyDescent="0.25">
      <c r="N410" s="10"/>
      <c r="O410" s="10"/>
      <c r="P410" s="10"/>
    </row>
    <row r="411" spans="14:16" x14ac:dyDescent="0.25">
      <c r="N411" s="10"/>
      <c r="O411" s="10"/>
      <c r="P411" s="10"/>
    </row>
    <row r="412" spans="14:16" x14ac:dyDescent="0.25">
      <c r="N412" s="10"/>
      <c r="O412" s="10"/>
      <c r="P412" s="10"/>
    </row>
    <row r="413" spans="14:16" x14ac:dyDescent="0.25">
      <c r="N413" s="10"/>
      <c r="O413" s="10"/>
      <c r="P413" s="10"/>
    </row>
    <row r="414" spans="14:16" x14ac:dyDescent="0.25">
      <c r="N414" s="10"/>
      <c r="O414" s="10"/>
      <c r="P414" s="10"/>
    </row>
    <row r="415" spans="14:16" x14ac:dyDescent="0.25">
      <c r="N415" s="10"/>
      <c r="O415" s="10"/>
      <c r="P415" s="10"/>
    </row>
    <row r="416" spans="14:16" x14ac:dyDescent="0.25">
      <c r="N416" s="10"/>
      <c r="O416" s="10"/>
      <c r="P416" s="10"/>
    </row>
    <row r="417" spans="14:16" x14ac:dyDescent="0.25">
      <c r="N417" s="10"/>
      <c r="O417" s="10"/>
      <c r="P417" s="10"/>
    </row>
    <row r="418" spans="14:16" x14ac:dyDescent="0.25">
      <c r="N418" s="10"/>
      <c r="O418" s="10"/>
      <c r="P418" s="10"/>
    </row>
    <row r="419" spans="14:16" x14ac:dyDescent="0.25">
      <c r="N419" s="10"/>
      <c r="O419" s="10"/>
      <c r="P419" s="10"/>
    </row>
    <row r="420" spans="14:16" x14ac:dyDescent="0.25">
      <c r="N420" s="10"/>
      <c r="O420" s="10"/>
      <c r="P420" s="10"/>
    </row>
    <row r="421" spans="14:16" x14ac:dyDescent="0.25">
      <c r="N421" s="10"/>
      <c r="O421" s="10"/>
      <c r="P421" s="10"/>
    </row>
    <row r="422" spans="14:16" x14ac:dyDescent="0.25">
      <c r="N422" s="10"/>
      <c r="O422" s="10"/>
      <c r="P422" s="10"/>
    </row>
    <row r="423" spans="14:16" x14ac:dyDescent="0.25">
      <c r="N423" s="10"/>
      <c r="O423" s="10"/>
      <c r="P423" s="10"/>
    </row>
    <row r="424" spans="14:16" x14ac:dyDescent="0.25">
      <c r="N424" s="10"/>
      <c r="O424" s="10"/>
      <c r="P424" s="10"/>
    </row>
    <row r="425" spans="14:16" x14ac:dyDescent="0.25">
      <c r="N425" s="10"/>
      <c r="O425" s="10"/>
      <c r="P425" s="10"/>
    </row>
    <row r="426" spans="14:16" x14ac:dyDescent="0.25">
      <c r="N426" s="10"/>
      <c r="O426" s="10"/>
      <c r="P426" s="10"/>
    </row>
    <row r="427" spans="14:16" x14ac:dyDescent="0.25">
      <c r="N427" s="10"/>
      <c r="O427" s="10"/>
      <c r="P427" s="10"/>
    </row>
    <row r="428" spans="14:16" x14ac:dyDescent="0.25">
      <c r="N428" s="10"/>
      <c r="O428" s="10"/>
      <c r="P428" s="10"/>
    </row>
    <row r="429" spans="14:16" x14ac:dyDescent="0.25">
      <c r="N429" s="10"/>
      <c r="O429" s="10"/>
      <c r="P429" s="10"/>
    </row>
    <row r="430" spans="14:16" x14ac:dyDescent="0.25">
      <c r="N430" s="10"/>
      <c r="O430" s="10"/>
      <c r="P430" s="10"/>
    </row>
    <row r="431" spans="14:16" x14ac:dyDescent="0.25">
      <c r="N431" s="10"/>
      <c r="O431" s="10"/>
      <c r="P431" s="10"/>
    </row>
    <row r="432" spans="14:16" x14ac:dyDescent="0.25">
      <c r="N432" s="10"/>
      <c r="O432" s="10"/>
      <c r="P432" s="10"/>
    </row>
    <row r="433" spans="14:16" x14ac:dyDescent="0.25">
      <c r="N433" s="10"/>
      <c r="O433" s="10"/>
      <c r="P433" s="10"/>
    </row>
    <row r="434" spans="14:16" x14ac:dyDescent="0.25">
      <c r="N434" s="10"/>
      <c r="O434" s="10"/>
      <c r="P434" s="10"/>
    </row>
    <row r="435" spans="14:16" x14ac:dyDescent="0.25">
      <c r="N435" s="10"/>
      <c r="O435" s="10"/>
      <c r="P435" s="10"/>
    </row>
    <row r="436" spans="14:16" x14ac:dyDescent="0.25">
      <c r="N436" s="10"/>
      <c r="O436" s="10"/>
      <c r="P436" s="10"/>
    </row>
    <row r="437" spans="14:16" x14ac:dyDescent="0.25">
      <c r="N437" s="10"/>
      <c r="O437" s="10"/>
      <c r="P437" s="10"/>
    </row>
    <row r="438" spans="14:16" x14ac:dyDescent="0.25">
      <c r="N438" s="10"/>
      <c r="O438" s="10"/>
      <c r="P438" s="10"/>
    </row>
    <row r="439" spans="14:16" x14ac:dyDescent="0.25">
      <c r="N439" s="10"/>
      <c r="O439" s="10"/>
      <c r="P439" s="10"/>
    </row>
    <row r="440" spans="14:16" x14ac:dyDescent="0.25">
      <c r="N440" s="10"/>
      <c r="O440" s="10"/>
      <c r="P440" s="10"/>
    </row>
    <row r="441" spans="14:16" x14ac:dyDescent="0.25">
      <c r="N441" s="10"/>
      <c r="O441" s="10"/>
      <c r="P441" s="10"/>
    </row>
    <row r="442" spans="14:16" x14ac:dyDescent="0.25">
      <c r="N442" s="10"/>
      <c r="O442" s="10"/>
      <c r="P442" s="10"/>
    </row>
    <row r="443" spans="14:16" x14ac:dyDescent="0.25">
      <c r="N443" s="10"/>
      <c r="O443" s="10"/>
      <c r="P443" s="10"/>
    </row>
    <row r="444" spans="14:16" x14ac:dyDescent="0.25">
      <c r="N444" s="10"/>
      <c r="O444" s="10"/>
      <c r="P444" s="10"/>
    </row>
    <row r="445" spans="14:16" x14ac:dyDescent="0.25">
      <c r="N445" s="10"/>
      <c r="O445" s="10"/>
      <c r="P445" s="10"/>
    </row>
    <row r="446" spans="14:16" x14ac:dyDescent="0.25">
      <c r="N446" s="10"/>
      <c r="O446" s="10"/>
      <c r="P446" s="10"/>
    </row>
    <row r="447" spans="14:16" x14ac:dyDescent="0.25">
      <c r="N447" s="10"/>
      <c r="O447" s="10"/>
      <c r="P447" s="10"/>
    </row>
    <row r="448" spans="14:16" x14ac:dyDescent="0.25">
      <c r="N448" s="10"/>
      <c r="O448" s="10"/>
      <c r="P448" s="10"/>
    </row>
    <row r="449" spans="14:16" x14ac:dyDescent="0.25">
      <c r="N449" s="10"/>
      <c r="O449" s="10"/>
      <c r="P449" s="10"/>
    </row>
    <row r="450" spans="14:16" x14ac:dyDescent="0.25">
      <c r="N450" s="10"/>
      <c r="O450" s="10"/>
      <c r="P450" s="10"/>
    </row>
    <row r="451" spans="14:16" x14ac:dyDescent="0.25">
      <c r="N451" s="10"/>
      <c r="O451" s="10"/>
      <c r="P451" s="10"/>
    </row>
    <row r="452" spans="14:16" x14ac:dyDescent="0.25">
      <c r="N452" s="10"/>
      <c r="O452" s="10"/>
      <c r="P452" s="10"/>
    </row>
    <row r="453" spans="14:16" x14ac:dyDescent="0.25">
      <c r="N453" s="10"/>
      <c r="O453" s="10"/>
      <c r="P453" s="10"/>
    </row>
    <row r="454" spans="14:16" x14ac:dyDescent="0.25">
      <c r="N454" s="10"/>
      <c r="O454" s="10"/>
      <c r="P454" s="10"/>
    </row>
    <row r="455" spans="14:16" x14ac:dyDescent="0.25">
      <c r="N455" s="10"/>
      <c r="O455" s="10"/>
      <c r="P455" s="10"/>
    </row>
    <row r="456" spans="14:16" x14ac:dyDescent="0.25">
      <c r="N456" s="10"/>
      <c r="O456" s="10"/>
      <c r="P456" s="10"/>
    </row>
    <row r="457" spans="14:16" x14ac:dyDescent="0.25">
      <c r="N457" s="10"/>
      <c r="O457" s="10"/>
      <c r="P457" s="10"/>
    </row>
    <row r="458" spans="14:16" x14ac:dyDescent="0.25">
      <c r="N458" s="10"/>
      <c r="O458" s="10"/>
      <c r="P458" s="10"/>
    </row>
    <row r="459" spans="14:16" x14ac:dyDescent="0.25">
      <c r="N459" s="10"/>
      <c r="O459" s="10"/>
      <c r="P459" s="10"/>
    </row>
    <row r="460" spans="14:16" x14ac:dyDescent="0.25">
      <c r="N460" s="10"/>
      <c r="O460" s="10"/>
      <c r="P460" s="10"/>
    </row>
    <row r="461" spans="14:16" x14ac:dyDescent="0.25">
      <c r="N461" s="10"/>
      <c r="O461" s="10"/>
      <c r="P461" s="10"/>
    </row>
    <row r="462" spans="14:16" x14ac:dyDescent="0.25">
      <c r="N462" s="10"/>
      <c r="O462" s="10"/>
      <c r="P462" s="10"/>
    </row>
    <row r="463" spans="14:16" x14ac:dyDescent="0.25">
      <c r="N463" s="10"/>
      <c r="O463" s="10"/>
      <c r="P463" s="10"/>
    </row>
    <row r="464" spans="14:16" x14ac:dyDescent="0.25">
      <c r="N464" s="10"/>
      <c r="O464" s="10"/>
      <c r="P464" s="10"/>
    </row>
    <row r="465" spans="14:16" x14ac:dyDescent="0.25">
      <c r="N465" s="10"/>
      <c r="O465" s="10"/>
      <c r="P465" s="10"/>
    </row>
    <row r="466" spans="14:16" x14ac:dyDescent="0.25">
      <c r="N466" s="10"/>
      <c r="O466" s="10"/>
      <c r="P466" s="10"/>
    </row>
    <row r="467" spans="14:16" x14ac:dyDescent="0.25">
      <c r="N467" s="10"/>
      <c r="O467" s="10"/>
      <c r="P467" s="10"/>
    </row>
    <row r="468" spans="14:16" x14ac:dyDescent="0.25">
      <c r="N468" s="10"/>
      <c r="O468" s="10"/>
      <c r="P468" s="10"/>
    </row>
    <row r="469" spans="14:16" x14ac:dyDescent="0.25">
      <c r="N469" s="10"/>
      <c r="O469" s="10"/>
      <c r="P469" s="10"/>
    </row>
    <row r="470" spans="14:16" x14ac:dyDescent="0.25">
      <c r="N470" s="10"/>
      <c r="O470" s="10"/>
      <c r="P470" s="10"/>
    </row>
    <row r="471" spans="14:16" x14ac:dyDescent="0.25">
      <c r="N471" s="10"/>
      <c r="O471" s="10"/>
      <c r="P471" s="10"/>
    </row>
    <row r="472" spans="14:16" x14ac:dyDescent="0.25">
      <c r="N472" s="10"/>
      <c r="O472" s="10"/>
      <c r="P472" s="10"/>
    </row>
    <row r="473" spans="14:16" x14ac:dyDescent="0.25">
      <c r="N473" s="10"/>
      <c r="O473" s="10"/>
      <c r="P473" s="10"/>
    </row>
    <row r="474" spans="14:16" x14ac:dyDescent="0.25">
      <c r="N474" s="10"/>
      <c r="O474" s="10"/>
      <c r="P474" s="10"/>
    </row>
    <row r="475" spans="14:16" x14ac:dyDescent="0.25">
      <c r="N475" s="10"/>
      <c r="O475" s="10"/>
      <c r="P475" s="10"/>
    </row>
    <row r="476" spans="14:16" x14ac:dyDescent="0.25">
      <c r="N476" s="10"/>
      <c r="O476" s="10"/>
      <c r="P476" s="10"/>
    </row>
    <row r="477" spans="14:16" x14ac:dyDescent="0.25">
      <c r="N477" s="10"/>
      <c r="O477" s="10"/>
      <c r="P477" s="10"/>
    </row>
    <row r="478" spans="14:16" x14ac:dyDescent="0.25">
      <c r="N478" s="10"/>
      <c r="O478" s="10"/>
      <c r="P478" s="10"/>
    </row>
    <row r="479" spans="14:16" x14ac:dyDescent="0.25">
      <c r="N479" s="10"/>
      <c r="O479" s="10"/>
      <c r="P479" s="10"/>
    </row>
    <row r="480" spans="14:16" x14ac:dyDescent="0.25">
      <c r="N480" s="10"/>
      <c r="O480" s="10"/>
      <c r="P480" s="10"/>
    </row>
    <row r="481" spans="14:16" x14ac:dyDescent="0.25">
      <c r="N481" s="10"/>
      <c r="O481" s="10"/>
      <c r="P481" s="10"/>
    </row>
    <row r="482" spans="14:16" x14ac:dyDescent="0.25">
      <c r="N482" s="10"/>
      <c r="O482" s="10"/>
      <c r="P482" s="10"/>
    </row>
    <row r="483" spans="14:16" x14ac:dyDescent="0.25">
      <c r="N483" s="10"/>
      <c r="O483" s="10"/>
      <c r="P483" s="10"/>
    </row>
    <row r="484" spans="14:16" x14ac:dyDescent="0.25">
      <c r="N484" s="10"/>
      <c r="O484" s="10"/>
      <c r="P484" s="10"/>
    </row>
    <row r="485" spans="14:16" x14ac:dyDescent="0.25">
      <c r="N485" s="10"/>
      <c r="O485" s="10"/>
      <c r="P485" s="10"/>
    </row>
    <row r="486" spans="14:16" x14ac:dyDescent="0.25">
      <c r="N486" s="10"/>
      <c r="O486" s="10"/>
      <c r="P486" s="10"/>
    </row>
    <row r="487" spans="14:16" x14ac:dyDescent="0.25">
      <c r="N487" s="10"/>
      <c r="O487" s="10"/>
      <c r="P487" s="10"/>
    </row>
    <row r="488" spans="14:16" x14ac:dyDescent="0.25">
      <c r="N488" s="10"/>
      <c r="O488" s="10"/>
      <c r="P488" s="10"/>
    </row>
    <row r="489" spans="14:16" x14ac:dyDescent="0.25">
      <c r="N489" s="10"/>
      <c r="O489" s="10"/>
      <c r="P489" s="10"/>
    </row>
    <row r="490" spans="14:16" x14ac:dyDescent="0.25">
      <c r="N490" s="10"/>
      <c r="O490" s="10"/>
      <c r="P490" s="10"/>
    </row>
    <row r="491" spans="14:16" x14ac:dyDescent="0.25">
      <c r="N491" s="10"/>
      <c r="O491" s="10"/>
      <c r="P491" s="10"/>
    </row>
    <row r="492" spans="14:16" x14ac:dyDescent="0.25">
      <c r="N492" s="10"/>
      <c r="O492" s="10"/>
      <c r="P492" s="10"/>
    </row>
    <row r="493" spans="14:16" x14ac:dyDescent="0.25">
      <c r="N493" s="10"/>
      <c r="O493" s="10"/>
      <c r="P493" s="10"/>
    </row>
    <row r="494" spans="14:16" x14ac:dyDescent="0.25">
      <c r="N494" s="10"/>
      <c r="O494" s="10"/>
      <c r="P494" s="10"/>
    </row>
    <row r="495" spans="14:16" x14ac:dyDescent="0.25">
      <c r="N495" s="10"/>
      <c r="O495" s="10"/>
      <c r="P495" s="10"/>
    </row>
    <row r="496" spans="14:16" x14ac:dyDescent="0.25">
      <c r="N496" s="10"/>
      <c r="O496" s="10"/>
      <c r="P496" s="10"/>
    </row>
    <row r="497" spans="14:16" x14ac:dyDescent="0.25">
      <c r="N497" s="10"/>
      <c r="O497" s="10"/>
      <c r="P497" s="10"/>
    </row>
    <row r="498" spans="14:16" x14ac:dyDescent="0.25">
      <c r="N498" s="10"/>
      <c r="O498" s="10"/>
      <c r="P498" s="10"/>
    </row>
    <row r="499" spans="14:16" x14ac:dyDescent="0.25">
      <c r="N499" s="10"/>
      <c r="O499" s="10"/>
      <c r="P499" s="10"/>
    </row>
    <row r="500" spans="14:16" x14ac:dyDescent="0.25">
      <c r="N500" s="10"/>
      <c r="O500" s="10"/>
      <c r="P500" s="10"/>
    </row>
    <row r="501" spans="14:16" x14ac:dyDescent="0.25">
      <c r="N501" s="10"/>
      <c r="O501" s="10"/>
      <c r="P501" s="10"/>
    </row>
    <row r="502" spans="14:16" x14ac:dyDescent="0.25">
      <c r="N502" s="10"/>
      <c r="O502" s="10"/>
      <c r="P502" s="10"/>
    </row>
    <row r="503" spans="14:16" x14ac:dyDescent="0.25">
      <c r="N503" s="10"/>
      <c r="O503" s="10"/>
      <c r="P503" s="10"/>
    </row>
    <row r="504" spans="14:16" x14ac:dyDescent="0.25">
      <c r="N504" s="10"/>
      <c r="O504" s="10"/>
      <c r="P504" s="10"/>
    </row>
    <row r="505" spans="14:16" x14ac:dyDescent="0.25">
      <c r="N505" s="10"/>
      <c r="O505" s="10"/>
      <c r="P505" s="10"/>
    </row>
    <row r="506" spans="14:16" x14ac:dyDescent="0.25">
      <c r="N506" s="10"/>
      <c r="O506" s="10"/>
      <c r="P506" s="10"/>
    </row>
    <row r="507" spans="14:16" x14ac:dyDescent="0.25">
      <c r="N507" s="10"/>
      <c r="O507" s="10"/>
      <c r="P507" s="10"/>
    </row>
    <row r="508" spans="14:16" x14ac:dyDescent="0.25">
      <c r="N508" s="10"/>
      <c r="O508" s="10"/>
      <c r="P508" s="10"/>
    </row>
    <row r="509" spans="14:16" x14ac:dyDescent="0.25">
      <c r="N509" s="10"/>
      <c r="O509" s="10"/>
      <c r="P509"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locked="0" defaultSize="0" print="0" autoFill="0" autoPict="0" macro="[0]!Step3">
                <anchor moveWithCells="1" sizeWithCells="1">
                  <from>
                    <xdr:col>1</xdr:col>
                    <xdr:colOff>0</xdr:colOff>
                    <xdr:row>2</xdr:row>
                    <xdr:rowOff>0</xdr:rowOff>
                  </from>
                  <to>
                    <xdr:col>2</xdr:col>
                    <xdr:colOff>638175</xdr:colOff>
                    <xdr:row>3</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20"/>
  <sheetViews>
    <sheetView workbookViewId="0">
      <selection activeCell="Y42" sqref="Y42:Y49"/>
    </sheetView>
  </sheetViews>
  <sheetFormatPr defaultRowHeight="15" x14ac:dyDescent="0.25"/>
  <sheetData>
    <row r="2" spans="2:5" x14ac:dyDescent="0.25">
      <c r="B2" s="95"/>
      <c r="C2" s="95"/>
      <c r="D2" s="95"/>
      <c r="E2" s="95"/>
    </row>
    <row r="3" spans="2:5" x14ac:dyDescent="0.25">
      <c r="B3" s="95"/>
      <c r="C3" s="95"/>
      <c r="D3" s="95"/>
      <c r="E3" s="95"/>
    </row>
    <row r="4" spans="2:5" x14ac:dyDescent="0.25">
      <c r="B4" s="95"/>
      <c r="C4" s="95"/>
      <c r="D4" s="95"/>
      <c r="E4" s="95"/>
    </row>
    <row r="5" spans="2:5" x14ac:dyDescent="0.25">
      <c r="B5" s="95"/>
      <c r="C5" s="95"/>
      <c r="D5" s="95"/>
      <c r="E5" s="95"/>
    </row>
    <row r="6" spans="2:5" x14ac:dyDescent="0.25">
      <c r="B6" s="95"/>
      <c r="C6" s="95"/>
      <c r="D6" s="95"/>
      <c r="E6" s="95"/>
    </row>
    <row r="7" spans="2:5" x14ac:dyDescent="0.25">
      <c r="B7" s="95"/>
      <c r="C7" s="95"/>
      <c r="D7" s="95"/>
      <c r="E7" s="95"/>
    </row>
    <row r="8" spans="2:5" x14ac:dyDescent="0.25">
      <c r="B8" s="95"/>
      <c r="C8" s="95"/>
      <c r="D8" s="95"/>
      <c r="E8" s="95"/>
    </row>
    <row r="9" spans="2:5" x14ac:dyDescent="0.25">
      <c r="B9" s="95"/>
      <c r="C9" s="95"/>
      <c r="D9" s="95"/>
      <c r="E9" s="95"/>
    </row>
    <row r="10" spans="2:5" x14ac:dyDescent="0.25">
      <c r="B10" s="95"/>
      <c r="C10" s="95"/>
      <c r="D10" s="95"/>
      <c r="E10" s="95"/>
    </row>
    <row r="11" spans="2:5" x14ac:dyDescent="0.25">
      <c r="B11" s="95"/>
      <c r="C11" s="95"/>
      <c r="D11" s="95"/>
      <c r="E11" s="95"/>
    </row>
    <row r="12" spans="2:5" x14ac:dyDescent="0.25">
      <c r="B12" s="95"/>
      <c r="C12" s="95"/>
      <c r="D12" s="95"/>
      <c r="E12" s="95"/>
    </row>
    <row r="13" spans="2:5" x14ac:dyDescent="0.25">
      <c r="B13" s="95"/>
      <c r="C13" s="95"/>
      <c r="D13" s="95"/>
      <c r="E13" s="95"/>
    </row>
    <row r="14" spans="2:5" x14ac:dyDescent="0.25">
      <c r="B14" s="95"/>
      <c r="C14" s="95"/>
      <c r="D14" s="95"/>
      <c r="E14" s="95"/>
    </row>
    <row r="15" spans="2:5" x14ac:dyDescent="0.25">
      <c r="B15" s="95"/>
      <c r="C15" s="95"/>
      <c r="D15" s="95"/>
      <c r="E15" s="95"/>
    </row>
    <row r="16" spans="2:5" x14ac:dyDescent="0.25">
      <c r="B16" s="95"/>
      <c r="C16" s="95"/>
      <c r="D16" s="95"/>
      <c r="E16" s="95"/>
    </row>
    <row r="17" spans="2:5" s="8" customFormat="1" x14ac:dyDescent="0.25">
      <c r="B17" s="95"/>
      <c r="C17" s="95"/>
      <c r="D17" s="95"/>
      <c r="E17" s="95"/>
    </row>
    <row r="18" spans="2:5" x14ac:dyDescent="0.25">
      <c r="B18" s="95"/>
      <c r="C18" s="95"/>
      <c r="D18" s="95"/>
      <c r="E18" s="95"/>
    </row>
    <row r="19" spans="2:5" x14ac:dyDescent="0.25">
      <c r="B19" s="95"/>
      <c r="C19" s="95"/>
      <c r="D19" s="95"/>
      <c r="E19" s="95"/>
    </row>
    <row r="20" spans="2:5" x14ac:dyDescent="0.25">
      <c r="B20" s="95"/>
      <c r="C20" s="95"/>
      <c r="D20" s="95"/>
      <c r="E20" s="9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2010</vt:lpstr>
      <vt:lpstr>2011</vt:lpstr>
      <vt:lpstr>2012_VOS</vt:lpstr>
      <vt:lpstr>2012</vt:lpstr>
      <vt:lpstr>2013</vt:lpstr>
      <vt:lpstr>2014</vt:lpstr>
      <vt:lpstr>2015</vt:lpstr>
      <vt:lpstr>2016</vt:lpstr>
      <vt:lpstr>2017</vt:lpstr>
      <vt:lpstr>panel</vt:lpstr>
      <vt:lpstr>instructions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2020-02-21T15:20:15Z</dcterms:modified>
</cp:coreProperties>
</file>